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oyeor\Downloads\Practice\Excel\recruitment_analysis\"/>
    </mc:Choice>
  </mc:AlternateContent>
  <xr:revisionPtr revIDLastSave="0" documentId="13_ncr:1_{0634537D-052E-47EF-97A2-94184F6F3FD5}" xr6:coauthVersionLast="47" xr6:coauthVersionMax="47" xr10:uidLastSave="{00000000-0000-0000-0000-000000000000}"/>
  <bookViews>
    <workbookView xWindow="-80" yWindow="-80" windowWidth="19360" windowHeight="10240" tabRatio="580" firstSheet="1" activeTab="5" xr2:uid="{00000000-000D-0000-FFFF-FFFF00000000}"/>
  </bookViews>
  <sheets>
    <sheet name="Recruitment_data_raw " sheetId="8" r:id="rId1"/>
    <sheet name="instructions" sheetId="2" r:id="rId2"/>
    <sheet name="worksheet" sheetId="1" r:id="rId3"/>
    <sheet name="clean_recruitment_data" sheetId="6" r:id="rId4"/>
    <sheet name="Analysis &amp; Pivot" sheetId="7" r:id="rId5"/>
    <sheet name="Dashboard" sheetId="9" r:id="rId6"/>
  </sheets>
  <definedNames>
    <definedName name="_xlnm._FilterDatabase" localSheetId="3" hidden="1">clean_recruitment_data!$A$1:$AE$401</definedName>
    <definedName name="_xlnm._FilterDatabase" localSheetId="2" hidden="1">worksheet!$A$1:$AC$401</definedName>
    <definedName name="Slicer_application_year">#N/A</definedName>
    <definedName name="Slicer_department">#N/A</definedName>
    <definedName name="Slicer_Gender">#N/A</definedName>
    <definedName name="Slicer_Recruite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6" l="1"/>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2"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AI3" i="1"/>
  <c r="W3" i="1" s="1"/>
  <c r="AI4" i="1"/>
  <c r="W4" i="1" s="1"/>
  <c r="AI5" i="1"/>
  <c r="W5" i="1" s="1"/>
  <c r="AI6" i="1"/>
  <c r="W6" i="1" s="1"/>
  <c r="AI7" i="1"/>
  <c r="W7" i="1" s="1"/>
  <c r="AI8" i="1"/>
  <c r="W8" i="1" s="1"/>
  <c r="AI9" i="1"/>
  <c r="W9" i="1" s="1"/>
  <c r="AI10" i="1"/>
  <c r="W10" i="1" s="1"/>
  <c r="AI11" i="1"/>
  <c r="W11" i="1" s="1"/>
  <c r="AI12" i="1"/>
  <c r="W12" i="1" s="1"/>
  <c r="AI13" i="1"/>
  <c r="W13" i="1" s="1"/>
  <c r="AI14" i="1"/>
  <c r="W14" i="1" s="1"/>
  <c r="AI15" i="1"/>
  <c r="W15" i="1" s="1"/>
  <c r="AI16" i="1"/>
  <c r="W16" i="1" s="1"/>
  <c r="AI17" i="1"/>
  <c r="W17" i="1" s="1"/>
  <c r="AI18" i="1"/>
  <c r="W18" i="1" s="1"/>
  <c r="AI19" i="1"/>
  <c r="W19" i="1" s="1"/>
  <c r="AI20" i="1"/>
  <c r="W20" i="1" s="1"/>
  <c r="AI21" i="1"/>
  <c r="W21" i="1" s="1"/>
  <c r="AI22" i="1"/>
  <c r="W22" i="1" s="1"/>
  <c r="AI23" i="1"/>
  <c r="W23" i="1" s="1"/>
  <c r="AI24" i="1"/>
  <c r="W24" i="1" s="1"/>
  <c r="AI25" i="1"/>
  <c r="W25" i="1" s="1"/>
  <c r="AI26" i="1"/>
  <c r="W26" i="1" s="1"/>
  <c r="AI27" i="1"/>
  <c r="W27" i="1" s="1"/>
  <c r="AI28" i="1"/>
  <c r="W28" i="1" s="1"/>
  <c r="AI29" i="1"/>
  <c r="W29" i="1" s="1"/>
  <c r="AI30" i="1"/>
  <c r="W30" i="1" s="1"/>
  <c r="AI31" i="1"/>
  <c r="W31" i="1" s="1"/>
  <c r="AI32" i="1"/>
  <c r="W32" i="1" s="1"/>
  <c r="AI33" i="1"/>
  <c r="W33" i="1" s="1"/>
  <c r="AI34" i="1"/>
  <c r="W34" i="1" s="1"/>
  <c r="AI35" i="1"/>
  <c r="W35" i="1" s="1"/>
  <c r="AI36" i="1"/>
  <c r="W36" i="1" s="1"/>
  <c r="AI37" i="1"/>
  <c r="W37" i="1" s="1"/>
  <c r="AI38" i="1"/>
  <c r="W38" i="1" s="1"/>
  <c r="AI39" i="1"/>
  <c r="W39" i="1" s="1"/>
  <c r="AI40" i="1"/>
  <c r="W40" i="1" s="1"/>
  <c r="AI41" i="1"/>
  <c r="W41" i="1" s="1"/>
  <c r="AI42" i="1"/>
  <c r="W42" i="1" s="1"/>
  <c r="AI43" i="1"/>
  <c r="W43" i="1" s="1"/>
  <c r="AI44" i="1"/>
  <c r="W44" i="1" s="1"/>
  <c r="AI45" i="1"/>
  <c r="W45" i="1" s="1"/>
  <c r="AI46" i="1"/>
  <c r="W46" i="1" s="1"/>
  <c r="AI47" i="1"/>
  <c r="W47" i="1" s="1"/>
  <c r="AI48" i="1"/>
  <c r="W48" i="1" s="1"/>
  <c r="AI49" i="1"/>
  <c r="W49" i="1" s="1"/>
  <c r="AI50" i="1"/>
  <c r="W50" i="1" s="1"/>
  <c r="AI51" i="1"/>
  <c r="W51" i="1" s="1"/>
  <c r="AI52" i="1"/>
  <c r="W52" i="1" s="1"/>
  <c r="AI53" i="1"/>
  <c r="W53" i="1" s="1"/>
  <c r="AI54" i="1"/>
  <c r="W54" i="1" s="1"/>
  <c r="AI55" i="1"/>
  <c r="W55" i="1" s="1"/>
  <c r="AI56" i="1"/>
  <c r="W56" i="1" s="1"/>
  <c r="AI57" i="1"/>
  <c r="W57" i="1" s="1"/>
  <c r="AI58" i="1"/>
  <c r="W58" i="1" s="1"/>
  <c r="AI59" i="1"/>
  <c r="W59" i="1" s="1"/>
  <c r="AI60" i="1"/>
  <c r="W60" i="1" s="1"/>
  <c r="AI61" i="1"/>
  <c r="W61" i="1" s="1"/>
  <c r="AI62" i="1"/>
  <c r="W62" i="1" s="1"/>
  <c r="AI63" i="1"/>
  <c r="W63" i="1" s="1"/>
  <c r="AI64" i="1"/>
  <c r="W64" i="1" s="1"/>
  <c r="AI65" i="1"/>
  <c r="W65" i="1" s="1"/>
  <c r="AI66" i="1"/>
  <c r="W66" i="1" s="1"/>
  <c r="AI67" i="1"/>
  <c r="W67" i="1" s="1"/>
  <c r="AI68" i="1"/>
  <c r="W68" i="1" s="1"/>
  <c r="AI69" i="1"/>
  <c r="W69" i="1" s="1"/>
  <c r="AI70" i="1"/>
  <c r="W70" i="1" s="1"/>
  <c r="AI71" i="1"/>
  <c r="W71" i="1" s="1"/>
  <c r="AI72" i="1"/>
  <c r="W72" i="1" s="1"/>
  <c r="AI73" i="1"/>
  <c r="W73" i="1" s="1"/>
  <c r="AI74" i="1"/>
  <c r="W74" i="1" s="1"/>
  <c r="AI75" i="1"/>
  <c r="W75" i="1" s="1"/>
  <c r="AI76" i="1"/>
  <c r="W76" i="1" s="1"/>
  <c r="AI77" i="1"/>
  <c r="W77" i="1" s="1"/>
  <c r="AI78" i="1"/>
  <c r="W78" i="1" s="1"/>
  <c r="AI79" i="1"/>
  <c r="W79" i="1" s="1"/>
  <c r="AI80" i="1"/>
  <c r="W80" i="1" s="1"/>
  <c r="AI81" i="1"/>
  <c r="W81" i="1" s="1"/>
  <c r="AI82" i="1"/>
  <c r="W82" i="1" s="1"/>
  <c r="AI83" i="1"/>
  <c r="W83" i="1" s="1"/>
  <c r="AI84" i="1"/>
  <c r="W84" i="1" s="1"/>
  <c r="AI85" i="1"/>
  <c r="W85" i="1" s="1"/>
  <c r="AI86" i="1"/>
  <c r="W86" i="1" s="1"/>
  <c r="AI87" i="1"/>
  <c r="W87" i="1" s="1"/>
  <c r="AI88" i="1"/>
  <c r="W88" i="1" s="1"/>
  <c r="AI89" i="1"/>
  <c r="W89" i="1" s="1"/>
  <c r="AI90" i="1"/>
  <c r="W90" i="1" s="1"/>
  <c r="AI91" i="1"/>
  <c r="W91" i="1" s="1"/>
  <c r="AI92" i="1"/>
  <c r="W92" i="1" s="1"/>
  <c r="AI93" i="1"/>
  <c r="W93" i="1" s="1"/>
  <c r="AI94" i="1"/>
  <c r="W94" i="1" s="1"/>
  <c r="AI95" i="1"/>
  <c r="W95" i="1" s="1"/>
  <c r="AI96" i="1"/>
  <c r="W96" i="1" s="1"/>
  <c r="AI97" i="1"/>
  <c r="W97" i="1" s="1"/>
  <c r="AI98" i="1"/>
  <c r="W98" i="1" s="1"/>
  <c r="AI99" i="1"/>
  <c r="W99" i="1" s="1"/>
  <c r="AI100" i="1"/>
  <c r="W100" i="1" s="1"/>
  <c r="AI101" i="1"/>
  <c r="W101" i="1" s="1"/>
  <c r="AI102" i="1"/>
  <c r="W102" i="1" s="1"/>
  <c r="AI103" i="1"/>
  <c r="W103" i="1" s="1"/>
  <c r="AI104" i="1"/>
  <c r="W104" i="1" s="1"/>
  <c r="AI105" i="1"/>
  <c r="W105" i="1" s="1"/>
  <c r="AI106" i="1"/>
  <c r="W106" i="1" s="1"/>
  <c r="AI107" i="1"/>
  <c r="W107" i="1" s="1"/>
  <c r="AI108" i="1"/>
  <c r="W108" i="1" s="1"/>
  <c r="AI109" i="1"/>
  <c r="W109" i="1" s="1"/>
  <c r="AI110" i="1"/>
  <c r="W110" i="1" s="1"/>
  <c r="AI111" i="1"/>
  <c r="W111" i="1" s="1"/>
  <c r="AI112" i="1"/>
  <c r="W112" i="1" s="1"/>
  <c r="AI113" i="1"/>
  <c r="W113" i="1" s="1"/>
  <c r="AI114" i="1"/>
  <c r="W114" i="1" s="1"/>
  <c r="AI115" i="1"/>
  <c r="W115" i="1" s="1"/>
  <c r="AI116" i="1"/>
  <c r="W116" i="1" s="1"/>
  <c r="AI117" i="1"/>
  <c r="W117" i="1" s="1"/>
  <c r="AI118" i="1"/>
  <c r="W118" i="1" s="1"/>
  <c r="AI119" i="1"/>
  <c r="W119" i="1" s="1"/>
  <c r="AI120" i="1"/>
  <c r="W120" i="1" s="1"/>
  <c r="AI121" i="1"/>
  <c r="W121" i="1" s="1"/>
  <c r="AI122" i="1"/>
  <c r="W122" i="1" s="1"/>
  <c r="AI123" i="1"/>
  <c r="W123" i="1" s="1"/>
  <c r="AI124" i="1"/>
  <c r="W124" i="1" s="1"/>
  <c r="AI125" i="1"/>
  <c r="W125" i="1" s="1"/>
  <c r="AI126" i="1"/>
  <c r="W126" i="1" s="1"/>
  <c r="AI127" i="1"/>
  <c r="W127" i="1" s="1"/>
  <c r="AI128" i="1"/>
  <c r="W128" i="1" s="1"/>
  <c r="AI129" i="1"/>
  <c r="W129" i="1" s="1"/>
  <c r="AI130" i="1"/>
  <c r="W130" i="1" s="1"/>
  <c r="AI131" i="1"/>
  <c r="W131" i="1" s="1"/>
  <c r="AI132" i="1"/>
  <c r="W132" i="1" s="1"/>
  <c r="AI133" i="1"/>
  <c r="W133" i="1" s="1"/>
  <c r="AI134" i="1"/>
  <c r="W134" i="1" s="1"/>
  <c r="AI135" i="1"/>
  <c r="W135" i="1" s="1"/>
  <c r="AI136" i="1"/>
  <c r="W136" i="1" s="1"/>
  <c r="AI137" i="1"/>
  <c r="W137" i="1" s="1"/>
  <c r="AI138" i="1"/>
  <c r="W138" i="1" s="1"/>
  <c r="AI139" i="1"/>
  <c r="W139" i="1" s="1"/>
  <c r="AI140" i="1"/>
  <c r="W140" i="1" s="1"/>
  <c r="AI141" i="1"/>
  <c r="W141" i="1" s="1"/>
  <c r="AI142" i="1"/>
  <c r="W142" i="1" s="1"/>
  <c r="AI143" i="1"/>
  <c r="W143" i="1" s="1"/>
  <c r="AI144" i="1"/>
  <c r="W144" i="1" s="1"/>
  <c r="AI145" i="1"/>
  <c r="W145" i="1" s="1"/>
  <c r="AI146" i="1"/>
  <c r="W146" i="1" s="1"/>
  <c r="AI147" i="1"/>
  <c r="W147" i="1" s="1"/>
  <c r="AI148" i="1"/>
  <c r="W148" i="1" s="1"/>
  <c r="AI149" i="1"/>
  <c r="W149" i="1" s="1"/>
  <c r="AI150" i="1"/>
  <c r="W150" i="1" s="1"/>
  <c r="AI151" i="1"/>
  <c r="W151" i="1" s="1"/>
  <c r="AI152" i="1"/>
  <c r="W152" i="1" s="1"/>
  <c r="AI153" i="1"/>
  <c r="W153" i="1" s="1"/>
  <c r="AI154" i="1"/>
  <c r="W154" i="1" s="1"/>
  <c r="AI155" i="1"/>
  <c r="W155" i="1" s="1"/>
  <c r="AI156" i="1"/>
  <c r="W156" i="1" s="1"/>
  <c r="AI157" i="1"/>
  <c r="W157" i="1" s="1"/>
  <c r="AI158" i="1"/>
  <c r="W158" i="1" s="1"/>
  <c r="AI159" i="1"/>
  <c r="W159" i="1" s="1"/>
  <c r="AI160" i="1"/>
  <c r="W160" i="1" s="1"/>
  <c r="AI161" i="1"/>
  <c r="W161" i="1" s="1"/>
  <c r="AI162" i="1"/>
  <c r="W162" i="1" s="1"/>
  <c r="AI163" i="1"/>
  <c r="W163" i="1" s="1"/>
  <c r="AI164" i="1"/>
  <c r="W164" i="1" s="1"/>
  <c r="AI165" i="1"/>
  <c r="W165" i="1" s="1"/>
  <c r="AI166" i="1"/>
  <c r="W166" i="1" s="1"/>
  <c r="AI167" i="1"/>
  <c r="W167" i="1" s="1"/>
  <c r="AI168" i="1"/>
  <c r="W168" i="1" s="1"/>
  <c r="AI169" i="1"/>
  <c r="W169" i="1" s="1"/>
  <c r="AI170" i="1"/>
  <c r="W170" i="1" s="1"/>
  <c r="AI171" i="1"/>
  <c r="W171" i="1" s="1"/>
  <c r="AI172" i="1"/>
  <c r="W172" i="1" s="1"/>
  <c r="AI173" i="1"/>
  <c r="W173" i="1" s="1"/>
  <c r="AI174" i="1"/>
  <c r="W174" i="1" s="1"/>
  <c r="AI175" i="1"/>
  <c r="W175" i="1" s="1"/>
  <c r="AI176" i="1"/>
  <c r="W176" i="1" s="1"/>
  <c r="AI177" i="1"/>
  <c r="W177" i="1" s="1"/>
  <c r="AI178" i="1"/>
  <c r="W178" i="1" s="1"/>
  <c r="AI179" i="1"/>
  <c r="W179" i="1" s="1"/>
  <c r="AI180" i="1"/>
  <c r="W180" i="1" s="1"/>
  <c r="AI181" i="1"/>
  <c r="W181" i="1" s="1"/>
  <c r="AI182" i="1"/>
  <c r="W182" i="1" s="1"/>
  <c r="AI183" i="1"/>
  <c r="W183" i="1" s="1"/>
  <c r="AI184" i="1"/>
  <c r="W184" i="1" s="1"/>
  <c r="AI185" i="1"/>
  <c r="W185" i="1" s="1"/>
  <c r="AI186" i="1"/>
  <c r="W186" i="1" s="1"/>
  <c r="AI187" i="1"/>
  <c r="W187" i="1" s="1"/>
  <c r="AI188" i="1"/>
  <c r="W188" i="1" s="1"/>
  <c r="AI189" i="1"/>
  <c r="W189" i="1" s="1"/>
  <c r="AI190" i="1"/>
  <c r="W190" i="1" s="1"/>
  <c r="AI191" i="1"/>
  <c r="W191" i="1" s="1"/>
  <c r="AI192" i="1"/>
  <c r="W192" i="1" s="1"/>
  <c r="AI193" i="1"/>
  <c r="W193" i="1" s="1"/>
  <c r="AI194" i="1"/>
  <c r="W194" i="1" s="1"/>
  <c r="AI195" i="1"/>
  <c r="W195" i="1" s="1"/>
  <c r="AI196" i="1"/>
  <c r="W196" i="1" s="1"/>
  <c r="AI197" i="1"/>
  <c r="W197" i="1" s="1"/>
  <c r="AI198" i="1"/>
  <c r="W198" i="1" s="1"/>
  <c r="AI199" i="1"/>
  <c r="W199" i="1" s="1"/>
  <c r="AI200" i="1"/>
  <c r="W200" i="1" s="1"/>
  <c r="AI201" i="1"/>
  <c r="W201" i="1" s="1"/>
  <c r="AI202" i="1"/>
  <c r="W202" i="1" s="1"/>
  <c r="AI203" i="1"/>
  <c r="W203" i="1" s="1"/>
  <c r="AI204" i="1"/>
  <c r="W204" i="1" s="1"/>
  <c r="AI205" i="1"/>
  <c r="W205" i="1" s="1"/>
  <c r="AI206" i="1"/>
  <c r="W206" i="1" s="1"/>
  <c r="AI207" i="1"/>
  <c r="W207" i="1" s="1"/>
  <c r="AI208" i="1"/>
  <c r="W208" i="1" s="1"/>
  <c r="AI209" i="1"/>
  <c r="W209" i="1" s="1"/>
  <c r="AI210" i="1"/>
  <c r="W210" i="1" s="1"/>
  <c r="AI211" i="1"/>
  <c r="W211" i="1" s="1"/>
  <c r="AI212" i="1"/>
  <c r="W212" i="1" s="1"/>
  <c r="AI213" i="1"/>
  <c r="W213" i="1" s="1"/>
  <c r="AI214" i="1"/>
  <c r="W214" i="1" s="1"/>
  <c r="AI215" i="1"/>
  <c r="W215" i="1" s="1"/>
  <c r="AI216" i="1"/>
  <c r="W216" i="1" s="1"/>
  <c r="AI217" i="1"/>
  <c r="W217" i="1" s="1"/>
  <c r="AI218" i="1"/>
  <c r="W218" i="1" s="1"/>
  <c r="AI219" i="1"/>
  <c r="W219" i="1" s="1"/>
  <c r="AI220" i="1"/>
  <c r="W220" i="1" s="1"/>
  <c r="AI221" i="1"/>
  <c r="W221" i="1" s="1"/>
  <c r="AI222" i="1"/>
  <c r="W222" i="1" s="1"/>
  <c r="AI223" i="1"/>
  <c r="W223" i="1" s="1"/>
  <c r="AI224" i="1"/>
  <c r="W224" i="1" s="1"/>
  <c r="AI225" i="1"/>
  <c r="W225" i="1" s="1"/>
  <c r="AI226" i="1"/>
  <c r="W226" i="1" s="1"/>
  <c r="AI227" i="1"/>
  <c r="W227" i="1" s="1"/>
  <c r="AI228" i="1"/>
  <c r="W228" i="1" s="1"/>
  <c r="AI229" i="1"/>
  <c r="W229" i="1" s="1"/>
  <c r="AI230" i="1"/>
  <c r="W230" i="1" s="1"/>
  <c r="AI231" i="1"/>
  <c r="W231" i="1" s="1"/>
  <c r="AI232" i="1"/>
  <c r="W232" i="1" s="1"/>
  <c r="AI233" i="1"/>
  <c r="W233" i="1" s="1"/>
  <c r="AI234" i="1"/>
  <c r="W234" i="1" s="1"/>
  <c r="AI235" i="1"/>
  <c r="W235" i="1" s="1"/>
  <c r="AI236" i="1"/>
  <c r="W236" i="1" s="1"/>
  <c r="AI237" i="1"/>
  <c r="W237" i="1" s="1"/>
  <c r="AI238" i="1"/>
  <c r="W238" i="1" s="1"/>
  <c r="AI239" i="1"/>
  <c r="W239" i="1" s="1"/>
  <c r="AI240" i="1"/>
  <c r="W240" i="1" s="1"/>
  <c r="AI241" i="1"/>
  <c r="W241" i="1" s="1"/>
  <c r="AI242" i="1"/>
  <c r="W242" i="1" s="1"/>
  <c r="AI243" i="1"/>
  <c r="W243" i="1" s="1"/>
  <c r="AI244" i="1"/>
  <c r="W244" i="1" s="1"/>
  <c r="AI245" i="1"/>
  <c r="W245" i="1" s="1"/>
  <c r="AI246" i="1"/>
  <c r="W246" i="1" s="1"/>
  <c r="AI247" i="1"/>
  <c r="W247" i="1" s="1"/>
  <c r="AI248" i="1"/>
  <c r="W248" i="1" s="1"/>
  <c r="AI249" i="1"/>
  <c r="W249" i="1" s="1"/>
  <c r="AI250" i="1"/>
  <c r="W250" i="1" s="1"/>
  <c r="AI251" i="1"/>
  <c r="W251" i="1" s="1"/>
  <c r="AI252" i="1"/>
  <c r="W252" i="1" s="1"/>
  <c r="AI253" i="1"/>
  <c r="W253" i="1" s="1"/>
  <c r="AI254" i="1"/>
  <c r="W254" i="1" s="1"/>
  <c r="AI255" i="1"/>
  <c r="W255" i="1" s="1"/>
  <c r="AI256" i="1"/>
  <c r="W256" i="1" s="1"/>
  <c r="AI257" i="1"/>
  <c r="W257" i="1" s="1"/>
  <c r="AI258" i="1"/>
  <c r="W258" i="1" s="1"/>
  <c r="AI259" i="1"/>
  <c r="W259" i="1" s="1"/>
  <c r="AI260" i="1"/>
  <c r="W260" i="1" s="1"/>
  <c r="AI261" i="1"/>
  <c r="W261" i="1" s="1"/>
  <c r="AI262" i="1"/>
  <c r="W262" i="1" s="1"/>
  <c r="AI263" i="1"/>
  <c r="W263" i="1" s="1"/>
  <c r="AI264" i="1"/>
  <c r="W264" i="1" s="1"/>
  <c r="AI265" i="1"/>
  <c r="W265" i="1" s="1"/>
  <c r="AI266" i="1"/>
  <c r="W266" i="1" s="1"/>
  <c r="AI267" i="1"/>
  <c r="W267" i="1" s="1"/>
  <c r="AI268" i="1"/>
  <c r="W268" i="1" s="1"/>
  <c r="AI269" i="1"/>
  <c r="W269" i="1" s="1"/>
  <c r="AI270" i="1"/>
  <c r="W270" i="1" s="1"/>
  <c r="AI271" i="1"/>
  <c r="W271" i="1" s="1"/>
  <c r="AI272" i="1"/>
  <c r="W272" i="1" s="1"/>
  <c r="AI273" i="1"/>
  <c r="W273" i="1" s="1"/>
  <c r="AI274" i="1"/>
  <c r="W274" i="1" s="1"/>
  <c r="AI275" i="1"/>
  <c r="W275" i="1" s="1"/>
  <c r="AI276" i="1"/>
  <c r="W276" i="1" s="1"/>
  <c r="AI277" i="1"/>
  <c r="W277" i="1" s="1"/>
  <c r="AI278" i="1"/>
  <c r="W278" i="1" s="1"/>
  <c r="AI279" i="1"/>
  <c r="W279" i="1" s="1"/>
  <c r="AI280" i="1"/>
  <c r="W280" i="1" s="1"/>
  <c r="AI281" i="1"/>
  <c r="W281" i="1" s="1"/>
  <c r="AI282" i="1"/>
  <c r="W282" i="1" s="1"/>
  <c r="AI283" i="1"/>
  <c r="W283" i="1" s="1"/>
  <c r="AI284" i="1"/>
  <c r="W284" i="1" s="1"/>
  <c r="AI285" i="1"/>
  <c r="W285" i="1" s="1"/>
  <c r="AI286" i="1"/>
  <c r="W286" i="1" s="1"/>
  <c r="AI287" i="1"/>
  <c r="W287" i="1" s="1"/>
  <c r="AI288" i="1"/>
  <c r="W288" i="1" s="1"/>
  <c r="AI289" i="1"/>
  <c r="W289" i="1" s="1"/>
  <c r="AI290" i="1"/>
  <c r="W290" i="1" s="1"/>
  <c r="AI291" i="1"/>
  <c r="W291" i="1" s="1"/>
  <c r="AI292" i="1"/>
  <c r="W292" i="1" s="1"/>
  <c r="AI293" i="1"/>
  <c r="W293" i="1" s="1"/>
  <c r="AI294" i="1"/>
  <c r="W294" i="1" s="1"/>
  <c r="AI295" i="1"/>
  <c r="W295" i="1" s="1"/>
  <c r="AI296" i="1"/>
  <c r="W296" i="1" s="1"/>
  <c r="AI297" i="1"/>
  <c r="W297" i="1" s="1"/>
  <c r="AI298" i="1"/>
  <c r="W298" i="1" s="1"/>
  <c r="AI299" i="1"/>
  <c r="W299" i="1" s="1"/>
  <c r="AI300" i="1"/>
  <c r="W300" i="1" s="1"/>
  <c r="AI301" i="1"/>
  <c r="W301" i="1" s="1"/>
  <c r="AI302" i="1"/>
  <c r="W302" i="1" s="1"/>
  <c r="AI303" i="1"/>
  <c r="W303" i="1" s="1"/>
  <c r="AI304" i="1"/>
  <c r="W304" i="1" s="1"/>
  <c r="AI305" i="1"/>
  <c r="W305" i="1" s="1"/>
  <c r="AI306" i="1"/>
  <c r="W306" i="1" s="1"/>
  <c r="AI307" i="1"/>
  <c r="W307" i="1" s="1"/>
  <c r="AI308" i="1"/>
  <c r="W308" i="1" s="1"/>
  <c r="AI309" i="1"/>
  <c r="W309" i="1" s="1"/>
  <c r="AI310" i="1"/>
  <c r="W310" i="1" s="1"/>
  <c r="AI311" i="1"/>
  <c r="W311" i="1" s="1"/>
  <c r="AI312" i="1"/>
  <c r="W312" i="1" s="1"/>
  <c r="AI313" i="1"/>
  <c r="W313" i="1" s="1"/>
  <c r="AI314" i="1"/>
  <c r="W314" i="1" s="1"/>
  <c r="AI315" i="1"/>
  <c r="W315" i="1" s="1"/>
  <c r="AI316" i="1"/>
  <c r="W316" i="1" s="1"/>
  <c r="AI317" i="1"/>
  <c r="W317" i="1" s="1"/>
  <c r="AI318" i="1"/>
  <c r="W318" i="1" s="1"/>
  <c r="AI319" i="1"/>
  <c r="W319" i="1" s="1"/>
  <c r="AI320" i="1"/>
  <c r="W320" i="1" s="1"/>
  <c r="AI321" i="1"/>
  <c r="W321" i="1" s="1"/>
  <c r="AI322" i="1"/>
  <c r="W322" i="1" s="1"/>
  <c r="AI323" i="1"/>
  <c r="W323" i="1" s="1"/>
  <c r="AI324" i="1"/>
  <c r="W324" i="1" s="1"/>
  <c r="AI325" i="1"/>
  <c r="W325" i="1" s="1"/>
  <c r="AI326" i="1"/>
  <c r="W326" i="1" s="1"/>
  <c r="AI327" i="1"/>
  <c r="W327" i="1" s="1"/>
  <c r="AI328" i="1"/>
  <c r="W328" i="1" s="1"/>
  <c r="AI329" i="1"/>
  <c r="W329" i="1" s="1"/>
  <c r="AI330" i="1"/>
  <c r="W330" i="1" s="1"/>
  <c r="AI331" i="1"/>
  <c r="W331" i="1" s="1"/>
  <c r="AI332" i="1"/>
  <c r="W332" i="1" s="1"/>
  <c r="AI333" i="1"/>
  <c r="W333" i="1" s="1"/>
  <c r="AI334" i="1"/>
  <c r="W334" i="1" s="1"/>
  <c r="AI335" i="1"/>
  <c r="W335" i="1" s="1"/>
  <c r="AI336" i="1"/>
  <c r="W336" i="1" s="1"/>
  <c r="AI337" i="1"/>
  <c r="W337" i="1" s="1"/>
  <c r="AI338" i="1"/>
  <c r="W338" i="1" s="1"/>
  <c r="AI339" i="1"/>
  <c r="W339" i="1" s="1"/>
  <c r="AI340" i="1"/>
  <c r="W340" i="1" s="1"/>
  <c r="AI341" i="1"/>
  <c r="W341" i="1" s="1"/>
  <c r="AI342" i="1"/>
  <c r="W342" i="1" s="1"/>
  <c r="AI343" i="1"/>
  <c r="W343" i="1" s="1"/>
  <c r="AI344" i="1"/>
  <c r="W344" i="1" s="1"/>
  <c r="AI345" i="1"/>
  <c r="W345" i="1" s="1"/>
  <c r="AI346" i="1"/>
  <c r="W346" i="1" s="1"/>
  <c r="AI347" i="1"/>
  <c r="W347" i="1" s="1"/>
  <c r="AI348" i="1"/>
  <c r="W348" i="1" s="1"/>
  <c r="AI349" i="1"/>
  <c r="W349" i="1" s="1"/>
  <c r="AI350" i="1"/>
  <c r="W350" i="1" s="1"/>
  <c r="AI351" i="1"/>
  <c r="W351" i="1" s="1"/>
  <c r="AI352" i="1"/>
  <c r="W352" i="1" s="1"/>
  <c r="AI353" i="1"/>
  <c r="W353" i="1" s="1"/>
  <c r="AI354" i="1"/>
  <c r="W354" i="1" s="1"/>
  <c r="AI355" i="1"/>
  <c r="W355" i="1" s="1"/>
  <c r="AI356" i="1"/>
  <c r="W356" i="1" s="1"/>
  <c r="AI357" i="1"/>
  <c r="W357" i="1" s="1"/>
  <c r="AI358" i="1"/>
  <c r="W358" i="1" s="1"/>
  <c r="AI359" i="1"/>
  <c r="W359" i="1" s="1"/>
  <c r="AI360" i="1"/>
  <c r="W360" i="1" s="1"/>
  <c r="AI361" i="1"/>
  <c r="W361" i="1" s="1"/>
  <c r="AI362" i="1"/>
  <c r="W362" i="1" s="1"/>
  <c r="AI363" i="1"/>
  <c r="W363" i="1" s="1"/>
  <c r="AI364" i="1"/>
  <c r="W364" i="1" s="1"/>
  <c r="AI365" i="1"/>
  <c r="W365" i="1" s="1"/>
  <c r="AI366" i="1"/>
  <c r="W366" i="1" s="1"/>
  <c r="AI367" i="1"/>
  <c r="W367" i="1" s="1"/>
  <c r="AI368" i="1"/>
  <c r="W368" i="1" s="1"/>
  <c r="AI369" i="1"/>
  <c r="W369" i="1" s="1"/>
  <c r="AI370" i="1"/>
  <c r="W370" i="1" s="1"/>
  <c r="AI371" i="1"/>
  <c r="W371" i="1" s="1"/>
  <c r="AI372" i="1"/>
  <c r="W372" i="1" s="1"/>
  <c r="AI373" i="1"/>
  <c r="W373" i="1" s="1"/>
  <c r="AI374" i="1"/>
  <c r="W374" i="1" s="1"/>
  <c r="AI375" i="1"/>
  <c r="W375" i="1" s="1"/>
  <c r="AI376" i="1"/>
  <c r="W376" i="1" s="1"/>
  <c r="AI377" i="1"/>
  <c r="W377" i="1" s="1"/>
  <c r="AI378" i="1"/>
  <c r="W378" i="1" s="1"/>
  <c r="AI379" i="1"/>
  <c r="W379" i="1" s="1"/>
  <c r="AI380" i="1"/>
  <c r="W380" i="1" s="1"/>
  <c r="AI381" i="1"/>
  <c r="W381" i="1" s="1"/>
  <c r="AI382" i="1"/>
  <c r="W382" i="1" s="1"/>
  <c r="AI383" i="1"/>
  <c r="W383" i="1" s="1"/>
  <c r="AI384" i="1"/>
  <c r="W384" i="1" s="1"/>
  <c r="AI385" i="1"/>
  <c r="W385" i="1" s="1"/>
  <c r="AI386" i="1"/>
  <c r="W386" i="1" s="1"/>
  <c r="AI387" i="1"/>
  <c r="W387" i="1" s="1"/>
  <c r="AI388" i="1"/>
  <c r="W388" i="1" s="1"/>
  <c r="AI389" i="1"/>
  <c r="W389" i="1" s="1"/>
  <c r="AI390" i="1"/>
  <c r="W390" i="1" s="1"/>
  <c r="AI391" i="1"/>
  <c r="W391" i="1" s="1"/>
  <c r="AI392" i="1"/>
  <c r="W392" i="1" s="1"/>
  <c r="AI393" i="1"/>
  <c r="W393" i="1" s="1"/>
  <c r="AI394" i="1"/>
  <c r="W394" i="1" s="1"/>
  <c r="AI395" i="1"/>
  <c r="W395" i="1" s="1"/>
  <c r="AI396" i="1"/>
  <c r="W396" i="1" s="1"/>
  <c r="AI397" i="1"/>
  <c r="W397" i="1" s="1"/>
  <c r="AI398" i="1"/>
  <c r="W398" i="1" s="1"/>
  <c r="AI399" i="1"/>
  <c r="W399" i="1" s="1"/>
  <c r="AI400" i="1"/>
  <c r="W400" i="1" s="1"/>
  <c r="AI401" i="1"/>
  <c r="W401" i="1" s="1"/>
  <c r="AI2" i="1"/>
  <c r="W2" i="1" s="1"/>
  <c r="AH3" i="1"/>
  <c r="U3" i="1" s="1"/>
  <c r="AH4" i="1"/>
  <c r="U4" i="1" s="1"/>
  <c r="AH5" i="1"/>
  <c r="U5" i="1" s="1"/>
  <c r="AH6" i="1"/>
  <c r="U6" i="1" s="1"/>
  <c r="AH7" i="1"/>
  <c r="U7" i="1" s="1"/>
  <c r="AH8" i="1"/>
  <c r="U8" i="1" s="1"/>
  <c r="AH9" i="1"/>
  <c r="U9" i="1" s="1"/>
  <c r="AH10" i="1"/>
  <c r="U10" i="1" s="1"/>
  <c r="AH11" i="1"/>
  <c r="U11" i="1" s="1"/>
  <c r="AH12" i="1"/>
  <c r="U12" i="1" s="1"/>
  <c r="AH13" i="1"/>
  <c r="U13" i="1" s="1"/>
  <c r="AH14" i="1"/>
  <c r="U14" i="1" s="1"/>
  <c r="AH15" i="1"/>
  <c r="U15" i="1" s="1"/>
  <c r="AH16" i="1"/>
  <c r="U16" i="1" s="1"/>
  <c r="AH17" i="1"/>
  <c r="U17" i="1" s="1"/>
  <c r="AH18" i="1"/>
  <c r="U18" i="1" s="1"/>
  <c r="AH19" i="1"/>
  <c r="U19" i="1" s="1"/>
  <c r="AH20" i="1"/>
  <c r="U20" i="1" s="1"/>
  <c r="AH21" i="1"/>
  <c r="U21" i="1" s="1"/>
  <c r="AH22" i="1"/>
  <c r="U22" i="1" s="1"/>
  <c r="AH23" i="1"/>
  <c r="U23" i="1" s="1"/>
  <c r="AH24" i="1"/>
  <c r="U24" i="1" s="1"/>
  <c r="AH25" i="1"/>
  <c r="U25" i="1" s="1"/>
  <c r="AH26" i="1"/>
  <c r="U26" i="1" s="1"/>
  <c r="AH27" i="1"/>
  <c r="U27" i="1" s="1"/>
  <c r="AH28" i="1"/>
  <c r="U28" i="1" s="1"/>
  <c r="AH29" i="1"/>
  <c r="U29" i="1" s="1"/>
  <c r="AH30" i="1"/>
  <c r="U30" i="1" s="1"/>
  <c r="AH31" i="1"/>
  <c r="U31" i="1" s="1"/>
  <c r="AH32" i="1"/>
  <c r="U32" i="1" s="1"/>
  <c r="AH33" i="1"/>
  <c r="U33" i="1" s="1"/>
  <c r="AH34" i="1"/>
  <c r="U34" i="1" s="1"/>
  <c r="AH35" i="1"/>
  <c r="U35" i="1" s="1"/>
  <c r="AH36" i="1"/>
  <c r="U36" i="1" s="1"/>
  <c r="AH37" i="1"/>
  <c r="U37" i="1" s="1"/>
  <c r="AH38" i="1"/>
  <c r="U38" i="1" s="1"/>
  <c r="AH39" i="1"/>
  <c r="U39" i="1" s="1"/>
  <c r="AH40" i="1"/>
  <c r="U40" i="1" s="1"/>
  <c r="AH41" i="1"/>
  <c r="U41" i="1" s="1"/>
  <c r="AH42" i="1"/>
  <c r="U42" i="1" s="1"/>
  <c r="AH43" i="1"/>
  <c r="U43" i="1" s="1"/>
  <c r="AH44" i="1"/>
  <c r="U44" i="1" s="1"/>
  <c r="AH45" i="1"/>
  <c r="U45" i="1" s="1"/>
  <c r="AH46" i="1"/>
  <c r="U46" i="1" s="1"/>
  <c r="AH47" i="1"/>
  <c r="U47" i="1" s="1"/>
  <c r="AH48" i="1"/>
  <c r="U48" i="1" s="1"/>
  <c r="AH49" i="1"/>
  <c r="U49" i="1" s="1"/>
  <c r="AH50" i="1"/>
  <c r="U50" i="1" s="1"/>
  <c r="AH51" i="1"/>
  <c r="U51" i="1" s="1"/>
  <c r="AH52" i="1"/>
  <c r="U52" i="1" s="1"/>
  <c r="AH53" i="1"/>
  <c r="U53" i="1" s="1"/>
  <c r="AH54" i="1"/>
  <c r="U54" i="1" s="1"/>
  <c r="AH55" i="1"/>
  <c r="U55" i="1" s="1"/>
  <c r="AH56" i="1"/>
  <c r="U56" i="1" s="1"/>
  <c r="AH57" i="1"/>
  <c r="U57" i="1" s="1"/>
  <c r="AH58" i="1"/>
  <c r="U58" i="1" s="1"/>
  <c r="AH59" i="1"/>
  <c r="U59" i="1" s="1"/>
  <c r="AH60" i="1"/>
  <c r="U60" i="1" s="1"/>
  <c r="AH61" i="1"/>
  <c r="U61" i="1" s="1"/>
  <c r="AH62" i="1"/>
  <c r="U62" i="1" s="1"/>
  <c r="AH63" i="1"/>
  <c r="U63" i="1" s="1"/>
  <c r="AH64" i="1"/>
  <c r="U64" i="1" s="1"/>
  <c r="AH65" i="1"/>
  <c r="U65" i="1" s="1"/>
  <c r="AH66" i="1"/>
  <c r="U66" i="1" s="1"/>
  <c r="AH67" i="1"/>
  <c r="U67" i="1" s="1"/>
  <c r="AH68" i="1"/>
  <c r="U68" i="1" s="1"/>
  <c r="AH69" i="1"/>
  <c r="U69" i="1" s="1"/>
  <c r="AH70" i="1"/>
  <c r="U70" i="1" s="1"/>
  <c r="AH71" i="1"/>
  <c r="U71" i="1" s="1"/>
  <c r="AH72" i="1"/>
  <c r="U72" i="1" s="1"/>
  <c r="AH73" i="1"/>
  <c r="U73" i="1" s="1"/>
  <c r="AH74" i="1"/>
  <c r="U74" i="1" s="1"/>
  <c r="AH75" i="1"/>
  <c r="U75" i="1" s="1"/>
  <c r="AH76" i="1"/>
  <c r="U76" i="1" s="1"/>
  <c r="AH77" i="1"/>
  <c r="U77" i="1" s="1"/>
  <c r="AH78" i="1"/>
  <c r="U78" i="1" s="1"/>
  <c r="AH79" i="1"/>
  <c r="U79" i="1" s="1"/>
  <c r="AH80" i="1"/>
  <c r="U80" i="1" s="1"/>
  <c r="AH81" i="1"/>
  <c r="U81" i="1" s="1"/>
  <c r="AH82" i="1"/>
  <c r="U82" i="1" s="1"/>
  <c r="AH83" i="1"/>
  <c r="U83" i="1" s="1"/>
  <c r="AH84" i="1"/>
  <c r="U84" i="1" s="1"/>
  <c r="AH85" i="1"/>
  <c r="U85" i="1" s="1"/>
  <c r="AH86" i="1"/>
  <c r="U86" i="1" s="1"/>
  <c r="AH87" i="1"/>
  <c r="U87" i="1" s="1"/>
  <c r="AH88" i="1"/>
  <c r="U88" i="1" s="1"/>
  <c r="AH89" i="1"/>
  <c r="U89" i="1" s="1"/>
  <c r="AH90" i="1"/>
  <c r="U90" i="1" s="1"/>
  <c r="AH91" i="1"/>
  <c r="U91" i="1" s="1"/>
  <c r="AH92" i="1"/>
  <c r="U92" i="1" s="1"/>
  <c r="AH93" i="1"/>
  <c r="U93" i="1" s="1"/>
  <c r="AH94" i="1"/>
  <c r="U94" i="1" s="1"/>
  <c r="AH95" i="1"/>
  <c r="U95" i="1" s="1"/>
  <c r="AH96" i="1"/>
  <c r="U96" i="1" s="1"/>
  <c r="AH97" i="1"/>
  <c r="U97" i="1" s="1"/>
  <c r="AH98" i="1"/>
  <c r="U98" i="1" s="1"/>
  <c r="AH99" i="1"/>
  <c r="U99" i="1" s="1"/>
  <c r="AH100" i="1"/>
  <c r="U100" i="1" s="1"/>
  <c r="AH101" i="1"/>
  <c r="U101" i="1" s="1"/>
  <c r="AH102" i="1"/>
  <c r="U102" i="1" s="1"/>
  <c r="AH103" i="1"/>
  <c r="U103" i="1" s="1"/>
  <c r="AH104" i="1"/>
  <c r="U104" i="1" s="1"/>
  <c r="AH105" i="1"/>
  <c r="U105" i="1" s="1"/>
  <c r="AH106" i="1"/>
  <c r="U106" i="1" s="1"/>
  <c r="AH107" i="1"/>
  <c r="U107" i="1" s="1"/>
  <c r="AH108" i="1"/>
  <c r="U108" i="1" s="1"/>
  <c r="AH109" i="1"/>
  <c r="U109" i="1" s="1"/>
  <c r="AH110" i="1"/>
  <c r="U110" i="1" s="1"/>
  <c r="AH111" i="1"/>
  <c r="U111" i="1" s="1"/>
  <c r="AH112" i="1"/>
  <c r="U112" i="1" s="1"/>
  <c r="AH113" i="1"/>
  <c r="U113" i="1" s="1"/>
  <c r="AH114" i="1"/>
  <c r="U114" i="1" s="1"/>
  <c r="AH115" i="1"/>
  <c r="U115" i="1" s="1"/>
  <c r="AH116" i="1"/>
  <c r="U116" i="1" s="1"/>
  <c r="AH117" i="1"/>
  <c r="U117" i="1" s="1"/>
  <c r="AH118" i="1"/>
  <c r="U118" i="1" s="1"/>
  <c r="AH119" i="1"/>
  <c r="U119" i="1" s="1"/>
  <c r="AH120" i="1"/>
  <c r="U120" i="1" s="1"/>
  <c r="AH121" i="1"/>
  <c r="U121" i="1" s="1"/>
  <c r="AH122" i="1"/>
  <c r="U122" i="1" s="1"/>
  <c r="AH123" i="1"/>
  <c r="U123" i="1" s="1"/>
  <c r="AH124" i="1"/>
  <c r="U124" i="1" s="1"/>
  <c r="AH125" i="1"/>
  <c r="U125" i="1" s="1"/>
  <c r="AH126" i="1"/>
  <c r="U126" i="1" s="1"/>
  <c r="AH127" i="1"/>
  <c r="U127" i="1" s="1"/>
  <c r="AH128" i="1"/>
  <c r="U128" i="1" s="1"/>
  <c r="AH129" i="1"/>
  <c r="U129" i="1" s="1"/>
  <c r="AH130" i="1"/>
  <c r="U130" i="1" s="1"/>
  <c r="AH131" i="1"/>
  <c r="U131" i="1" s="1"/>
  <c r="AH132" i="1"/>
  <c r="U132" i="1" s="1"/>
  <c r="AH133" i="1"/>
  <c r="U133" i="1" s="1"/>
  <c r="AH134" i="1"/>
  <c r="U134" i="1" s="1"/>
  <c r="AH135" i="1"/>
  <c r="U135" i="1" s="1"/>
  <c r="AH136" i="1"/>
  <c r="U136" i="1" s="1"/>
  <c r="AH137" i="1"/>
  <c r="U137" i="1" s="1"/>
  <c r="AH138" i="1"/>
  <c r="U138" i="1" s="1"/>
  <c r="AH139" i="1"/>
  <c r="U139" i="1" s="1"/>
  <c r="AH140" i="1"/>
  <c r="U140" i="1" s="1"/>
  <c r="AH141" i="1"/>
  <c r="U141" i="1" s="1"/>
  <c r="AH142" i="1"/>
  <c r="U142" i="1" s="1"/>
  <c r="AH143" i="1"/>
  <c r="U143" i="1" s="1"/>
  <c r="AH144" i="1"/>
  <c r="U144" i="1" s="1"/>
  <c r="AH145" i="1"/>
  <c r="U145" i="1" s="1"/>
  <c r="AH146" i="1"/>
  <c r="U146" i="1" s="1"/>
  <c r="AH147" i="1"/>
  <c r="U147" i="1" s="1"/>
  <c r="AH148" i="1"/>
  <c r="U148" i="1" s="1"/>
  <c r="AH149" i="1"/>
  <c r="U149" i="1" s="1"/>
  <c r="AH150" i="1"/>
  <c r="U150" i="1" s="1"/>
  <c r="AH151" i="1"/>
  <c r="U151" i="1" s="1"/>
  <c r="AH152" i="1"/>
  <c r="U152" i="1" s="1"/>
  <c r="AH153" i="1"/>
  <c r="U153" i="1" s="1"/>
  <c r="AH154" i="1"/>
  <c r="U154" i="1" s="1"/>
  <c r="AH155" i="1"/>
  <c r="U155" i="1" s="1"/>
  <c r="AH156" i="1"/>
  <c r="U156" i="1" s="1"/>
  <c r="AH157" i="1"/>
  <c r="U157" i="1" s="1"/>
  <c r="AH158" i="1"/>
  <c r="U158" i="1" s="1"/>
  <c r="AH159" i="1"/>
  <c r="U159" i="1" s="1"/>
  <c r="AH160" i="1"/>
  <c r="U160" i="1" s="1"/>
  <c r="AH161" i="1"/>
  <c r="U161" i="1" s="1"/>
  <c r="AH162" i="1"/>
  <c r="U162" i="1" s="1"/>
  <c r="AH163" i="1"/>
  <c r="U163" i="1" s="1"/>
  <c r="AH164" i="1"/>
  <c r="U164" i="1" s="1"/>
  <c r="AH165" i="1"/>
  <c r="U165" i="1" s="1"/>
  <c r="AH166" i="1"/>
  <c r="U166" i="1" s="1"/>
  <c r="AH167" i="1"/>
  <c r="U167" i="1" s="1"/>
  <c r="AH168" i="1"/>
  <c r="U168" i="1" s="1"/>
  <c r="AH169" i="1"/>
  <c r="U169" i="1" s="1"/>
  <c r="AH170" i="1"/>
  <c r="U170" i="1" s="1"/>
  <c r="AH171" i="1"/>
  <c r="U171" i="1" s="1"/>
  <c r="AH172" i="1"/>
  <c r="U172" i="1" s="1"/>
  <c r="AH173" i="1"/>
  <c r="U173" i="1" s="1"/>
  <c r="AH174" i="1"/>
  <c r="U174" i="1" s="1"/>
  <c r="AH175" i="1"/>
  <c r="U175" i="1" s="1"/>
  <c r="AH176" i="1"/>
  <c r="U176" i="1" s="1"/>
  <c r="AH177" i="1"/>
  <c r="U177" i="1" s="1"/>
  <c r="AH178" i="1"/>
  <c r="U178" i="1" s="1"/>
  <c r="AH179" i="1"/>
  <c r="U179" i="1" s="1"/>
  <c r="AH180" i="1"/>
  <c r="U180" i="1" s="1"/>
  <c r="AH181" i="1"/>
  <c r="U181" i="1" s="1"/>
  <c r="AH182" i="1"/>
  <c r="U182" i="1" s="1"/>
  <c r="AH183" i="1"/>
  <c r="U183" i="1" s="1"/>
  <c r="AH184" i="1"/>
  <c r="U184" i="1" s="1"/>
  <c r="AH185" i="1"/>
  <c r="U185" i="1" s="1"/>
  <c r="AH186" i="1"/>
  <c r="U186" i="1" s="1"/>
  <c r="AH187" i="1"/>
  <c r="U187" i="1" s="1"/>
  <c r="AH188" i="1"/>
  <c r="U188" i="1" s="1"/>
  <c r="AH189" i="1"/>
  <c r="U189" i="1" s="1"/>
  <c r="AH190" i="1"/>
  <c r="U190" i="1" s="1"/>
  <c r="AH191" i="1"/>
  <c r="U191" i="1" s="1"/>
  <c r="AH192" i="1"/>
  <c r="U192" i="1" s="1"/>
  <c r="AH193" i="1"/>
  <c r="U193" i="1" s="1"/>
  <c r="AH194" i="1"/>
  <c r="U194" i="1" s="1"/>
  <c r="AH195" i="1"/>
  <c r="U195" i="1" s="1"/>
  <c r="AH196" i="1"/>
  <c r="U196" i="1" s="1"/>
  <c r="AH197" i="1"/>
  <c r="U197" i="1" s="1"/>
  <c r="AH198" i="1"/>
  <c r="U198" i="1" s="1"/>
  <c r="AH199" i="1"/>
  <c r="U199" i="1" s="1"/>
  <c r="AH200" i="1"/>
  <c r="U200" i="1" s="1"/>
  <c r="AH201" i="1"/>
  <c r="U201" i="1" s="1"/>
  <c r="AH202" i="1"/>
  <c r="U202" i="1" s="1"/>
  <c r="AH203" i="1"/>
  <c r="U203" i="1" s="1"/>
  <c r="AH204" i="1"/>
  <c r="U204" i="1" s="1"/>
  <c r="AH205" i="1"/>
  <c r="U205" i="1" s="1"/>
  <c r="AH206" i="1"/>
  <c r="U206" i="1" s="1"/>
  <c r="AH207" i="1"/>
  <c r="U207" i="1" s="1"/>
  <c r="AH208" i="1"/>
  <c r="U208" i="1" s="1"/>
  <c r="AH209" i="1"/>
  <c r="U209" i="1" s="1"/>
  <c r="AH210" i="1"/>
  <c r="U210" i="1" s="1"/>
  <c r="AH211" i="1"/>
  <c r="U211" i="1" s="1"/>
  <c r="AH212" i="1"/>
  <c r="U212" i="1" s="1"/>
  <c r="AH213" i="1"/>
  <c r="U213" i="1" s="1"/>
  <c r="AH214" i="1"/>
  <c r="U214" i="1" s="1"/>
  <c r="AH215" i="1"/>
  <c r="U215" i="1" s="1"/>
  <c r="AH216" i="1"/>
  <c r="U216" i="1" s="1"/>
  <c r="AH217" i="1"/>
  <c r="U217" i="1" s="1"/>
  <c r="AH218" i="1"/>
  <c r="U218" i="1" s="1"/>
  <c r="AH219" i="1"/>
  <c r="U219" i="1" s="1"/>
  <c r="AH220" i="1"/>
  <c r="U220" i="1" s="1"/>
  <c r="AH221" i="1"/>
  <c r="U221" i="1" s="1"/>
  <c r="AH222" i="1"/>
  <c r="U222" i="1" s="1"/>
  <c r="AH223" i="1"/>
  <c r="U223" i="1" s="1"/>
  <c r="AH224" i="1"/>
  <c r="U224" i="1" s="1"/>
  <c r="AH225" i="1"/>
  <c r="U225" i="1" s="1"/>
  <c r="AH226" i="1"/>
  <c r="U226" i="1" s="1"/>
  <c r="AH227" i="1"/>
  <c r="U227" i="1" s="1"/>
  <c r="AH228" i="1"/>
  <c r="U228" i="1" s="1"/>
  <c r="AH229" i="1"/>
  <c r="U229" i="1" s="1"/>
  <c r="AH230" i="1"/>
  <c r="U230" i="1" s="1"/>
  <c r="AH231" i="1"/>
  <c r="U231" i="1" s="1"/>
  <c r="AH232" i="1"/>
  <c r="U232" i="1" s="1"/>
  <c r="AH233" i="1"/>
  <c r="U233" i="1" s="1"/>
  <c r="AH234" i="1"/>
  <c r="U234" i="1" s="1"/>
  <c r="AH235" i="1"/>
  <c r="U235" i="1" s="1"/>
  <c r="AH236" i="1"/>
  <c r="U236" i="1" s="1"/>
  <c r="AH237" i="1"/>
  <c r="U237" i="1" s="1"/>
  <c r="AH238" i="1"/>
  <c r="U238" i="1" s="1"/>
  <c r="AH239" i="1"/>
  <c r="U239" i="1" s="1"/>
  <c r="AH240" i="1"/>
  <c r="U240" i="1" s="1"/>
  <c r="AH241" i="1"/>
  <c r="U241" i="1" s="1"/>
  <c r="AH242" i="1"/>
  <c r="U242" i="1" s="1"/>
  <c r="AH243" i="1"/>
  <c r="U243" i="1" s="1"/>
  <c r="AH244" i="1"/>
  <c r="U244" i="1" s="1"/>
  <c r="AH245" i="1"/>
  <c r="U245" i="1" s="1"/>
  <c r="AH246" i="1"/>
  <c r="U246" i="1" s="1"/>
  <c r="AH247" i="1"/>
  <c r="U247" i="1" s="1"/>
  <c r="AH248" i="1"/>
  <c r="U248" i="1" s="1"/>
  <c r="AH249" i="1"/>
  <c r="U249" i="1" s="1"/>
  <c r="AH250" i="1"/>
  <c r="U250" i="1" s="1"/>
  <c r="AH251" i="1"/>
  <c r="U251" i="1" s="1"/>
  <c r="AH252" i="1"/>
  <c r="U252" i="1" s="1"/>
  <c r="AH253" i="1"/>
  <c r="U253" i="1" s="1"/>
  <c r="AH254" i="1"/>
  <c r="U254" i="1" s="1"/>
  <c r="AH255" i="1"/>
  <c r="U255" i="1" s="1"/>
  <c r="AH256" i="1"/>
  <c r="U256" i="1" s="1"/>
  <c r="AH257" i="1"/>
  <c r="U257" i="1" s="1"/>
  <c r="AH258" i="1"/>
  <c r="U258" i="1" s="1"/>
  <c r="AH259" i="1"/>
  <c r="U259" i="1" s="1"/>
  <c r="AH260" i="1"/>
  <c r="U260" i="1" s="1"/>
  <c r="AH261" i="1"/>
  <c r="U261" i="1" s="1"/>
  <c r="AH262" i="1"/>
  <c r="U262" i="1" s="1"/>
  <c r="AH263" i="1"/>
  <c r="U263" i="1" s="1"/>
  <c r="AH264" i="1"/>
  <c r="U264" i="1" s="1"/>
  <c r="AH265" i="1"/>
  <c r="U265" i="1" s="1"/>
  <c r="AH266" i="1"/>
  <c r="U266" i="1" s="1"/>
  <c r="AH267" i="1"/>
  <c r="U267" i="1" s="1"/>
  <c r="AH268" i="1"/>
  <c r="U268" i="1" s="1"/>
  <c r="AH269" i="1"/>
  <c r="U269" i="1" s="1"/>
  <c r="AH270" i="1"/>
  <c r="U270" i="1" s="1"/>
  <c r="AH271" i="1"/>
  <c r="U271" i="1" s="1"/>
  <c r="AH272" i="1"/>
  <c r="U272" i="1" s="1"/>
  <c r="AH273" i="1"/>
  <c r="U273" i="1" s="1"/>
  <c r="AH274" i="1"/>
  <c r="U274" i="1" s="1"/>
  <c r="AH275" i="1"/>
  <c r="U275" i="1" s="1"/>
  <c r="AH276" i="1"/>
  <c r="U276" i="1" s="1"/>
  <c r="AH277" i="1"/>
  <c r="U277" i="1" s="1"/>
  <c r="AH278" i="1"/>
  <c r="U278" i="1" s="1"/>
  <c r="AH279" i="1"/>
  <c r="U279" i="1" s="1"/>
  <c r="AH280" i="1"/>
  <c r="U280" i="1" s="1"/>
  <c r="AH281" i="1"/>
  <c r="U281" i="1" s="1"/>
  <c r="AH282" i="1"/>
  <c r="U282" i="1" s="1"/>
  <c r="AH283" i="1"/>
  <c r="U283" i="1" s="1"/>
  <c r="AH284" i="1"/>
  <c r="U284" i="1" s="1"/>
  <c r="AH285" i="1"/>
  <c r="U285" i="1" s="1"/>
  <c r="AH286" i="1"/>
  <c r="U286" i="1" s="1"/>
  <c r="AH287" i="1"/>
  <c r="U287" i="1" s="1"/>
  <c r="AH288" i="1"/>
  <c r="U288" i="1" s="1"/>
  <c r="AH289" i="1"/>
  <c r="U289" i="1" s="1"/>
  <c r="AH290" i="1"/>
  <c r="U290" i="1" s="1"/>
  <c r="AH291" i="1"/>
  <c r="U291" i="1" s="1"/>
  <c r="AH292" i="1"/>
  <c r="U292" i="1" s="1"/>
  <c r="AH293" i="1"/>
  <c r="U293" i="1" s="1"/>
  <c r="AH294" i="1"/>
  <c r="U294" i="1" s="1"/>
  <c r="AH295" i="1"/>
  <c r="U295" i="1" s="1"/>
  <c r="AH296" i="1"/>
  <c r="U296" i="1" s="1"/>
  <c r="AH297" i="1"/>
  <c r="U297" i="1" s="1"/>
  <c r="AH298" i="1"/>
  <c r="U298" i="1" s="1"/>
  <c r="AH299" i="1"/>
  <c r="U299" i="1" s="1"/>
  <c r="AH300" i="1"/>
  <c r="U300" i="1" s="1"/>
  <c r="AH301" i="1"/>
  <c r="U301" i="1" s="1"/>
  <c r="AH302" i="1"/>
  <c r="U302" i="1" s="1"/>
  <c r="AH303" i="1"/>
  <c r="U303" i="1" s="1"/>
  <c r="AH304" i="1"/>
  <c r="U304" i="1" s="1"/>
  <c r="AH305" i="1"/>
  <c r="U305" i="1" s="1"/>
  <c r="AH306" i="1"/>
  <c r="U306" i="1" s="1"/>
  <c r="AH307" i="1"/>
  <c r="U307" i="1" s="1"/>
  <c r="AH308" i="1"/>
  <c r="U308" i="1" s="1"/>
  <c r="AH309" i="1"/>
  <c r="U309" i="1" s="1"/>
  <c r="AH310" i="1"/>
  <c r="U310" i="1" s="1"/>
  <c r="AH311" i="1"/>
  <c r="U311" i="1" s="1"/>
  <c r="AH312" i="1"/>
  <c r="U312" i="1" s="1"/>
  <c r="AH313" i="1"/>
  <c r="U313" i="1" s="1"/>
  <c r="AH314" i="1"/>
  <c r="U314" i="1" s="1"/>
  <c r="AH315" i="1"/>
  <c r="U315" i="1" s="1"/>
  <c r="AH316" i="1"/>
  <c r="U316" i="1" s="1"/>
  <c r="AH317" i="1"/>
  <c r="U317" i="1" s="1"/>
  <c r="AH318" i="1"/>
  <c r="U318" i="1" s="1"/>
  <c r="AH319" i="1"/>
  <c r="U319" i="1" s="1"/>
  <c r="AH320" i="1"/>
  <c r="U320" i="1" s="1"/>
  <c r="AH321" i="1"/>
  <c r="U321" i="1" s="1"/>
  <c r="AH322" i="1"/>
  <c r="U322" i="1" s="1"/>
  <c r="AH323" i="1"/>
  <c r="U323" i="1" s="1"/>
  <c r="AH324" i="1"/>
  <c r="U324" i="1" s="1"/>
  <c r="AH325" i="1"/>
  <c r="U325" i="1" s="1"/>
  <c r="AH326" i="1"/>
  <c r="U326" i="1" s="1"/>
  <c r="AH327" i="1"/>
  <c r="U327" i="1" s="1"/>
  <c r="AH328" i="1"/>
  <c r="U328" i="1" s="1"/>
  <c r="AH329" i="1"/>
  <c r="U329" i="1" s="1"/>
  <c r="AH330" i="1"/>
  <c r="U330" i="1" s="1"/>
  <c r="AH331" i="1"/>
  <c r="U331" i="1" s="1"/>
  <c r="AH332" i="1"/>
  <c r="U332" i="1" s="1"/>
  <c r="AH333" i="1"/>
  <c r="U333" i="1" s="1"/>
  <c r="AH334" i="1"/>
  <c r="U334" i="1" s="1"/>
  <c r="AH335" i="1"/>
  <c r="U335" i="1" s="1"/>
  <c r="AH336" i="1"/>
  <c r="U336" i="1" s="1"/>
  <c r="AH337" i="1"/>
  <c r="U337" i="1" s="1"/>
  <c r="AH338" i="1"/>
  <c r="U338" i="1" s="1"/>
  <c r="AH339" i="1"/>
  <c r="U339" i="1" s="1"/>
  <c r="AH340" i="1"/>
  <c r="U340" i="1" s="1"/>
  <c r="AH341" i="1"/>
  <c r="U341" i="1" s="1"/>
  <c r="AH342" i="1"/>
  <c r="U342" i="1" s="1"/>
  <c r="AH343" i="1"/>
  <c r="U343" i="1" s="1"/>
  <c r="AH344" i="1"/>
  <c r="U344" i="1" s="1"/>
  <c r="AH345" i="1"/>
  <c r="U345" i="1" s="1"/>
  <c r="AH346" i="1"/>
  <c r="U346" i="1" s="1"/>
  <c r="AH347" i="1"/>
  <c r="U347" i="1" s="1"/>
  <c r="AH348" i="1"/>
  <c r="U348" i="1" s="1"/>
  <c r="AH349" i="1"/>
  <c r="U349" i="1" s="1"/>
  <c r="AH350" i="1"/>
  <c r="U350" i="1" s="1"/>
  <c r="AH351" i="1"/>
  <c r="U351" i="1" s="1"/>
  <c r="AH352" i="1"/>
  <c r="U352" i="1" s="1"/>
  <c r="AH353" i="1"/>
  <c r="U353" i="1" s="1"/>
  <c r="AH354" i="1"/>
  <c r="U354" i="1" s="1"/>
  <c r="AH355" i="1"/>
  <c r="U355" i="1" s="1"/>
  <c r="AH356" i="1"/>
  <c r="U356" i="1" s="1"/>
  <c r="AH357" i="1"/>
  <c r="U357" i="1" s="1"/>
  <c r="AH358" i="1"/>
  <c r="U358" i="1" s="1"/>
  <c r="AH359" i="1"/>
  <c r="U359" i="1" s="1"/>
  <c r="AH360" i="1"/>
  <c r="U360" i="1" s="1"/>
  <c r="AH361" i="1"/>
  <c r="U361" i="1" s="1"/>
  <c r="AH362" i="1"/>
  <c r="U362" i="1" s="1"/>
  <c r="AH363" i="1"/>
  <c r="U363" i="1" s="1"/>
  <c r="AH364" i="1"/>
  <c r="U364" i="1" s="1"/>
  <c r="AH365" i="1"/>
  <c r="U365" i="1" s="1"/>
  <c r="AH366" i="1"/>
  <c r="U366" i="1" s="1"/>
  <c r="AH367" i="1"/>
  <c r="U367" i="1" s="1"/>
  <c r="AH368" i="1"/>
  <c r="U368" i="1" s="1"/>
  <c r="AH369" i="1"/>
  <c r="U369" i="1" s="1"/>
  <c r="AH370" i="1"/>
  <c r="U370" i="1" s="1"/>
  <c r="AH371" i="1"/>
  <c r="U371" i="1" s="1"/>
  <c r="AH372" i="1"/>
  <c r="U372" i="1" s="1"/>
  <c r="AH373" i="1"/>
  <c r="U373" i="1" s="1"/>
  <c r="AH374" i="1"/>
  <c r="U374" i="1" s="1"/>
  <c r="AH375" i="1"/>
  <c r="U375" i="1" s="1"/>
  <c r="AH376" i="1"/>
  <c r="U376" i="1" s="1"/>
  <c r="AH377" i="1"/>
  <c r="U377" i="1" s="1"/>
  <c r="AH378" i="1"/>
  <c r="U378" i="1" s="1"/>
  <c r="AH379" i="1"/>
  <c r="U379" i="1" s="1"/>
  <c r="AH380" i="1"/>
  <c r="U380" i="1" s="1"/>
  <c r="AH381" i="1"/>
  <c r="U381" i="1" s="1"/>
  <c r="AH382" i="1"/>
  <c r="U382" i="1" s="1"/>
  <c r="AH383" i="1"/>
  <c r="U383" i="1" s="1"/>
  <c r="AH384" i="1"/>
  <c r="U384" i="1" s="1"/>
  <c r="AH385" i="1"/>
  <c r="U385" i="1" s="1"/>
  <c r="AH386" i="1"/>
  <c r="U386" i="1" s="1"/>
  <c r="AH387" i="1"/>
  <c r="U387" i="1" s="1"/>
  <c r="AH388" i="1"/>
  <c r="U388" i="1" s="1"/>
  <c r="AH389" i="1"/>
  <c r="U389" i="1" s="1"/>
  <c r="AH390" i="1"/>
  <c r="U390" i="1" s="1"/>
  <c r="AH391" i="1"/>
  <c r="U391" i="1" s="1"/>
  <c r="AH392" i="1"/>
  <c r="U392" i="1" s="1"/>
  <c r="AH393" i="1"/>
  <c r="U393" i="1" s="1"/>
  <c r="AH394" i="1"/>
  <c r="U394" i="1" s="1"/>
  <c r="AH395" i="1"/>
  <c r="U395" i="1" s="1"/>
  <c r="AH396" i="1"/>
  <c r="U396" i="1" s="1"/>
  <c r="AH397" i="1"/>
  <c r="U397" i="1" s="1"/>
  <c r="AH398" i="1"/>
  <c r="U398" i="1" s="1"/>
  <c r="AH399" i="1"/>
  <c r="U399" i="1" s="1"/>
  <c r="AH400" i="1"/>
  <c r="U400" i="1" s="1"/>
  <c r="AH401" i="1"/>
  <c r="U401" i="1" s="1"/>
  <c r="AH2" i="1"/>
  <c r="U2" i="1" s="1"/>
  <c r="AG68" i="1"/>
  <c r="S68" i="1" s="1"/>
  <c r="AG3" i="1"/>
  <c r="S3" i="1" s="1"/>
  <c r="AG4" i="1"/>
  <c r="S4" i="1" s="1"/>
  <c r="AG5" i="1"/>
  <c r="S5" i="1" s="1"/>
  <c r="AG6" i="1"/>
  <c r="S6" i="1" s="1"/>
  <c r="AG7" i="1"/>
  <c r="S7" i="1" s="1"/>
  <c r="AG8" i="1"/>
  <c r="S8" i="1" s="1"/>
  <c r="AG9" i="1"/>
  <c r="S9" i="1" s="1"/>
  <c r="AG10" i="1"/>
  <c r="S10" i="1" s="1"/>
  <c r="AG11" i="1"/>
  <c r="S11" i="1" s="1"/>
  <c r="AG12" i="1"/>
  <c r="S12" i="1" s="1"/>
  <c r="AG13" i="1"/>
  <c r="S13" i="1" s="1"/>
  <c r="AG14" i="1"/>
  <c r="S14" i="1" s="1"/>
  <c r="AG15" i="1"/>
  <c r="S15" i="1" s="1"/>
  <c r="AG16" i="1"/>
  <c r="S16" i="1" s="1"/>
  <c r="AG17" i="1"/>
  <c r="S17" i="1" s="1"/>
  <c r="AG18" i="1"/>
  <c r="S18" i="1" s="1"/>
  <c r="AG19" i="1"/>
  <c r="S19" i="1" s="1"/>
  <c r="AG20" i="1"/>
  <c r="S20" i="1" s="1"/>
  <c r="AG21" i="1"/>
  <c r="S21" i="1" s="1"/>
  <c r="AG22" i="1"/>
  <c r="S22" i="1" s="1"/>
  <c r="AG23" i="1"/>
  <c r="S23" i="1" s="1"/>
  <c r="AG24" i="1"/>
  <c r="S24" i="1" s="1"/>
  <c r="AG25" i="1"/>
  <c r="S25" i="1" s="1"/>
  <c r="AG26" i="1"/>
  <c r="S26" i="1" s="1"/>
  <c r="AG27" i="1"/>
  <c r="S27" i="1" s="1"/>
  <c r="AG28" i="1"/>
  <c r="S28" i="1" s="1"/>
  <c r="AG29" i="1"/>
  <c r="S29" i="1" s="1"/>
  <c r="AG30" i="1"/>
  <c r="S30" i="1" s="1"/>
  <c r="AG31" i="1"/>
  <c r="S31" i="1" s="1"/>
  <c r="AG32" i="1"/>
  <c r="S32" i="1" s="1"/>
  <c r="AG33" i="1"/>
  <c r="S33" i="1" s="1"/>
  <c r="AG34" i="1"/>
  <c r="S34" i="1" s="1"/>
  <c r="AG35" i="1"/>
  <c r="S35" i="1" s="1"/>
  <c r="AG36" i="1"/>
  <c r="S36" i="1" s="1"/>
  <c r="AG37" i="1"/>
  <c r="S37" i="1" s="1"/>
  <c r="AG38" i="1"/>
  <c r="S38" i="1" s="1"/>
  <c r="AG39" i="1"/>
  <c r="S39" i="1" s="1"/>
  <c r="AG40" i="1"/>
  <c r="S40" i="1" s="1"/>
  <c r="AG41" i="1"/>
  <c r="S41" i="1" s="1"/>
  <c r="AG42" i="1"/>
  <c r="S42" i="1" s="1"/>
  <c r="AG43" i="1"/>
  <c r="S43" i="1" s="1"/>
  <c r="AG44" i="1"/>
  <c r="S44" i="1" s="1"/>
  <c r="AG45" i="1"/>
  <c r="S45" i="1" s="1"/>
  <c r="AG46" i="1"/>
  <c r="S46" i="1" s="1"/>
  <c r="AG47" i="1"/>
  <c r="S47" i="1" s="1"/>
  <c r="AG48" i="1"/>
  <c r="S48" i="1" s="1"/>
  <c r="AG49" i="1"/>
  <c r="S49" i="1" s="1"/>
  <c r="AG50" i="1"/>
  <c r="S50" i="1" s="1"/>
  <c r="AG51" i="1"/>
  <c r="S51" i="1" s="1"/>
  <c r="AG52" i="1"/>
  <c r="S52" i="1" s="1"/>
  <c r="AG53" i="1"/>
  <c r="S53" i="1" s="1"/>
  <c r="AG54" i="1"/>
  <c r="S54" i="1" s="1"/>
  <c r="AG55" i="1"/>
  <c r="S55" i="1" s="1"/>
  <c r="AG56" i="1"/>
  <c r="S56" i="1" s="1"/>
  <c r="AG57" i="1"/>
  <c r="S57" i="1" s="1"/>
  <c r="AG58" i="1"/>
  <c r="S58" i="1" s="1"/>
  <c r="AG59" i="1"/>
  <c r="S59" i="1" s="1"/>
  <c r="AG60" i="1"/>
  <c r="S60" i="1" s="1"/>
  <c r="AG61" i="1"/>
  <c r="S61" i="1" s="1"/>
  <c r="AG62" i="1"/>
  <c r="S62" i="1" s="1"/>
  <c r="AG63" i="1"/>
  <c r="S63" i="1" s="1"/>
  <c r="AG64" i="1"/>
  <c r="S64" i="1" s="1"/>
  <c r="AG65" i="1"/>
  <c r="S65" i="1" s="1"/>
  <c r="AG66" i="1"/>
  <c r="S66" i="1" s="1"/>
  <c r="AG67" i="1"/>
  <c r="S67" i="1" s="1"/>
  <c r="AG69" i="1"/>
  <c r="S69" i="1" s="1"/>
  <c r="AG70" i="1"/>
  <c r="S70" i="1" s="1"/>
  <c r="AG71" i="1"/>
  <c r="S71" i="1" s="1"/>
  <c r="AG72" i="1"/>
  <c r="S72" i="1" s="1"/>
  <c r="AG73" i="1"/>
  <c r="S73" i="1" s="1"/>
  <c r="AG74" i="1"/>
  <c r="S74" i="1" s="1"/>
  <c r="AG75" i="1"/>
  <c r="S75" i="1" s="1"/>
  <c r="AG76" i="1"/>
  <c r="S76" i="1" s="1"/>
  <c r="AG77" i="1"/>
  <c r="S77" i="1" s="1"/>
  <c r="AG78" i="1"/>
  <c r="S78" i="1" s="1"/>
  <c r="AG79" i="1"/>
  <c r="S79" i="1" s="1"/>
  <c r="AG80" i="1"/>
  <c r="S80" i="1" s="1"/>
  <c r="AG81" i="1"/>
  <c r="S81" i="1" s="1"/>
  <c r="AG82" i="1"/>
  <c r="S82" i="1" s="1"/>
  <c r="AG83" i="1"/>
  <c r="S83" i="1" s="1"/>
  <c r="AG84" i="1"/>
  <c r="S84" i="1" s="1"/>
  <c r="AG85" i="1"/>
  <c r="S85" i="1" s="1"/>
  <c r="AG86" i="1"/>
  <c r="S86" i="1" s="1"/>
  <c r="AG87" i="1"/>
  <c r="S87" i="1" s="1"/>
  <c r="AG88" i="1"/>
  <c r="S88" i="1" s="1"/>
  <c r="AG89" i="1"/>
  <c r="S89" i="1" s="1"/>
  <c r="AG90" i="1"/>
  <c r="S90" i="1" s="1"/>
  <c r="AG91" i="1"/>
  <c r="S91" i="1" s="1"/>
  <c r="AG92" i="1"/>
  <c r="S92" i="1" s="1"/>
  <c r="AG93" i="1"/>
  <c r="S93" i="1" s="1"/>
  <c r="AG94" i="1"/>
  <c r="S94" i="1" s="1"/>
  <c r="AG95" i="1"/>
  <c r="S95" i="1" s="1"/>
  <c r="AG96" i="1"/>
  <c r="S96" i="1" s="1"/>
  <c r="AG97" i="1"/>
  <c r="S97" i="1" s="1"/>
  <c r="AG98" i="1"/>
  <c r="S98" i="1" s="1"/>
  <c r="AG99" i="1"/>
  <c r="S99" i="1" s="1"/>
  <c r="AG100" i="1"/>
  <c r="S100" i="1" s="1"/>
  <c r="AG101" i="1"/>
  <c r="S101" i="1" s="1"/>
  <c r="AG102" i="1"/>
  <c r="S102" i="1" s="1"/>
  <c r="AG103" i="1"/>
  <c r="S103" i="1" s="1"/>
  <c r="AG104" i="1"/>
  <c r="S104" i="1" s="1"/>
  <c r="AG105" i="1"/>
  <c r="S105" i="1" s="1"/>
  <c r="AG106" i="1"/>
  <c r="S106" i="1" s="1"/>
  <c r="AG107" i="1"/>
  <c r="S107" i="1" s="1"/>
  <c r="AG108" i="1"/>
  <c r="S108" i="1" s="1"/>
  <c r="AG109" i="1"/>
  <c r="S109" i="1" s="1"/>
  <c r="AG110" i="1"/>
  <c r="S110" i="1" s="1"/>
  <c r="AG111" i="1"/>
  <c r="S111" i="1" s="1"/>
  <c r="AG112" i="1"/>
  <c r="S112" i="1" s="1"/>
  <c r="AG113" i="1"/>
  <c r="S113" i="1" s="1"/>
  <c r="AG114" i="1"/>
  <c r="S114" i="1" s="1"/>
  <c r="AG115" i="1"/>
  <c r="S115" i="1" s="1"/>
  <c r="AG116" i="1"/>
  <c r="S116" i="1" s="1"/>
  <c r="AG117" i="1"/>
  <c r="S117" i="1" s="1"/>
  <c r="AG118" i="1"/>
  <c r="S118" i="1" s="1"/>
  <c r="AG119" i="1"/>
  <c r="S119" i="1" s="1"/>
  <c r="AG120" i="1"/>
  <c r="S120" i="1" s="1"/>
  <c r="AG121" i="1"/>
  <c r="S121" i="1" s="1"/>
  <c r="AG122" i="1"/>
  <c r="S122" i="1" s="1"/>
  <c r="AG123" i="1"/>
  <c r="S123" i="1" s="1"/>
  <c r="AG124" i="1"/>
  <c r="S124" i="1" s="1"/>
  <c r="AG125" i="1"/>
  <c r="S125" i="1" s="1"/>
  <c r="AG126" i="1"/>
  <c r="S126" i="1" s="1"/>
  <c r="AG127" i="1"/>
  <c r="S127" i="1" s="1"/>
  <c r="AG128" i="1"/>
  <c r="S128" i="1" s="1"/>
  <c r="AG129" i="1"/>
  <c r="S129" i="1" s="1"/>
  <c r="AG130" i="1"/>
  <c r="S130" i="1" s="1"/>
  <c r="AG131" i="1"/>
  <c r="S131" i="1" s="1"/>
  <c r="AG132" i="1"/>
  <c r="S132" i="1" s="1"/>
  <c r="AG133" i="1"/>
  <c r="S133" i="1" s="1"/>
  <c r="AG134" i="1"/>
  <c r="S134" i="1" s="1"/>
  <c r="AG135" i="1"/>
  <c r="S135" i="1" s="1"/>
  <c r="AG136" i="1"/>
  <c r="S136" i="1" s="1"/>
  <c r="AG137" i="1"/>
  <c r="S137" i="1" s="1"/>
  <c r="AG138" i="1"/>
  <c r="S138" i="1" s="1"/>
  <c r="AG139" i="1"/>
  <c r="S139" i="1" s="1"/>
  <c r="AG140" i="1"/>
  <c r="S140" i="1" s="1"/>
  <c r="AG141" i="1"/>
  <c r="S141" i="1" s="1"/>
  <c r="AG142" i="1"/>
  <c r="S142" i="1" s="1"/>
  <c r="AG143" i="1"/>
  <c r="S143" i="1" s="1"/>
  <c r="AG144" i="1"/>
  <c r="S144" i="1" s="1"/>
  <c r="AG145" i="1"/>
  <c r="S145" i="1" s="1"/>
  <c r="AG146" i="1"/>
  <c r="S146" i="1" s="1"/>
  <c r="AG147" i="1"/>
  <c r="S147" i="1" s="1"/>
  <c r="AG148" i="1"/>
  <c r="S148" i="1" s="1"/>
  <c r="AG149" i="1"/>
  <c r="S149" i="1" s="1"/>
  <c r="AG150" i="1"/>
  <c r="S150" i="1" s="1"/>
  <c r="AG151" i="1"/>
  <c r="S151" i="1" s="1"/>
  <c r="AG152" i="1"/>
  <c r="S152" i="1" s="1"/>
  <c r="AG153" i="1"/>
  <c r="S153" i="1" s="1"/>
  <c r="AG154" i="1"/>
  <c r="S154" i="1" s="1"/>
  <c r="AG155" i="1"/>
  <c r="S155" i="1" s="1"/>
  <c r="AG156" i="1"/>
  <c r="S156" i="1" s="1"/>
  <c r="AG157" i="1"/>
  <c r="S157" i="1" s="1"/>
  <c r="AG158" i="1"/>
  <c r="S158" i="1" s="1"/>
  <c r="AG159" i="1"/>
  <c r="S159" i="1" s="1"/>
  <c r="AG160" i="1"/>
  <c r="S160" i="1" s="1"/>
  <c r="AG161" i="1"/>
  <c r="S161" i="1" s="1"/>
  <c r="AG162" i="1"/>
  <c r="S162" i="1" s="1"/>
  <c r="AG163" i="1"/>
  <c r="S163" i="1" s="1"/>
  <c r="AG164" i="1"/>
  <c r="S164" i="1" s="1"/>
  <c r="AG165" i="1"/>
  <c r="S165" i="1" s="1"/>
  <c r="AG166" i="1"/>
  <c r="S166" i="1" s="1"/>
  <c r="AG167" i="1"/>
  <c r="S167" i="1" s="1"/>
  <c r="AG168" i="1"/>
  <c r="S168" i="1" s="1"/>
  <c r="AG169" i="1"/>
  <c r="S169" i="1" s="1"/>
  <c r="AG170" i="1"/>
  <c r="S170" i="1" s="1"/>
  <c r="AG171" i="1"/>
  <c r="S171" i="1" s="1"/>
  <c r="AG172" i="1"/>
  <c r="S172" i="1" s="1"/>
  <c r="AG173" i="1"/>
  <c r="S173" i="1" s="1"/>
  <c r="AG174" i="1"/>
  <c r="S174" i="1" s="1"/>
  <c r="AG175" i="1"/>
  <c r="S175" i="1" s="1"/>
  <c r="AG176" i="1"/>
  <c r="S176" i="1" s="1"/>
  <c r="AG177" i="1"/>
  <c r="S177" i="1" s="1"/>
  <c r="AG178" i="1"/>
  <c r="S178" i="1" s="1"/>
  <c r="AG179" i="1"/>
  <c r="S179" i="1" s="1"/>
  <c r="AG180" i="1"/>
  <c r="S180" i="1" s="1"/>
  <c r="AG181" i="1"/>
  <c r="S181" i="1" s="1"/>
  <c r="AG182" i="1"/>
  <c r="S182" i="1" s="1"/>
  <c r="AG183" i="1"/>
  <c r="S183" i="1" s="1"/>
  <c r="AG184" i="1"/>
  <c r="S184" i="1" s="1"/>
  <c r="AG185" i="1"/>
  <c r="S185" i="1" s="1"/>
  <c r="AG186" i="1"/>
  <c r="S186" i="1" s="1"/>
  <c r="AG187" i="1"/>
  <c r="S187" i="1" s="1"/>
  <c r="AG188" i="1"/>
  <c r="S188" i="1" s="1"/>
  <c r="AG189" i="1"/>
  <c r="S189" i="1" s="1"/>
  <c r="AG190" i="1"/>
  <c r="S190" i="1" s="1"/>
  <c r="AG191" i="1"/>
  <c r="S191" i="1" s="1"/>
  <c r="AG192" i="1"/>
  <c r="S192" i="1" s="1"/>
  <c r="AG193" i="1"/>
  <c r="S193" i="1" s="1"/>
  <c r="AG194" i="1"/>
  <c r="S194" i="1" s="1"/>
  <c r="AG195" i="1"/>
  <c r="S195" i="1" s="1"/>
  <c r="AG196" i="1"/>
  <c r="S196" i="1" s="1"/>
  <c r="AG197" i="1"/>
  <c r="S197" i="1" s="1"/>
  <c r="AG198" i="1"/>
  <c r="S198" i="1" s="1"/>
  <c r="AG199" i="1"/>
  <c r="S199" i="1" s="1"/>
  <c r="AG200" i="1"/>
  <c r="S200" i="1" s="1"/>
  <c r="AG201" i="1"/>
  <c r="S201" i="1" s="1"/>
  <c r="AG202" i="1"/>
  <c r="S202" i="1" s="1"/>
  <c r="AG203" i="1"/>
  <c r="S203" i="1" s="1"/>
  <c r="AG204" i="1"/>
  <c r="S204" i="1" s="1"/>
  <c r="AG205" i="1"/>
  <c r="S205" i="1" s="1"/>
  <c r="AG206" i="1"/>
  <c r="S206" i="1" s="1"/>
  <c r="AG207" i="1"/>
  <c r="S207" i="1" s="1"/>
  <c r="AG208" i="1"/>
  <c r="S208" i="1" s="1"/>
  <c r="AG209" i="1"/>
  <c r="S209" i="1" s="1"/>
  <c r="AG210" i="1"/>
  <c r="S210" i="1" s="1"/>
  <c r="AG211" i="1"/>
  <c r="S211" i="1" s="1"/>
  <c r="AG212" i="1"/>
  <c r="S212" i="1" s="1"/>
  <c r="AG213" i="1"/>
  <c r="S213" i="1" s="1"/>
  <c r="AG214" i="1"/>
  <c r="S214" i="1" s="1"/>
  <c r="AG215" i="1"/>
  <c r="S215" i="1" s="1"/>
  <c r="AG216" i="1"/>
  <c r="S216" i="1" s="1"/>
  <c r="AG217" i="1"/>
  <c r="S217" i="1" s="1"/>
  <c r="AG218" i="1"/>
  <c r="S218" i="1" s="1"/>
  <c r="AG219" i="1"/>
  <c r="S219" i="1" s="1"/>
  <c r="AG220" i="1"/>
  <c r="S220" i="1" s="1"/>
  <c r="AG221" i="1"/>
  <c r="S221" i="1" s="1"/>
  <c r="AG222" i="1"/>
  <c r="S222" i="1" s="1"/>
  <c r="AG223" i="1"/>
  <c r="S223" i="1" s="1"/>
  <c r="AG224" i="1"/>
  <c r="S224" i="1" s="1"/>
  <c r="AG225" i="1"/>
  <c r="S225" i="1" s="1"/>
  <c r="AG226" i="1"/>
  <c r="S226" i="1" s="1"/>
  <c r="AG227" i="1"/>
  <c r="S227" i="1" s="1"/>
  <c r="AG228" i="1"/>
  <c r="S228" i="1" s="1"/>
  <c r="AG229" i="1"/>
  <c r="S229" i="1" s="1"/>
  <c r="AG230" i="1"/>
  <c r="S230" i="1" s="1"/>
  <c r="AG231" i="1"/>
  <c r="S231" i="1" s="1"/>
  <c r="AG232" i="1"/>
  <c r="S232" i="1" s="1"/>
  <c r="AG233" i="1"/>
  <c r="S233" i="1" s="1"/>
  <c r="AG234" i="1"/>
  <c r="S234" i="1" s="1"/>
  <c r="AG235" i="1"/>
  <c r="S235" i="1" s="1"/>
  <c r="AG236" i="1"/>
  <c r="S236" i="1" s="1"/>
  <c r="AG237" i="1"/>
  <c r="S237" i="1" s="1"/>
  <c r="AG238" i="1"/>
  <c r="S238" i="1" s="1"/>
  <c r="AG239" i="1"/>
  <c r="S239" i="1" s="1"/>
  <c r="AG240" i="1"/>
  <c r="S240" i="1" s="1"/>
  <c r="AG241" i="1"/>
  <c r="S241" i="1" s="1"/>
  <c r="AG242" i="1"/>
  <c r="S242" i="1" s="1"/>
  <c r="AG243" i="1"/>
  <c r="S243" i="1" s="1"/>
  <c r="AG244" i="1"/>
  <c r="S244" i="1" s="1"/>
  <c r="AG245" i="1"/>
  <c r="S245" i="1" s="1"/>
  <c r="AG246" i="1"/>
  <c r="S246" i="1" s="1"/>
  <c r="AG247" i="1"/>
  <c r="S247" i="1" s="1"/>
  <c r="AG248" i="1"/>
  <c r="S248" i="1" s="1"/>
  <c r="AG249" i="1"/>
  <c r="S249" i="1" s="1"/>
  <c r="AG250" i="1"/>
  <c r="S250" i="1" s="1"/>
  <c r="AG251" i="1"/>
  <c r="S251" i="1" s="1"/>
  <c r="AG252" i="1"/>
  <c r="S252" i="1" s="1"/>
  <c r="AG253" i="1"/>
  <c r="S253" i="1" s="1"/>
  <c r="AG254" i="1"/>
  <c r="S254" i="1" s="1"/>
  <c r="AG255" i="1"/>
  <c r="S255" i="1" s="1"/>
  <c r="AG256" i="1"/>
  <c r="S256" i="1" s="1"/>
  <c r="AG257" i="1"/>
  <c r="S257" i="1" s="1"/>
  <c r="AG258" i="1"/>
  <c r="S258" i="1" s="1"/>
  <c r="AG259" i="1"/>
  <c r="S259" i="1" s="1"/>
  <c r="AG260" i="1"/>
  <c r="S260" i="1" s="1"/>
  <c r="AG261" i="1"/>
  <c r="S261" i="1" s="1"/>
  <c r="AG262" i="1"/>
  <c r="S262" i="1" s="1"/>
  <c r="AG263" i="1"/>
  <c r="S263" i="1" s="1"/>
  <c r="AG264" i="1"/>
  <c r="S264" i="1" s="1"/>
  <c r="AG265" i="1"/>
  <c r="S265" i="1" s="1"/>
  <c r="AG266" i="1"/>
  <c r="S266" i="1" s="1"/>
  <c r="AG267" i="1"/>
  <c r="S267" i="1" s="1"/>
  <c r="AG268" i="1"/>
  <c r="S268" i="1" s="1"/>
  <c r="AG269" i="1"/>
  <c r="S269" i="1" s="1"/>
  <c r="AG270" i="1"/>
  <c r="S270" i="1" s="1"/>
  <c r="AG271" i="1"/>
  <c r="S271" i="1" s="1"/>
  <c r="AG272" i="1"/>
  <c r="S272" i="1" s="1"/>
  <c r="AG273" i="1"/>
  <c r="S273" i="1" s="1"/>
  <c r="AG274" i="1"/>
  <c r="S274" i="1" s="1"/>
  <c r="AG275" i="1"/>
  <c r="S275" i="1" s="1"/>
  <c r="AG276" i="1"/>
  <c r="S276" i="1" s="1"/>
  <c r="AG277" i="1"/>
  <c r="S277" i="1" s="1"/>
  <c r="AG278" i="1"/>
  <c r="S278" i="1" s="1"/>
  <c r="AG279" i="1"/>
  <c r="S279" i="1" s="1"/>
  <c r="AG280" i="1"/>
  <c r="S280" i="1" s="1"/>
  <c r="AG281" i="1"/>
  <c r="S281" i="1" s="1"/>
  <c r="AG282" i="1"/>
  <c r="S282" i="1" s="1"/>
  <c r="AG283" i="1"/>
  <c r="S283" i="1" s="1"/>
  <c r="AG284" i="1"/>
  <c r="S284" i="1" s="1"/>
  <c r="AG285" i="1"/>
  <c r="S285" i="1" s="1"/>
  <c r="AG286" i="1"/>
  <c r="S286" i="1" s="1"/>
  <c r="AG287" i="1"/>
  <c r="S287" i="1" s="1"/>
  <c r="AG288" i="1"/>
  <c r="S288" i="1" s="1"/>
  <c r="AG289" i="1"/>
  <c r="S289" i="1" s="1"/>
  <c r="AG290" i="1"/>
  <c r="S290" i="1" s="1"/>
  <c r="AG291" i="1"/>
  <c r="S291" i="1" s="1"/>
  <c r="AG292" i="1"/>
  <c r="S292" i="1" s="1"/>
  <c r="AG293" i="1"/>
  <c r="S293" i="1" s="1"/>
  <c r="AG294" i="1"/>
  <c r="S294" i="1" s="1"/>
  <c r="AG295" i="1"/>
  <c r="S295" i="1" s="1"/>
  <c r="AG296" i="1"/>
  <c r="S296" i="1" s="1"/>
  <c r="AG297" i="1"/>
  <c r="S297" i="1" s="1"/>
  <c r="AG298" i="1"/>
  <c r="S298" i="1" s="1"/>
  <c r="AG299" i="1"/>
  <c r="S299" i="1" s="1"/>
  <c r="AG300" i="1"/>
  <c r="S300" i="1" s="1"/>
  <c r="AG301" i="1"/>
  <c r="S301" i="1" s="1"/>
  <c r="AG302" i="1"/>
  <c r="S302" i="1" s="1"/>
  <c r="AG303" i="1"/>
  <c r="S303" i="1" s="1"/>
  <c r="AG304" i="1"/>
  <c r="S304" i="1" s="1"/>
  <c r="AG305" i="1"/>
  <c r="S305" i="1" s="1"/>
  <c r="AG306" i="1"/>
  <c r="S306" i="1" s="1"/>
  <c r="AG307" i="1"/>
  <c r="S307" i="1" s="1"/>
  <c r="AG308" i="1"/>
  <c r="S308" i="1" s="1"/>
  <c r="AG309" i="1"/>
  <c r="S309" i="1" s="1"/>
  <c r="AG310" i="1"/>
  <c r="S310" i="1" s="1"/>
  <c r="AG311" i="1"/>
  <c r="S311" i="1" s="1"/>
  <c r="AG312" i="1"/>
  <c r="S312" i="1" s="1"/>
  <c r="AG313" i="1"/>
  <c r="S313" i="1" s="1"/>
  <c r="AG314" i="1"/>
  <c r="S314" i="1" s="1"/>
  <c r="AG315" i="1"/>
  <c r="S315" i="1" s="1"/>
  <c r="AG316" i="1"/>
  <c r="S316" i="1" s="1"/>
  <c r="AG317" i="1"/>
  <c r="S317" i="1" s="1"/>
  <c r="AG318" i="1"/>
  <c r="S318" i="1" s="1"/>
  <c r="AG319" i="1"/>
  <c r="S319" i="1" s="1"/>
  <c r="AG320" i="1"/>
  <c r="S320" i="1" s="1"/>
  <c r="AG321" i="1"/>
  <c r="S321" i="1" s="1"/>
  <c r="AG322" i="1"/>
  <c r="S322" i="1" s="1"/>
  <c r="AG323" i="1"/>
  <c r="S323" i="1" s="1"/>
  <c r="AG324" i="1"/>
  <c r="S324" i="1" s="1"/>
  <c r="AG325" i="1"/>
  <c r="S325" i="1" s="1"/>
  <c r="AG326" i="1"/>
  <c r="S326" i="1" s="1"/>
  <c r="AG327" i="1"/>
  <c r="S327" i="1" s="1"/>
  <c r="AG328" i="1"/>
  <c r="S328" i="1" s="1"/>
  <c r="AG329" i="1"/>
  <c r="S329" i="1" s="1"/>
  <c r="AG330" i="1"/>
  <c r="S330" i="1" s="1"/>
  <c r="AG331" i="1"/>
  <c r="S331" i="1" s="1"/>
  <c r="AG332" i="1"/>
  <c r="S332" i="1" s="1"/>
  <c r="AG333" i="1"/>
  <c r="S333" i="1" s="1"/>
  <c r="AG334" i="1"/>
  <c r="S334" i="1" s="1"/>
  <c r="AG335" i="1"/>
  <c r="S335" i="1" s="1"/>
  <c r="AG336" i="1"/>
  <c r="S336" i="1" s="1"/>
  <c r="AG337" i="1"/>
  <c r="S337" i="1" s="1"/>
  <c r="AG338" i="1"/>
  <c r="S338" i="1" s="1"/>
  <c r="AG339" i="1"/>
  <c r="S339" i="1" s="1"/>
  <c r="AG340" i="1"/>
  <c r="S340" i="1" s="1"/>
  <c r="AG341" i="1"/>
  <c r="S341" i="1" s="1"/>
  <c r="AG342" i="1"/>
  <c r="S342" i="1" s="1"/>
  <c r="AG343" i="1"/>
  <c r="S343" i="1" s="1"/>
  <c r="AG344" i="1"/>
  <c r="S344" i="1" s="1"/>
  <c r="AG345" i="1"/>
  <c r="S345" i="1" s="1"/>
  <c r="AG346" i="1"/>
  <c r="S346" i="1" s="1"/>
  <c r="AG347" i="1"/>
  <c r="S347" i="1" s="1"/>
  <c r="AG348" i="1"/>
  <c r="S348" i="1" s="1"/>
  <c r="AG349" i="1"/>
  <c r="S349" i="1" s="1"/>
  <c r="AG350" i="1"/>
  <c r="S350" i="1" s="1"/>
  <c r="AG351" i="1"/>
  <c r="S351" i="1" s="1"/>
  <c r="AG352" i="1"/>
  <c r="S352" i="1" s="1"/>
  <c r="AG353" i="1"/>
  <c r="S353" i="1" s="1"/>
  <c r="AG354" i="1"/>
  <c r="S354" i="1" s="1"/>
  <c r="AG355" i="1"/>
  <c r="S355" i="1" s="1"/>
  <c r="AG356" i="1"/>
  <c r="S356" i="1" s="1"/>
  <c r="AG357" i="1"/>
  <c r="S357" i="1" s="1"/>
  <c r="AG358" i="1"/>
  <c r="S358" i="1" s="1"/>
  <c r="AG359" i="1"/>
  <c r="S359" i="1" s="1"/>
  <c r="AG360" i="1"/>
  <c r="S360" i="1" s="1"/>
  <c r="AG361" i="1"/>
  <c r="S361" i="1" s="1"/>
  <c r="AG362" i="1"/>
  <c r="S362" i="1" s="1"/>
  <c r="AG363" i="1"/>
  <c r="S363" i="1" s="1"/>
  <c r="AG364" i="1"/>
  <c r="S364" i="1" s="1"/>
  <c r="AG365" i="1"/>
  <c r="S365" i="1" s="1"/>
  <c r="AG366" i="1"/>
  <c r="S366" i="1" s="1"/>
  <c r="AG367" i="1"/>
  <c r="S367" i="1" s="1"/>
  <c r="AG368" i="1"/>
  <c r="S368" i="1" s="1"/>
  <c r="AG369" i="1"/>
  <c r="S369" i="1" s="1"/>
  <c r="AG370" i="1"/>
  <c r="S370" i="1" s="1"/>
  <c r="AG371" i="1"/>
  <c r="S371" i="1" s="1"/>
  <c r="AG372" i="1"/>
  <c r="S372" i="1" s="1"/>
  <c r="AG373" i="1"/>
  <c r="S373" i="1" s="1"/>
  <c r="AG374" i="1"/>
  <c r="S374" i="1" s="1"/>
  <c r="AG375" i="1"/>
  <c r="S375" i="1" s="1"/>
  <c r="AG376" i="1"/>
  <c r="S376" i="1" s="1"/>
  <c r="AG377" i="1"/>
  <c r="S377" i="1" s="1"/>
  <c r="AG378" i="1"/>
  <c r="S378" i="1" s="1"/>
  <c r="AG379" i="1"/>
  <c r="S379" i="1" s="1"/>
  <c r="AG380" i="1"/>
  <c r="S380" i="1" s="1"/>
  <c r="AG381" i="1"/>
  <c r="S381" i="1" s="1"/>
  <c r="AG382" i="1"/>
  <c r="S382" i="1" s="1"/>
  <c r="AG383" i="1"/>
  <c r="S383" i="1" s="1"/>
  <c r="AG384" i="1"/>
  <c r="S384" i="1" s="1"/>
  <c r="AG385" i="1"/>
  <c r="S385" i="1" s="1"/>
  <c r="AG386" i="1"/>
  <c r="S386" i="1" s="1"/>
  <c r="AG387" i="1"/>
  <c r="S387" i="1" s="1"/>
  <c r="AG388" i="1"/>
  <c r="S388" i="1" s="1"/>
  <c r="AG389" i="1"/>
  <c r="S389" i="1" s="1"/>
  <c r="AG390" i="1"/>
  <c r="S390" i="1" s="1"/>
  <c r="AG391" i="1"/>
  <c r="S391" i="1" s="1"/>
  <c r="AG392" i="1"/>
  <c r="S392" i="1" s="1"/>
  <c r="AG393" i="1"/>
  <c r="S393" i="1" s="1"/>
  <c r="AG394" i="1"/>
  <c r="S394" i="1" s="1"/>
  <c r="AG395" i="1"/>
  <c r="S395" i="1" s="1"/>
  <c r="AG396" i="1"/>
  <c r="S396" i="1" s="1"/>
  <c r="AG397" i="1"/>
  <c r="S397" i="1" s="1"/>
  <c r="AG398" i="1"/>
  <c r="S398" i="1" s="1"/>
  <c r="AG399" i="1"/>
  <c r="S399" i="1" s="1"/>
  <c r="AG400" i="1"/>
  <c r="S400" i="1" s="1"/>
  <c r="AG401" i="1"/>
  <c r="S401" i="1" s="1"/>
  <c r="AG2" i="1"/>
  <c r="S2" i="1" s="1"/>
  <c r="AF2" i="1"/>
  <c r="Q2" i="1" s="1"/>
  <c r="AF3" i="1"/>
  <c r="Q3" i="1" s="1"/>
  <c r="AF4" i="1"/>
  <c r="Q4" i="1" s="1"/>
  <c r="AF5" i="1"/>
  <c r="Q5" i="1" s="1"/>
  <c r="AF6" i="1"/>
  <c r="Q6" i="1" s="1"/>
  <c r="AF7" i="1"/>
  <c r="Q7" i="1" s="1"/>
  <c r="AF8" i="1"/>
  <c r="Q8" i="1" s="1"/>
  <c r="AF9" i="1"/>
  <c r="Q9" i="1" s="1"/>
  <c r="AF10" i="1"/>
  <c r="Q10" i="1" s="1"/>
  <c r="AF11" i="1"/>
  <c r="Q11" i="1" s="1"/>
  <c r="AF12" i="1"/>
  <c r="Q12" i="1" s="1"/>
  <c r="AF13" i="1"/>
  <c r="Q13" i="1" s="1"/>
  <c r="AF14" i="1"/>
  <c r="Q14" i="1" s="1"/>
  <c r="AF15" i="1"/>
  <c r="Q15" i="1" s="1"/>
  <c r="AF16" i="1"/>
  <c r="Q16" i="1" s="1"/>
  <c r="AF17" i="1"/>
  <c r="Q17" i="1" s="1"/>
  <c r="AF18" i="1"/>
  <c r="Q18" i="1" s="1"/>
  <c r="AF19" i="1"/>
  <c r="Q19" i="1" s="1"/>
  <c r="AF20" i="1"/>
  <c r="Q20" i="1" s="1"/>
  <c r="AF21" i="1"/>
  <c r="Q21" i="1" s="1"/>
  <c r="AF22" i="1"/>
  <c r="Q22" i="1" s="1"/>
  <c r="AF23" i="1"/>
  <c r="Q23" i="1" s="1"/>
  <c r="AF24" i="1"/>
  <c r="Q24" i="1" s="1"/>
  <c r="AF25" i="1"/>
  <c r="Q25" i="1" s="1"/>
  <c r="AF26" i="1"/>
  <c r="Q26" i="1" s="1"/>
  <c r="AF27" i="1"/>
  <c r="Q27" i="1" s="1"/>
  <c r="AF28" i="1"/>
  <c r="Q28" i="1" s="1"/>
  <c r="AF29" i="1"/>
  <c r="Q29" i="1" s="1"/>
  <c r="AF30" i="1"/>
  <c r="Q30" i="1" s="1"/>
  <c r="AF31" i="1"/>
  <c r="Q31" i="1" s="1"/>
  <c r="AF32" i="1"/>
  <c r="Q32" i="1" s="1"/>
  <c r="AF33" i="1"/>
  <c r="Q33" i="1" s="1"/>
  <c r="AF34" i="1"/>
  <c r="Q34" i="1" s="1"/>
  <c r="AF35" i="1"/>
  <c r="Q35" i="1" s="1"/>
  <c r="AF36" i="1"/>
  <c r="Q36" i="1" s="1"/>
  <c r="AF37" i="1"/>
  <c r="Q37" i="1" s="1"/>
  <c r="AF38" i="1"/>
  <c r="Q38" i="1" s="1"/>
  <c r="AF39" i="1"/>
  <c r="Q39" i="1" s="1"/>
  <c r="AF40" i="1"/>
  <c r="Q40" i="1" s="1"/>
  <c r="AF41" i="1"/>
  <c r="Q41" i="1" s="1"/>
  <c r="AF42" i="1"/>
  <c r="Q42" i="1" s="1"/>
  <c r="AF43" i="1"/>
  <c r="Q43" i="1" s="1"/>
  <c r="AF44" i="1"/>
  <c r="Q44" i="1" s="1"/>
  <c r="AF45" i="1"/>
  <c r="Q45" i="1" s="1"/>
  <c r="AF46" i="1"/>
  <c r="Q46" i="1" s="1"/>
  <c r="AF47" i="1"/>
  <c r="Q47" i="1" s="1"/>
  <c r="AF48" i="1"/>
  <c r="Q48" i="1" s="1"/>
  <c r="AF49" i="1"/>
  <c r="Q49" i="1" s="1"/>
  <c r="AF50" i="1"/>
  <c r="Q50" i="1" s="1"/>
  <c r="AF51" i="1"/>
  <c r="Q51" i="1" s="1"/>
  <c r="AF52" i="1"/>
  <c r="Q52" i="1" s="1"/>
  <c r="AF53" i="1"/>
  <c r="Q53" i="1" s="1"/>
  <c r="AF54" i="1"/>
  <c r="Q54" i="1" s="1"/>
  <c r="AF55" i="1"/>
  <c r="Q55" i="1" s="1"/>
  <c r="AF56" i="1"/>
  <c r="Q56" i="1" s="1"/>
  <c r="AF57" i="1"/>
  <c r="Q57" i="1" s="1"/>
  <c r="AF58" i="1"/>
  <c r="Q58" i="1" s="1"/>
  <c r="AF59" i="1"/>
  <c r="Q59" i="1" s="1"/>
  <c r="AF60" i="1"/>
  <c r="Q60" i="1" s="1"/>
  <c r="AF61" i="1"/>
  <c r="Q61" i="1" s="1"/>
  <c r="AF62" i="1"/>
  <c r="Q62" i="1" s="1"/>
  <c r="AF63" i="1"/>
  <c r="Q63" i="1" s="1"/>
  <c r="AF64" i="1"/>
  <c r="Q64" i="1" s="1"/>
  <c r="AF65" i="1"/>
  <c r="Q65" i="1" s="1"/>
  <c r="AF66" i="1"/>
  <c r="Q66" i="1" s="1"/>
  <c r="AF67" i="1"/>
  <c r="Q67" i="1" s="1"/>
  <c r="AF68" i="1"/>
  <c r="Q68" i="1" s="1"/>
  <c r="AF69" i="1"/>
  <c r="Q69" i="1" s="1"/>
  <c r="AF70" i="1"/>
  <c r="Q70" i="1" s="1"/>
  <c r="AF71" i="1"/>
  <c r="Q71" i="1" s="1"/>
  <c r="AF72" i="1"/>
  <c r="Q72" i="1" s="1"/>
  <c r="AF73" i="1"/>
  <c r="Q73" i="1" s="1"/>
  <c r="AF74" i="1"/>
  <c r="Q74" i="1" s="1"/>
  <c r="AF75" i="1"/>
  <c r="Q75" i="1" s="1"/>
  <c r="AF76" i="1"/>
  <c r="Q76" i="1" s="1"/>
  <c r="AF77" i="1"/>
  <c r="Q77" i="1" s="1"/>
  <c r="AF78" i="1"/>
  <c r="Q78" i="1" s="1"/>
  <c r="AF79" i="1"/>
  <c r="Q79" i="1" s="1"/>
  <c r="AF80" i="1"/>
  <c r="Q80" i="1" s="1"/>
  <c r="AF81" i="1"/>
  <c r="Q81" i="1" s="1"/>
  <c r="AF82" i="1"/>
  <c r="Q82" i="1" s="1"/>
  <c r="AF83" i="1"/>
  <c r="Q83" i="1" s="1"/>
  <c r="AF84" i="1"/>
  <c r="Q84" i="1" s="1"/>
  <c r="AF85" i="1"/>
  <c r="Q85" i="1" s="1"/>
  <c r="AF86" i="1"/>
  <c r="Q86" i="1" s="1"/>
  <c r="AF87" i="1"/>
  <c r="Q87" i="1" s="1"/>
  <c r="AF88" i="1"/>
  <c r="Q88" i="1" s="1"/>
  <c r="AF89" i="1"/>
  <c r="Q89" i="1" s="1"/>
  <c r="AF90" i="1"/>
  <c r="Q90" i="1" s="1"/>
  <c r="AF91" i="1"/>
  <c r="Q91" i="1" s="1"/>
  <c r="AF92" i="1"/>
  <c r="Q92" i="1" s="1"/>
  <c r="AF93" i="1"/>
  <c r="Q93" i="1" s="1"/>
  <c r="AF94" i="1"/>
  <c r="Q94" i="1" s="1"/>
  <c r="AF95" i="1"/>
  <c r="Q95" i="1" s="1"/>
  <c r="AF96" i="1"/>
  <c r="Q96" i="1" s="1"/>
  <c r="AF97" i="1"/>
  <c r="Q97" i="1" s="1"/>
  <c r="AF98" i="1"/>
  <c r="Q98" i="1" s="1"/>
  <c r="AF99" i="1"/>
  <c r="Q99" i="1" s="1"/>
  <c r="AF100" i="1"/>
  <c r="Q100" i="1" s="1"/>
  <c r="AF101" i="1"/>
  <c r="Q101" i="1" s="1"/>
  <c r="AF102" i="1"/>
  <c r="Q102" i="1" s="1"/>
  <c r="AF103" i="1"/>
  <c r="Q103" i="1" s="1"/>
  <c r="AF104" i="1"/>
  <c r="Q104" i="1" s="1"/>
  <c r="AF105" i="1"/>
  <c r="Q105" i="1" s="1"/>
  <c r="AF106" i="1"/>
  <c r="Q106" i="1" s="1"/>
  <c r="AF107" i="1"/>
  <c r="Q107" i="1" s="1"/>
  <c r="AF108" i="1"/>
  <c r="Q108" i="1" s="1"/>
  <c r="AF109" i="1"/>
  <c r="Q109" i="1" s="1"/>
  <c r="AF110" i="1"/>
  <c r="Q110" i="1" s="1"/>
  <c r="AF111" i="1"/>
  <c r="Q111" i="1" s="1"/>
  <c r="AF112" i="1"/>
  <c r="Q112" i="1" s="1"/>
  <c r="AF113" i="1"/>
  <c r="Q113" i="1" s="1"/>
  <c r="AF114" i="1"/>
  <c r="Q114" i="1" s="1"/>
  <c r="AF115" i="1"/>
  <c r="Q115" i="1" s="1"/>
  <c r="AF116" i="1"/>
  <c r="Q116" i="1" s="1"/>
  <c r="AF117" i="1"/>
  <c r="Q117" i="1" s="1"/>
  <c r="AF118" i="1"/>
  <c r="Q118" i="1" s="1"/>
  <c r="AF119" i="1"/>
  <c r="Q119" i="1" s="1"/>
  <c r="AF120" i="1"/>
  <c r="Q120" i="1" s="1"/>
  <c r="AF121" i="1"/>
  <c r="Q121" i="1" s="1"/>
  <c r="AF122" i="1"/>
  <c r="Q122" i="1" s="1"/>
  <c r="AF123" i="1"/>
  <c r="Q123" i="1" s="1"/>
  <c r="AF124" i="1"/>
  <c r="Q124" i="1" s="1"/>
  <c r="AF125" i="1"/>
  <c r="Q125" i="1" s="1"/>
  <c r="AF126" i="1"/>
  <c r="Q126" i="1" s="1"/>
  <c r="AF127" i="1"/>
  <c r="Q127" i="1" s="1"/>
  <c r="AF128" i="1"/>
  <c r="Q128" i="1" s="1"/>
  <c r="AF129" i="1"/>
  <c r="Q129" i="1" s="1"/>
  <c r="AF130" i="1"/>
  <c r="Q130" i="1" s="1"/>
  <c r="AF131" i="1"/>
  <c r="Q131" i="1" s="1"/>
  <c r="AF132" i="1"/>
  <c r="Q132" i="1" s="1"/>
  <c r="AF133" i="1"/>
  <c r="Q133" i="1" s="1"/>
  <c r="AF134" i="1"/>
  <c r="Q134" i="1" s="1"/>
  <c r="AF135" i="1"/>
  <c r="Q135" i="1" s="1"/>
  <c r="AF136" i="1"/>
  <c r="Q136" i="1" s="1"/>
  <c r="AF137" i="1"/>
  <c r="Q137" i="1" s="1"/>
  <c r="AF138" i="1"/>
  <c r="Q138" i="1" s="1"/>
  <c r="AF139" i="1"/>
  <c r="Q139" i="1" s="1"/>
  <c r="AF140" i="1"/>
  <c r="Q140" i="1" s="1"/>
  <c r="AF141" i="1"/>
  <c r="Q141" i="1" s="1"/>
  <c r="AF142" i="1"/>
  <c r="Q142" i="1" s="1"/>
  <c r="AF143" i="1"/>
  <c r="Q143" i="1" s="1"/>
  <c r="AF144" i="1"/>
  <c r="Q144" i="1" s="1"/>
  <c r="AF145" i="1"/>
  <c r="Q145" i="1" s="1"/>
  <c r="AF146" i="1"/>
  <c r="Q146" i="1" s="1"/>
  <c r="AF147" i="1"/>
  <c r="Q147" i="1" s="1"/>
  <c r="AF148" i="1"/>
  <c r="Q148" i="1" s="1"/>
  <c r="AF149" i="1"/>
  <c r="Q149" i="1" s="1"/>
  <c r="AF150" i="1"/>
  <c r="Q150" i="1" s="1"/>
  <c r="AF151" i="1"/>
  <c r="Q151" i="1" s="1"/>
  <c r="AF152" i="1"/>
  <c r="Q152" i="1" s="1"/>
  <c r="AF153" i="1"/>
  <c r="Q153" i="1" s="1"/>
  <c r="AF154" i="1"/>
  <c r="Q154" i="1" s="1"/>
  <c r="AF155" i="1"/>
  <c r="Q155" i="1" s="1"/>
  <c r="AF156" i="1"/>
  <c r="Q156" i="1" s="1"/>
  <c r="AF157" i="1"/>
  <c r="Q157" i="1" s="1"/>
  <c r="AF158" i="1"/>
  <c r="Q158" i="1" s="1"/>
  <c r="AF159" i="1"/>
  <c r="Q159" i="1" s="1"/>
  <c r="AF160" i="1"/>
  <c r="Q160" i="1" s="1"/>
  <c r="AF161" i="1"/>
  <c r="Q161" i="1" s="1"/>
  <c r="AF162" i="1"/>
  <c r="Q162" i="1" s="1"/>
  <c r="AF163" i="1"/>
  <c r="Q163" i="1" s="1"/>
  <c r="AF164" i="1"/>
  <c r="Q164" i="1" s="1"/>
  <c r="AF165" i="1"/>
  <c r="Q165" i="1" s="1"/>
  <c r="AF166" i="1"/>
  <c r="Q166" i="1" s="1"/>
  <c r="AF167" i="1"/>
  <c r="Q167" i="1" s="1"/>
  <c r="AF168" i="1"/>
  <c r="Q168" i="1" s="1"/>
  <c r="AF169" i="1"/>
  <c r="Q169" i="1" s="1"/>
  <c r="AF170" i="1"/>
  <c r="Q170" i="1" s="1"/>
  <c r="AF171" i="1"/>
  <c r="Q171" i="1" s="1"/>
  <c r="AF172" i="1"/>
  <c r="Q172" i="1" s="1"/>
  <c r="AF173" i="1"/>
  <c r="Q173" i="1" s="1"/>
  <c r="AF174" i="1"/>
  <c r="Q174" i="1" s="1"/>
  <c r="AF175" i="1"/>
  <c r="Q175" i="1" s="1"/>
  <c r="AF176" i="1"/>
  <c r="Q176" i="1" s="1"/>
  <c r="AF177" i="1"/>
  <c r="Q177" i="1" s="1"/>
  <c r="AF178" i="1"/>
  <c r="Q178" i="1" s="1"/>
  <c r="AF179" i="1"/>
  <c r="Q179" i="1" s="1"/>
  <c r="AF180" i="1"/>
  <c r="Q180" i="1" s="1"/>
  <c r="AF181" i="1"/>
  <c r="Q181" i="1" s="1"/>
  <c r="AF182" i="1"/>
  <c r="Q182" i="1" s="1"/>
  <c r="AF183" i="1"/>
  <c r="Q183" i="1" s="1"/>
  <c r="AF184" i="1"/>
  <c r="Q184" i="1" s="1"/>
  <c r="AF185" i="1"/>
  <c r="Q185" i="1" s="1"/>
  <c r="AF186" i="1"/>
  <c r="Q186" i="1" s="1"/>
  <c r="AF187" i="1"/>
  <c r="Q187" i="1" s="1"/>
  <c r="AF188" i="1"/>
  <c r="Q188" i="1" s="1"/>
  <c r="AF189" i="1"/>
  <c r="Q189" i="1" s="1"/>
  <c r="AF190" i="1"/>
  <c r="Q190" i="1" s="1"/>
  <c r="AF191" i="1"/>
  <c r="Q191" i="1" s="1"/>
  <c r="AF192" i="1"/>
  <c r="Q192" i="1" s="1"/>
  <c r="AF193" i="1"/>
  <c r="Q193" i="1" s="1"/>
  <c r="AF194" i="1"/>
  <c r="Q194" i="1" s="1"/>
  <c r="AF195" i="1"/>
  <c r="Q195" i="1" s="1"/>
  <c r="AF196" i="1"/>
  <c r="Q196" i="1" s="1"/>
  <c r="AF197" i="1"/>
  <c r="Q197" i="1" s="1"/>
  <c r="AF198" i="1"/>
  <c r="Q198" i="1" s="1"/>
  <c r="AF199" i="1"/>
  <c r="Q199" i="1" s="1"/>
  <c r="AF200" i="1"/>
  <c r="Q200" i="1" s="1"/>
  <c r="AF201" i="1"/>
  <c r="Q201" i="1" s="1"/>
  <c r="AF202" i="1"/>
  <c r="Q202" i="1" s="1"/>
  <c r="AF203" i="1"/>
  <c r="Q203" i="1" s="1"/>
  <c r="AF204" i="1"/>
  <c r="Q204" i="1" s="1"/>
  <c r="AF205" i="1"/>
  <c r="Q205" i="1" s="1"/>
  <c r="AF206" i="1"/>
  <c r="Q206" i="1" s="1"/>
  <c r="AF207" i="1"/>
  <c r="Q207" i="1" s="1"/>
  <c r="AF208" i="1"/>
  <c r="Q208" i="1" s="1"/>
  <c r="AF209" i="1"/>
  <c r="Q209" i="1" s="1"/>
  <c r="AF210" i="1"/>
  <c r="Q210" i="1" s="1"/>
  <c r="AF211" i="1"/>
  <c r="Q211" i="1" s="1"/>
  <c r="AF212" i="1"/>
  <c r="Q212" i="1" s="1"/>
  <c r="AF213" i="1"/>
  <c r="Q213" i="1" s="1"/>
  <c r="AF214" i="1"/>
  <c r="Q214" i="1" s="1"/>
  <c r="AF215" i="1"/>
  <c r="Q215" i="1" s="1"/>
  <c r="AF216" i="1"/>
  <c r="Q216" i="1" s="1"/>
  <c r="AF217" i="1"/>
  <c r="Q217" i="1" s="1"/>
  <c r="AF218" i="1"/>
  <c r="Q218" i="1" s="1"/>
  <c r="AF219" i="1"/>
  <c r="Q219" i="1" s="1"/>
  <c r="AF220" i="1"/>
  <c r="Q220" i="1" s="1"/>
  <c r="AF221" i="1"/>
  <c r="Q221" i="1" s="1"/>
  <c r="AF222" i="1"/>
  <c r="Q222" i="1" s="1"/>
  <c r="AF223" i="1"/>
  <c r="Q223" i="1" s="1"/>
  <c r="AF224" i="1"/>
  <c r="Q224" i="1" s="1"/>
  <c r="AF225" i="1"/>
  <c r="Q225" i="1" s="1"/>
  <c r="AF226" i="1"/>
  <c r="Q226" i="1" s="1"/>
  <c r="AF227" i="1"/>
  <c r="Q227" i="1" s="1"/>
  <c r="AF228" i="1"/>
  <c r="Q228" i="1" s="1"/>
  <c r="AF229" i="1"/>
  <c r="Q229" i="1" s="1"/>
  <c r="AF230" i="1"/>
  <c r="Q230" i="1" s="1"/>
  <c r="AF231" i="1"/>
  <c r="Q231" i="1" s="1"/>
  <c r="AF232" i="1"/>
  <c r="Q232" i="1" s="1"/>
  <c r="AF233" i="1"/>
  <c r="Q233" i="1" s="1"/>
  <c r="AF234" i="1"/>
  <c r="Q234" i="1" s="1"/>
  <c r="AF235" i="1"/>
  <c r="Q235" i="1" s="1"/>
  <c r="AF236" i="1"/>
  <c r="Q236" i="1" s="1"/>
  <c r="AF237" i="1"/>
  <c r="Q237" i="1" s="1"/>
  <c r="AF238" i="1"/>
  <c r="Q238" i="1" s="1"/>
  <c r="AF239" i="1"/>
  <c r="Q239" i="1" s="1"/>
  <c r="AF240" i="1"/>
  <c r="Q240" i="1" s="1"/>
  <c r="AF241" i="1"/>
  <c r="Q241" i="1" s="1"/>
  <c r="AF242" i="1"/>
  <c r="Q242" i="1" s="1"/>
  <c r="AF243" i="1"/>
  <c r="Q243" i="1" s="1"/>
  <c r="AF244" i="1"/>
  <c r="Q244" i="1" s="1"/>
  <c r="AF245" i="1"/>
  <c r="Q245" i="1" s="1"/>
  <c r="AF246" i="1"/>
  <c r="Q246" i="1" s="1"/>
  <c r="AF247" i="1"/>
  <c r="Q247" i="1" s="1"/>
  <c r="AF248" i="1"/>
  <c r="Q248" i="1" s="1"/>
  <c r="AF249" i="1"/>
  <c r="Q249" i="1" s="1"/>
  <c r="AF250" i="1"/>
  <c r="Q250" i="1" s="1"/>
  <c r="AF251" i="1"/>
  <c r="Q251" i="1" s="1"/>
  <c r="AF252" i="1"/>
  <c r="Q252" i="1" s="1"/>
  <c r="AF253" i="1"/>
  <c r="Q253" i="1" s="1"/>
  <c r="AF254" i="1"/>
  <c r="Q254" i="1" s="1"/>
  <c r="AF255" i="1"/>
  <c r="Q255" i="1" s="1"/>
  <c r="AF256" i="1"/>
  <c r="Q256" i="1" s="1"/>
  <c r="AF257" i="1"/>
  <c r="Q257" i="1" s="1"/>
  <c r="AF258" i="1"/>
  <c r="Q258" i="1" s="1"/>
  <c r="AF259" i="1"/>
  <c r="Q259" i="1" s="1"/>
  <c r="AF260" i="1"/>
  <c r="Q260" i="1" s="1"/>
  <c r="AF261" i="1"/>
  <c r="Q261" i="1" s="1"/>
  <c r="AF262" i="1"/>
  <c r="Q262" i="1" s="1"/>
  <c r="AF263" i="1"/>
  <c r="Q263" i="1" s="1"/>
  <c r="AF264" i="1"/>
  <c r="Q264" i="1" s="1"/>
  <c r="AF265" i="1"/>
  <c r="Q265" i="1" s="1"/>
  <c r="AF266" i="1"/>
  <c r="Q266" i="1" s="1"/>
  <c r="AF267" i="1"/>
  <c r="Q267" i="1" s="1"/>
  <c r="AF268" i="1"/>
  <c r="Q268" i="1" s="1"/>
  <c r="AF269" i="1"/>
  <c r="Q269" i="1" s="1"/>
  <c r="AF270" i="1"/>
  <c r="Q270" i="1" s="1"/>
  <c r="AF271" i="1"/>
  <c r="Q271" i="1" s="1"/>
  <c r="AF272" i="1"/>
  <c r="Q272" i="1" s="1"/>
  <c r="AF273" i="1"/>
  <c r="Q273" i="1" s="1"/>
  <c r="AF274" i="1"/>
  <c r="Q274" i="1" s="1"/>
  <c r="AF275" i="1"/>
  <c r="Q275" i="1" s="1"/>
  <c r="AF276" i="1"/>
  <c r="Q276" i="1" s="1"/>
  <c r="AF277" i="1"/>
  <c r="Q277" i="1" s="1"/>
  <c r="AF278" i="1"/>
  <c r="Q278" i="1" s="1"/>
  <c r="AF279" i="1"/>
  <c r="Q279" i="1" s="1"/>
  <c r="AF280" i="1"/>
  <c r="Q280" i="1" s="1"/>
  <c r="AF281" i="1"/>
  <c r="Q281" i="1" s="1"/>
  <c r="AF282" i="1"/>
  <c r="Q282" i="1" s="1"/>
  <c r="AF283" i="1"/>
  <c r="Q283" i="1" s="1"/>
  <c r="AF284" i="1"/>
  <c r="Q284" i="1" s="1"/>
  <c r="AF285" i="1"/>
  <c r="Q285" i="1" s="1"/>
  <c r="AF286" i="1"/>
  <c r="Q286" i="1" s="1"/>
  <c r="AF287" i="1"/>
  <c r="Q287" i="1" s="1"/>
  <c r="AF288" i="1"/>
  <c r="Q288" i="1" s="1"/>
  <c r="AF289" i="1"/>
  <c r="Q289" i="1" s="1"/>
  <c r="AF290" i="1"/>
  <c r="Q290" i="1" s="1"/>
  <c r="AF291" i="1"/>
  <c r="Q291" i="1" s="1"/>
  <c r="AF292" i="1"/>
  <c r="Q292" i="1" s="1"/>
  <c r="AF293" i="1"/>
  <c r="Q293" i="1" s="1"/>
  <c r="AF294" i="1"/>
  <c r="Q294" i="1" s="1"/>
  <c r="AF295" i="1"/>
  <c r="Q295" i="1" s="1"/>
  <c r="AF296" i="1"/>
  <c r="Q296" i="1" s="1"/>
  <c r="AF297" i="1"/>
  <c r="Q297" i="1" s="1"/>
  <c r="AF298" i="1"/>
  <c r="Q298" i="1" s="1"/>
  <c r="AF299" i="1"/>
  <c r="Q299" i="1" s="1"/>
  <c r="AF300" i="1"/>
  <c r="Q300" i="1" s="1"/>
  <c r="AF301" i="1"/>
  <c r="Q301" i="1" s="1"/>
  <c r="AF302" i="1"/>
  <c r="Q302" i="1" s="1"/>
  <c r="AF303" i="1"/>
  <c r="Q303" i="1" s="1"/>
  <c r="AF304" i="1"/>
  <c r="Q304" i="1" s="1"/>
  <c r="AF305" i="1"/>
  <c r="Q305" i="1" s="1"/>
  <c r="AF306" i="1"/>
  <c r="Q306" i="1" s="1"/>
  <c r="AF307" i="1"/>
  <c r="Q307" i="1" s="1"/>
  <c r="AF308" i="1"/>
  <c r="Q308" i="1" s="1"/>
  <c r="AF309" i="1"/>
  <c r="Q309" i="1" s="1"/>
  <c r="AF310" i="1"/>
  <c r="Q310" i="1" s="1"/>
  <c r="AF311" i="1"/>
  <c r="Q311" i="1" s="1"/>
  <c r="AF312" i="1"/>
  <c r="Q312" i="1" s="1"/>
  <c r="AF313" i="1"/>
  <c r="Q313" i="1" s="1"/>
  <c r="AF314" i="1"/>
  <c r="Q314" i="1" s="1"/>
  <c r="AF315" i="1"/>
  <c r="Q315" i="1" s="1"/>
  <c r="AF316" i="1"/>
  <c r="Q316" i="1" s="1"/>
  <c r="AF317" i="1"/>
  <c r="Q317" i="1" s="1"/>
  <c r="AF318" i="1"/>
  <c r="Q318" i="1" s="1"/>
  <c r="AF319" i="1"/>
  <c r="Q319" i="1" s="1"/>
  <c r="AF320" i="1"/>
  <c r="Q320" i="1" s="1"/>
  <c r="AF321" i="1"/>
  <c r="Q321" i="1" s="1"/>
  <c r="AF322" i="1"/>
  <c r="Q322" i="1" s="1"/>
  <c r="AF323" i="1"/>
  <c r="Q323" i="1" s="1"/>
  <c r="AF324" i="1"/>
  <c r="Q324" i="1" s="1"/>
  <c r="AF325" i="1"/>
  <c r="Q325" i="1" s="1"/>
  <c r="AF326" i="1"/>
  <c r="Q326" i="1" s="1"/>
  <c r="AF327" i="1"/>
  <c r="Q327" i="1" s="1"/>
  <c r="AF328" i="1"/>
  <c r="Q328" i="1" s="1"/>
  <c r="AF329" i="1"/>
  <c r="Q329" i="1" s="1"/>
  <c r="AF330" i="1"/>
  <c r="Q330" i="1" s="1"/>
  <c r="AF331" i="1"/>
  <c r="Q331" i="1" s="1"/>
  <c r="AF332" i="1"/>
  <c r="Q332" i="1" s="1"/>
  <c r="AF333" i="1"/>
  <c r="Q333" i="1" s="1"/>
  <c r="AF334" i="1"/>
  <c r="Q334" i="1" s="1"/>
  <c r="AF335" i="1"/>
  <c r="Q335" i="1" s="1"/>
  <c r="AF336" i="1"/>
  <c r="Q336" i="1" s="1"/>
  <c r="AF337" i="1"/>
  <c r="Q337" i="1" s="1"/>
  <c r="AF338" i="1"/>
  <c r="Q338" i="1" s="1"/>
  <c r="AF339" i="1"/>
  <c r="Q339" i="1" s="1"/>
  <c r="AF340" i="1"/>
  <c r="Q340" i="1" s="1"/>
  <c r="AF341" i="1"/>
  <c r="Q341" i="1" s="1"/>
  <c r="AF342" i="1"/>
  <c r="Q342" i="1" s="1"/>
  <c r="AF343" i="1"/>
  <c r="Q343" i="1" s="1"/>
  <c r="AF344" i="1"/>
  <c r="Q344" i="1" s="1"/>
  <c r="AF345" i="1"/>
  <c r="Q345" i="1" s="1"/>
  <c r="AF346" i="1"/>
  <c r="Q346" i="1" s="1"/>
  <c r="AF347" i="1"/>
  <c r="Q347" i="1" s="1"/>
  <c r="AF348" i="1"/>
  <c r="Q348" i="1" s="1"/>
  <c r="AF349" i="1"/>
  <c r="Q349" i="1" s="1"/>
  <c r="AF350" i="1"/>
  <c r="Q350" i="1" s="1"/>
  <c r="AF351" i="1"/>
  <c r="Q351" i="1" s="1"/>
  <c r="AF352" i="1"/>
  <c r="Q352" i="1" s="1"/>
  <c r="AF353" i="1"/>
  <c r="Q353" i="1" s="1"/>
  <c r="AF354" i="1"/>
  <c r="Q354" i="1" s="1"/>
  <c r="AF355" i="1"/>
  <c r="Q355" i="1" s="1"/>
  <c r="AF356" i="1"/>
  <c r="Q356" i="1" s="1"/>
  <c r="AF357" i="1"/>
  <c r="Q357" i="1" s="1"/>
  <c r="AF358" i="1"/>
  <c r="Q358" i="1" s="1"/>
  <c r="AF359" i="1"/>
  <c r="Q359" i="1" s="1"/>
  <c r="AF360" i="1"/>
  <c r="Q360" i="1" s="1"/>
  <c r="AF361" i="1"/>
  <c r="Q361" i="1" s="1"/>
  <c r="AF362" i="1"/>
  <c r="Q362" i="1" s="1"/>
  <c r="AF363" i="1"/>
  <c r="Q363" i="1" s="1"/>
  <c r="AF364" i="1"/>
  <c r="Q364" i="1" s="1"/>
  <c r="AF365" i="1"/>
  <c r="Q365" i="1" s="1"/>
  <c r="AF366" i="1"/>
  <c r="Q366" i="1" s="1"/>
  <c r="AF367" i="1"/>
  <c r="Q367" i="1" s="1"/>
  <c r="AF368" i="1"/>
  <c r="Q368" i="1" s="1"/>
  <c r="AF369" i="1"/>
  <c r="Q369" i="1" s="1"/>
  <c r="AF370" i="1"/>
  <c r="Q370" i="1" s="1"/>
  <c r="AF371" i="1"/>
  <c r="Q371" i="1" s="1"/>
  <c r="AF372" i="1"/>
  <c r="Q372" i="1" s="1"/>
  <c r="AF373" i="1"/>
  <c r="Q373" i="1" s="1"/>
  <c r="AF374" i="1"/>
  <c r="Q374" i="1" s="1"/>
  <c r="AF375" i="1"/>
  <c r="Q375" i="1" s="1"/>
  <c r="AF376" i="1"/>
  <c r="Q376" i="1" s="1"/>
  <c r="AF377" i="1"/>
  <c r="Q377" i="1" s="1"/>
  <c r="AF378" i="1"/>
  <c r="Q378" i="1" s="1"/>
  <c r="AF379" i="1"/>
  <c r="Q379" i="1" s="1"/>
  <c r="AF380" i="1"/>
  <c r="Q380" i="1" s="1"/>
  <c r="AF381" i="1"/>
  <c r="Q381" i="1" s="1"/>
  <c r="AF382" i="1"/>
  <c r="Q382" i="1" s="1"/>
  <c r="AF383" i="1"/>
  <c r="Q383" i="1" s="1"/>
  <c r="AF384" i="1"/>
  <c r="Q384" i="1" s="1"/>
  <c r="AF385" i="1"/>
  <c r="Q385" i="1" s="1"/>
  <c r="AF386" i="1"/>
  <c r="Q386" i="1" s="1"/>
  <c r="AF387" i="1"/>
  <c r="Q387" i="1" s="1"/>
  <c r="AF388" i="1"/>
  <c r="Q388" i="1" s="1"/>
  <c r="AF389" i="1"/>
  <c r="Q389" i="1" s="1"/>
  <c r="AF390" i="1"/>
  <c r="Q390" i="1" s="1"/>
  <c r="AF391" i="1"/>
  <c r="Q391" i="1" s="1"/>
  <c r="AF392" i="1"/>
  <c r="Q392" i="1" s="1"/>
  <c r="AF393" i="1"/>
  <c r="Q393" i="1" s="1"/>
  <c r="AF394" i="1"/>
  <c r="Q394" i="1" s="1"/>
  <c r="AF395" i="1"/>
  <c r="Q395" i="1" s="1"/>
  <c r="AF396" i="1"/>
  <c r="Q396" i="1" s="1"/>
  <c r="AF397" i="1"/>
  <c r="Q397" i="1" s="1"/>
  <c r="AF398" i="1"/>
  <c r="Q398" i="1" s="1"/>
  <c r="AF399" i="1"/>
  <c r="Q399" i="1" s="1"/>
  <c r="AF400" i="1"/>
  <c r="Q400" i="1" s="1"/>
  <c r="AF401" i="1"/>
  <c r="Q401" i="1" s="1"/>
  <c r="AB3" i="6"/>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B36" i="6"/>
  <c r="AB37" i="6"/>
  <c r="AB38" i="6"/>
  <c r="AB39" i="6"/>
  <c r="AB40" i="6"/>
  <c r="AB41" i="6"/>
  <c r="AB42" i="6"/>
  <c r="AB43" i="6"/>
  <c r="AB44" i="6"/>
  <c r="AB45" i="6"/>
  <c r="AB46" i="6"/>
  <c r="AB47" i="6"/>
  <c r="AB48" i="6"/>
  <c r="AB49" i="6"/>
  <c r="AB50" i="6"/>
  <c r="AB51" i="6"/>
  <c r="AB52" i="6"/>
  <c r="AB53" i="6"/>
  <c r="AB54" i="6"/>
  <c r="AB55" i="6"/>
  <c r="AB56" i="6"/>
  <c r="AB57" i="6"/>
  <c r="AB58" i="6"/>
  <c r="AB59" i="6"/>
  <c r="AB60" i="6"/>
  <c r="AB61" i="6"/>
  <c r="AB62" i="6"/>
  <c r="AB63" i="6"/>
  <c r="AB64" i="6"/>
  <c r="AB65" i="6"/>
  <c r="AB66" i="6"/>
  <c r="AB67" i="6"/>
  <c r="AB68" i="6"/>
  <c r="AB69" i="6"/>
  <c r="AB70" i="6"/>
  <c r="AB71" i="6"/>
  <c r="AB72" i="6"/>
  <c r="AB73" i="6"/>
  <c r="AB74" i="6"/>
  <c r="AB75" i="6"/>
  <c r="AB76" i="6"/>
  <c r="AB77" i="6"/>
  <c r="AB78" i="6"/>
  <c r="AB79" i="6"/>
  <c r="AB80" i="6"/>
  <c r="AB81" i="6"/>
  <c r="AB82" i="6"/>
  <c r="AB83" i="6"/>
  <c r="AB84" i="6"/>
  <c r="AB85" i="6"/>
  <c r="AB86" i="6"/>
  <c r="AB87" i="6"/>
  <c r="AB88" i="6"/>
  <c r="AB89" i="6"/>
  <c r="AB90" i="6"/>
  <c r="AB91" i="6"/>
  <c r="AB92" i="6"/>
  <c r="AB93" i="6"/>
  <c r="AB94" i="6"/>
  <c r="AB95" i="6"/>
  <c r="AB96" i="6"/>
  <c r="AB97" i="6"/>
  <c r="AB98" i="6"/>
  <c r="AB99" i="6"/>
  <c r="AB100" i="6"/>
  <c r="AB101" i="6"/>
  <c r="AB102" i="6"/>
  <c r="AB103" i="6"/>
  <c r="AB104" i="6"/>
  <c r="AB105" i="6"/>
  <c r="AB106" i="6"/>
  <c r="AB107" i="6"/>
  <c r="AB108" i="6"/>
  <c r="AB109" i="6"/>
  <c r="AB110" i="6"/>
  <c r="AB111" i="6"/>
  <c r="AB112" i="6"/>
  <c r="AB113" i="6"/>
  <c r="AB114" i="6"/>
  <c r="AB115" i="6"/>
  <c r="AB116" i="6"/>
  <c r="AB117" i="6"/>
  <c r="AB118" i="6"/>
  <c r="AB119" i="6"/>
  <c r="AB120" i="6"/>
  <c r="AB121" i="6"/>
  <c r="AB122" i="6"/>
  <c r="AB123" i="6"/>
  <c r="AB124" i="6"/>
  <c r="AB125" i="6"/>
  <c r="AB126" i="6"/>
  <c r="AB127" i="6"/>
  <c r="AB128" i="6"/>
  <c r="AB129" i="6"/>
  <c r="AB130" i="6"/>
  <c r="AB131" i="6"/>
  <c r="AB132" i="6"/>
  <c r="AB133" i="6"/>
  <c r="AB134" i="6"/>
  <c r="AB135" i="6"/>
  <c r="AB136" i="6"/>
  <c r="AB137" i="6"/>
  <c r="AB138" i="6"/>
  <c r="AB139" i="6"/>
  <c r="AB140" i="6"/>
  <c r="AB141" i="6"/>
  <c r="AB142" i="6"/>
  <c r="AB143" i="6"/>
  <c r="AB144" i="6"/>
  <c r="AB145" i="6"/>
  <c r="AB146" i="6"/>
  <c r="AB147" i="6"/>
  <c r="AB148" i="6"/>
  <c r="AB149" i="6"/>
  <c r="AB150" i="6"/>
  <c r="AB151" i="6"/>
  <c r="AB152" i="6"/>
  <c r="AB153" i="6"/>
  <c r="AB154" i="6"/>
  <c r="AB155" i="6"/>
  <c r="AB156" i="6"/>
  <c r="AB157" i="6"/>
  <c r="AB158" i="6"/>
  <c r="AB159" i="6"/>
  <c r="AB160" i="6"/>
  <c r="AB161" i="6"/>
  <c r="AB162" i="6"/>
  <c r="AB163" i="6"/>
  <c r="AB164" i="6"/>
  <c r="AB165" i="6"/>
  <c r="AB166" i="6"/>
  <c r="AB167" i="6"/>
  <c r="AB168" i="6"/>
  <c r="AB169" i="6"/>
  <c r="AB170" i="6"/>
  <c r="AB171" i="6"/>
  <c r="AB172" i="6"/>
  <c r="AB173" i="6"/>
  <c r="AB174" i="6"/>
  <c r="AB175" i="6"/>
  <c r="AB176" i="6"/>
  <c r="AB177" i="6"/>
  <c r="AB178" i="6"/>
  <c r="AB179" i="6"/>
  <c r="AB180" i="6"/>
  <c r="AB181" i="6"/>
  <c r="AB182" i="6"/>
  <c r="AB183" i="6"/>
  <c r="AB184" i="6"/>
  <c r="AB185" i="6"/>
  <c r="AB186" i="6"/>
  <c r="AB187" i="6"/>
  <c r="AB188" i="6"/>
  <c r="AB189" i="6"/>
  <c r="AB190" i="6"/>
  <c r="AB191" i="6"/>
  <c r="AB192" i="6"/>
  <c r="AB193" i="6"/>
  <c r="AB194" i="6"/>
  <c r="AB195" i="6"/>
  <c r="AB196" i="6"/>
  <c r="AB197" i="6"/>
  <c r="AB198" i="6"/>
  <c r="AB199" i="6"/>
  <c r="AB200" i="6"/>
  <c r="AB201" i="6"/>
  <c r="AB202" i="6"/>
  <c r="AB203" i="6"/>
  <c r="AB204" i="6"/>
  <c r="AB205" i="6"/>
  <c r="AB206" i="6"/>
  <c r="AB207" i="6"/>
  <c r="AB208" i="6"/>
  <c r="AB209" i="6"/>
  <c r="AB210" i="6"/>
  <c r="AB211" i="6"/>
  <c r="AB212" i="6"/>
  <c r="AB213" i="6"/>
  <c r="AB214" i="6"/>
  <c r="AB215" i="6"/>
  <c r="AB216" i="6"/>
  <c r="AB217" i="6"/>
  <c r="AB218" i="6"/>
  <c r="AB219" i="6"/>
  <c r="AB220" i="6"/>
  <c r="AB221" i="6"/>
  <c r="AB222" i="6"/>
  <c r="AB223" i="6"/>
  <c r="AB224" i="6"/>
  <c r="AB225" i="6"/>
  <c r="AB226" i="6"/>
  <c r="AB227" i="6"/>
  <c r="AB228" i="6"/>
  <c r="AB229" i="6"/>
  <c r="AB230" i="6"/>
  <c r="AB231" i="6"/>
  <c r="AB232" i="6"/>
  <c r="AB233" i="6"/>
  <c r="AB234" i="6"/>
  <c r="AB235" i="6"/>
  <c r="AB236" i="6"/>
  <c r="AB237" i="6"/>
  <c r="AB238" i="6"/>
  <c r="AB239" i="6"/>
  <c r="AB240" i="6"/>
  <c r="AB241" i="6"/>
  <c r="AB242" i="6"/>
  <c r="AB243" i="6"/>
  <c r="AB244" i="6"/>
  <c r="AB245" i="6"/>
  <c r="AB246" i="6"/>
  <c r="AB247" i="6"/>
  <c r="AB248" i="6"/>
  <c r="AB249" i="6"/>
  <c r="AB250" i="6"/>
  <c r="AB251" i="6"/>
  <c r="AB252" i="6"/>
  <c r="AB253" i="6"/>
  <c r="AB254" i="6"/>
  <c r="AB255" i="6"/>
  <c r="AB256" i="6"/>
  <c r="AB257" i="6"/>
  <c r="AB258" i="6"/>
  <c r="AB259" i="6"/>
  <c r="AB260" i="6"/>
  <c r="AB261" i="6"/>
  <c r="AB262" i="6"/>
  <c r="AB263" i="6"/>
  <c r="AB264" i="6"/>
  <c r="AB265" i="6"/>
  <c r="AB266" i="6"/>
  <c r="AB267" i="6"/>
  <c r="AB268" i="6"/>
  <c r="AB269" i="6"/>
  <c r="AB270" i="6"/>
  <c r="AB271" i="6"/>
  <c r="AB272" i="6"/>
  <c r="AB273" i="6"/>
  <c r="AB274" i="6"/>
  <c r="AB275" i="6"/>
  <c r="AB276" i="6"/>
  <c r="AB277" i="6"/>
  <c r="AB278" i="6"/>
  <c r="AB279" i="6"/>
  <c r="AB280" i="6"/>
  <c r="AB281" i="6"/>
  <c r="AB282" i="6"/>
  <c r="AB283" i="6"/>
  <c r="AB284" i="6"/>
  <c r="AB285" i="6"/>
  <c r="AB286" i="6"/>
  <c r="AB287" i="6"/>
  <c r="AB288" i="6"/>
  <c r="AB289" i="6"/>
  <c r="AB290" i="6"/>
  <c r="AB291" i="6"/>
  <c r="AB292" i="6"/>
  <c r="AB293" i="6"/>
  <c r="AB294" i="6"/>
  <c r="AB295" i="6"/>
  <c r="AB296" i="6"/>
  <c r="AB297" i="6"/>
  <c r="AB298" i="6"/>
  <c r="AB299" i="6"/>
  <c r="AB300" i="6"/>
  <c r="AB301" i="6"/>
  <c r="AB302" i="6"/>
  <c r="AB303" i="6"/>
  <c r="AB304" i="6"/>
  <c r="AB305" i="6"/>
  <c r="AB306" i="6"/>
  <c r="AB307" i="6"/>
  <c r="AB308" i="6"/>
  <c r="AB309" i="6"/>
  <c r="AB310" i="6"/>
  <c r="AB311" i="6"/>
  <c r="AB312" i="6"/>
  <c r="AB313" i="6"/>
  <c r="AB314" i="6"/>
  <c r="AB315" i="6"/>
  <c r="AB316" i="6"/>
  <c r="AB317" i="6"/>
  <c r="AB318" i="6"/>
  <c r="AB319" i="6"/>
  <c r="AB320" i="6"/>
  <c r="AB321" i="6"/>
  <c r="AB322" i="6"/>
  <c r="AB323" i="6"/>
  <c r="AB324" i="6"/>
  <c r="AB325" i="6"/>
  <c r="AB326" i="6"/>
  <c r="AB327" i="6"/>
  <c r="AB328" i="6"/>
  <c r="AB329" i="6"/>
  <c r="AB330" i="6"/>
  <c r="AB331" i="6"/>
  <c r="AB332" i="6"/>
  <c r="AB333" i="6"/>
  <c r="AB334" i="6"/>
  <c r="AB335" i="6"/>
  <c r="AB336" i="6"/>
  <c r="AB337" i="6"/>
  <c r="AB338" i="6"/>
  <c r="AB339" i="6"/>
  <c r="AB340" i="6"/>
  <c r="AB341" i="6"/>
  <c r="AB342" i="6"/>
  <c r="AB343" i="6"/>
  <c r="AB344" i="6"/>
  <c r="AB345" i="6"/>
  <c r="AB346" i="6"/>
  <c r="AB347" i="6"/>
  <c r="AB348" i="6"/>
  <c r="AB349" i="6"/>
  <c r="AB350" i="6"/>
  <c r="AB351" i="6"/>
  <c r="AB352" i="6"/>
  <c r="AB353" i="6"/>
  <c r="AB354" i="6"/>
  <c r="AB355" i="6"/>
  <c r="AB356" i="6"/>
  <c r="AB357" i="6"/>
  <c r="AB358" i="6"/>
  <c r="AB359" i="6"/>
  <c r="AB360" i="6"/>
  <c r="AB361" i="6"/>
  <c r="AB362" i="6"/>
  <c r="AB363" i="6"/>
  <c r="AB364" i="6"/>
  <c r="AB365" i="6"/>
  <c r="AB366" i="6"/>
  <c r="AB367" i="6"/>
  <c r="AB368" i="6"/>
  <c r="AB369" i="6"/>
  <c r="AB370" i="6"/>
  <c r="AB371" i="6"/>
  <c r="AB372" i="6"/>
  <c r="AB373" i="6"/>
  <c r="AB374" i="6"/>
  <c r="AB375" i="6"/>
  <c r="AB376" i="6"/>
  <c r="AB377" i="6"/>
  <c r="AB378" i="6"/>
  <c r="AB379" i="6"/>
  <c r="AB380" i="6"/>
  <c r="AB381" i="6"/>
  <c r="AB382" i="6"/>
  <c r="AB383" i="6"/>
  <c r="AB384" i="6"/>
  <c r="AB385" i="6"/>
  <c r="AB386" i="6"/>
  <c r="AB387" i="6"/>
  <c r="AB388" i="6"/>
  <c r="AB389" i="6"/>
  <c r="AB390" i="6"/>
  <c r="AB391" i="6"/>
  <c r="AB392" i="6"/>
  <c r="AB393" i="6"/>
  <c r="AB394" i="6"/>
  <c r="AB395" i="6"/>
  <c r="AB396" i="6"/>
  <c r="AB397" i="6"/>
  <c r="AB398" i="6"/>
  <c r="AB399" i="6"/>
  <c r="AB400" i="6"/>
  <c r="AB401" i="6"/>
  <c r="AB2" i="6"/>
  <c r="Z3" i="6"/>
  <c r="Z4" i="6"/>
  <c r="Z5" i="6"/>
  <c r="Z6" i="6"/>
  <c r="Z7" i="6"/>
  <c r="Z8" i="6"/>
  <c r="Z9" i="6"/>
  <c r="Z10" i="6"/>
  <c r="Z11" i="6"/>
  <c r="Z12" i="6"/>
  <c r="Z13" i="6"/>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Z83" i="6"/>
  <c r="Z84" i="6"/>
  <c r="Z85" i="6"/>
  <c r="Z86" i="6"/>
  <c r="Z87" i="6"/>
  <c r="Z88" i="6"/>
  <c r="Z89" i="6"/>
  <c r="Z90" i="6"/>
  <c r="Z91" i="6"/>
  <c r="Z92" i="6"/>
  <c r="Z93" i="6"/>
  <c r="Z94" i="6"/>
  <c r="Z95" i="6"/>
  <c r="Z96" i="6"/>
  <c r="Z97" i="6"/>
  <c r="Z98" i="6"/>
  <c r="Z99" i="6"/>
  <c r="Z100" i="6"/>
  <c r="Z101" i="6"/>
  <c r="Z102" i="6"/>
  <c r="Z103" i="6"/>
  <c r="Z104" i="6"/>
  <c r="Z105" i="6"/>
  <c r="Z106" i="6"/>
  <c r="Z107" i="6"/>
  <c r="Z108" i="6"/>
  <c r="Z109" i="6"/>
  <c r="Z110" i="6"/>
  <c r="Z111" i="6"/>
  <c r="Z112" i="6"/>
  <c r="Z113" i="6"/>
  <c r="Z114" i="6"/>
  <c r="Z115" i="6"/>
  <c r="Z116" i="6"/>
  <c r="Z117" i="6"/>
  <c r="Z118" i="6"/>
  <c r="Z119" i="6"/>
  <c r="Z120" i="6"/>
  <c r="Z121" i="6"/>
  <c r="Z122" i="6"/>
  <c r="Z123" i="6"/>
  <c r="Z124" i="6"/>
  <c r="Z125" i="6"/>
  <c r="Z126" i="6"/>
  <c r="Z127" i="6"/>
  <c r="Z128" i="6"/>
  <c r="Z129" i="6"/>
  <c r="Z130" i="6"/>
  <c r="Z131" i="6"/>
  <c r="Z132" i="6"/>
  <c r="Z133" i="6"/>
  <c r="Z134" i="6"/>
  <c r="Z135" i="6"/>
  <c r="Z136" i="6"/>
  <c r="Z137" i="6"/>
  <c r="Z138" i="6"/>
  <c r="Z139" i="6"/>
  <c r="Z140" i="6"/>
  <c r="Z141" i="6"/>
  <c r="Z142" i="6"/>
  <c r="Z143" i="6"/>
  <c r="Z144" i="6"/>
  <c r="Z145" i="6"/>
  <c r="Z146" i="6"/>
  <c r="Z147" i="6"/>
  <c r="Z148" i="6"/>
  <c r="Z149" i="6"/>
  <c r="Z150" i="6"/>
  <c r="Z151" i="6"/>
  <c r="Z152" i="6"/>
  <c r="Z153" i="6"/>
  <c r="Z154" i="6"/>
  <c r="Z155" i="6"/>
  <c r="Z156" i="6"/>
  <c r="Z157" i="6"/>
  <c r="Z158" i="6"/>
  <c r="Z159" i="6"/>
  <c r="Z160" i="6"/>
  <c r="Z161" i="6"/>
  <c r="Z162" i="6"/>
  <c r="Z163" i="6"/>
  <c r="Z164" i="6"/>
  <c r="Z165" i="6"/>
  <c r="Z166" i="6"/>
  <c r="Z167" i="6"/>
  <c r="Z168" i="6"/>
  <c r="Z169" i="6"/>
  <c r="Z170" i="6"/>
  <c r="Z171" i="6"/>
  <c r="Z172" i="6"/>
  <c r="Z173" i="6"/>
  <c r="Z174" i="6"/>
  <c r="Z175" i="6"/>
  <c r="Z176" i="6"/>
  <c r="Z177" i="6"/>
  <c r="Z178" i="6"/>
  <c r="Z179" i="6"/>
  <c r="Z180" i="6"/>
  <c r="Z181" i="6"/>
  <c r="Z182" i="6"/>
  <c r="Z183" i="6"/>
  <c r="Z184" i="6"/>
  <c r="Z185" i="6"/>
  <c r="Z186" i="6"/>
  <c r="Z187" i="6"/>
  <c r="Z188" i="6"/>
  <c r="Z189" i="6"/>
  <c r="Z190" i="6"/>
  <c r="Z191" i="6"/>
  <c r="Z192" i="6"/>
  <c r="Z193" i="6"/>
  <c r="Z194" i="6"/>
  <c r="Z195" i="6"/>
  <c r="Z196" i="6"/>
  <c r="Z197" i="6"/>
  <c r="Z198" i="6"/>
  <c r="Z199" i="6"/>
  <c r="Z200" i="6"/>
  <c r="Z201" i="6"/>
  <c r="Z202" i="6"/>
  <c r="Z203" i="6"/>
  <c r="Z204" i="6"/>
  <c r="Z205" i="6"/>
  <c r="Z206" i="6"/>
  <c r="Z207" i="6"/>
  <c r="Z208" i="6"/>
  <c r="Z209" i="6"/>
  <c r="Z210" i="6"/>
  <c r="Z211" i="6"/>
  <c r="Z212" i="6"/>
  <c r="Z213" i="6"/>
  <c r="Z214" i="6"/>
  <c r="Z215" i="6"/>
  <c r="Z216" i="6"/>
  <c r="Z217" i="6"/>
  <c r="Z218" i="6"/>
  <c r="Z219" i="6"/>
  <c r="Z220" i="6"/>
  <c r="Z221" i="6"/>
  <c r="Z222" i="6"/>
  <c r="Z223" i="6"/>
  <c r="Z224" i="6"/>
  <c r="Z225" i="6"/>
  <c r="Z226" i="6"/>
  <c r="Z227" i="6"/>
  <c r="Z228" i="6"/>
  <c r="Z229" i="6"/>
  <c r="Z230" i="6"/>
  <c r="Z231" i="6"/>
  <c r="Z232" i="6"/>
  <c r="Z233" i="6"/>
  <c r="Z234" i="6"/>
  <c r="Z235" i="6"/>
  <c r="Z236" i="6"/>
  <c r="Z237" i="6"/>
  <c r="Z238" i="6"/>
  <c r="Z239" i="6"/>
  <c r="Z240" i="6"/>
  <c r="Z241" i="6"/>
  <c r="Z242" i="6"/>
  <c r="Z243" i="6"/>
  <c r="Z244" i="6"/>
  <c r="Z245" i="6"/>
  <c r="Z246" i="6"/>
  <c r="Z247" i="6"/>
  <c r="Z248" i="6"/>
  <c r="Z249" i="6"/>
  <c r="Z250" i="6"/>
  <c r="Z251" i="6"/>
  <c r="Z252" i="6"/>
  <c r="Z253" i="6"/>
  <c r="Z254" i="6"/>
  <c r="Z255" i="6"/>
  <c r="Z256" i="6"/>
  <c r="Z257" i="6"/>
  <c r="Z258" i="6"/>
  <c r="Z259" i="6"/>
  <c r="Z260" i="6"/>
  <c r="Z261" i="6"/>
  <c r="Z262" i="6"/>
  <c r="Z263" i="6"/>
  <c r="Z264" i="6"/>
  <c r="Z265" i="6"/>
  <c r="Z266" i="6"/>
  <c r="Z267" i="6"/>
  <c r="Z268" i="6"/>
  <c r="Z269" i="6"/>
  <c r="Z270" i="6"/>
  <c r="Z271" i="6"/>
  <c r="Z272" i="6"/>
  <c r="Z273" i="6"/>
  <c r="Z274" i="6"/>
  <c r="Z275" i="6"/>
  <c r="Z276" i="6"/>
  <c r="Z277" i="6"/>
  <c r="Z278" i="6"/>
  <c r="Z279" i="6"/>
  <c r="Z280" i="6"/>
  <c r="Z281" i="6"/>
  <c r="Z282" i="6"/>
  <c r="Z283" i="6"/>
  <c r="Z284" i="6"/>
  <c r="Z285" i="6"/>
  <c r="Z286" i="6"/>
  <c r="Z287" i="6"/>
  <c r="Z288" i="6"/>
  <c r="Z289" i="6"/>
  <c r="Z290" i="6"/>
  <c r="Z291" i="6"/>
  <c r="Z292" i="6"/>
  <c r="Z293" i="6"/>
  <c r="Z294" i="6"/>
  <c r="Z295" i="6"/>
  <c r="Z296" i="6"/>
  <c r="Z297" i="6"/>
  <c r="Z298" i="6"/>
  <c r="Z299" i="6"/>
  <c r="Z300" i="6"/>
  <c r="Z301" i="6"/>
  <c r="Z302" i="6"/>
  <c r="Z303" i="6"/>
  <c r="Z304" i="6"/>
  <c r="Z305" i="6"/>
  <c r="Z306" i="6"/>
  <c r="Z307" i="6"/>
  <c r="Z308" i="6"/>
  <c r="Z309" i="6"/>
  <c r="Z310" i="6"/>
  <c r="Z311" i="6"/>
  <c r="Z312" i="6"/>
  <c r="Z313" i="6"/>
  <c r="Z314" i="6"/>
  <c r="Z315" i="6"/>
  <c r="Z316" i="6"/>
  <c r="Z317" i="6"/>
  <c r="Z318" i="6"/>
  <c r="Z319" i="6"/>
  <c r="Z320" i="6"/>
  <c r="Z321" i="6"/>
  <c r="Z322" i="6"/>
  <c r="Z323" i="6"/>
  <c r="Z324" i="6"/>
  <c r="Z325" i="6"/>
  <c r="Z326" i="6"/>
  <c r="Z327" i="6"/>
  <c r="Z328" i="6"/>
  <c r="Z329" i="6"/>
  <c r="Z330" i="6"/>
  <c r="Z331" i="6"/>
  <c r="Z332" i="6"/>
  <c r="Z333" i="6"/>
  <c r="Z334" i="6"/>
  <c r="Z335" i="6"/>
  <c r="Z336" i="6"/>
  <c r="Z337" i="6"/>
  <c r="Z338" i="6"/>
  <c r="Z339" i="6"/>
  <c r="Z340" i="6"/>
  <c r="Z341" i="6"/>
  <c r="Z342" i="6"/>
  <c r="Z343" i="6"/>
  <c r="Z344" i="6"/>
  <c r="Z345" i="6"/>
  <c r="Z346" i="6"/>
  <c r="Z347" i="6"/>
  <c r="Z348" i="6"/>
  <c r="Z349" i="6"/>
  <c r="Z350" i="6"/>
  <c r="Z351" i="6"/>
  <c r="Z352" i="6"/>
  <c r="Z353" i="6"/>
  <c r="Z354" i="6"/>
  <c r="Z355" i="6"/>
  <c r="Z356" i="6"/>
  <c r="Z357" i="6"/>
  <c r="Z358" i="6"/>
  <c r="Z359" i="6"/>
  <c r="Z360" i="6"/>
  <c r="Z361" i="6"/>
  <c r="Z362" i="6"/>
  <c r="Z363" i="6"/>
  <c r="Z364" i="6"/>
  <c r="Z365" i="6"/>
  <c r="Z366" i="6"/>
  <c r="Z367" i="6"/>
  <c r="Z368" i="6"/>
  <c r="Z369" i="6"/>
  <c r="Z370" i="6"/>
  <c r="Z371" i="6"/>
  <c r="Z372" i="6"/>
  <c r="Z373" i="6"/>
  <c r="Z374" i="6"/>
  <c r="Z375" i="6"/>
  <c r="Z376" i="6"/>
  <c r="Z377" i="6"/>
  <c r="Z378" i="6"/>
  <c r="Z379" i="6"/>
  <c r="Z380" i="6"/>
  <c r="Z381" i="6"/>
  <c r="Z382" i="6"/>
  <c r="Z383" i="6"/>
  <c r="Z384" i="6"/>
  <c r="Z385" i="6"/>
  <c r="Z386" i="6"/>
  <c r="Z387" i="6"/>
  <c r="Z388" i="6"/>
  <c r="Z389" i="6"/>
  <c r="Z390" i="6"/>
  <c r="Z391" i="6"/>
  <c r="Z392" i="6"/>
  <c r="Z393" i="6"/>
  <c r="Z394" i="6"/>
  <c r="Z395" i="6"/>
  <c r="Z396" i="6"/>
  <c r="Z397" i="6"/>
  <c r="Z398" i="6"/>
  <c r="Z399" i="6"/>
  <c r="Z400" i="6"/>
  <c r="Z401" i="6"/>
  <c r="Z2" i="6"/>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59" i="6"/>
  <c r="Y160" i="6"/>
  <c r="Y161" i="6"/>
  <c r="Y162" i="6"/>
  <c r="Y163" i="6"/>
  <c r="Y164" i="6"/>
  <c r="Y165" i="6"/>
  <c r="Y166" i="6"/>
  <c r="Y167" i="6"/>
  <c r="Y168" i="6"/>
  <c r="Y169" i="6"/>
  <c r="Y170" i="6"/>
  <c r="Y171" i="6"/>
  <c r="Y172" i="6"/>
  <c r="Y173" i="6"/>
  <c r="Y174" i="6"/>
  <c r="Y175" i="6"/>
  <c r="Y176" i="6"/>
  <c r="Y177" i="6"/>
  <c r="Y178" i="6"/>
  <c r="Y179" i="6"/>
  <c r="Y180" i="6"/>
  <c r="Y181" i="6"/>
  <c r="Y182" i="6"/>
  <c r="Y183" i="6"/>
  <c r="Y184" i="6"/>
  <c r="Y185" i="6"/>
  <c r="Y186" i="6"/>
  <c r="Y187" i="6"/>
  <c r="Y188" i="6"/>
  <c r="Y189" i="6"/>
  <c r="Y190" i="6"/>
  <c r="Y191" i="6"/>
  <c r="Y192" i="6"/>
  <c r="Y193" i="6"/>
  <c r="Y194" i="6"/>
  <c r="Y195" i="6"/>
  <c r="Y196" i="6"/>
  <c r="Y197" i="6"/>
  <c r="Y198" i="6"/>
  <c r="Y199" i="6"/>
  <c r="Y200" i="6"/>
  <c r="Y201" i="6"/>
  <c r="Y202" i="6"/>
  <c r="Y203" i="6"/>
  <c r="Y204" i="6"/>
  <c r="Y205" i="6"/>
  <c r="Y206" i="6"/>
  <c r="Y207" i="6"/>
  <c r="Y208" i="6"/>
  <c r="Y209" i="6"/>
  <c r="Y210" i="6"/>
  <c r="Y211" i="6"/>
  <c r="Y212" i="6"/>
  <c r="Y213" i="6"/>
  <c r="Y214" i="6"/>
  <c r="Y215" i="6"/>
  <c r="Y216" i="6"/>
  <c r="Y217" i="6"/>
  <c r="Y218" i="6"/>
  <c r="Y219" i="6"/>
  <c r="Y220" i="6"/>
  <c r="Y221" i="6"/>
  <c r="Y222" i="6"/>
  <c r="Y223" i="6"/>
  <c r="Y224" i="6"/>
  <c r="Y225" i="6"/>
  <c r="Y226" i="6"/>
  <c r="Y227" i="6"/>
  <c r="Y228" i="6"/>
  <c r="Y229" i="6"/>
  <c r="Y230" i="6"/>
  <c r="Y231" i="6"/>
  <c r="Y232" i="6"/>
  <c r="Y233" i="6"/>
  <c r="Y234" i="6"/>
  <c r="Y235" i="6"/>
  <c r="Y236" i="6"/>
  <c r="Y237" i="6"/>
  <c r="Y238" i="6"/>
  <c r="Y239" i="6"/>
  <c r="Y240" i="6"/>
  <c r="Y241" i="6"/>
  <c r="Y242" i="6"/>
  <c r="Y243" i="6"/>
  <c r="Y244" i="6"/>
  <c r="Y245" i="6"/>
  <c r="Y246" i="6"/>
  <c r="Y247" i="6"/>
  <c r="Y248" i="6"/>
  <c r="Y249" i="6"/>
  <c r="Y250" i="6"/>
  <c r="Y251" i="6"/>
  <c r="Y252" i="6"/>
  <c r="Y253" i="6"/>
  <c r="Y254" i="6"/>
  <c r="Y255" i="6"/>
  <c r="Y256" i="6"/>
  <c r="Y257" i="6"/>
  <c r="Y258" i="6"/>
  <c r="Y259" i="6"/>
  <c r="Y260" i="6"/>
  <c r="Y261" i="6"/>
  <c r="Y262" i="6"/>
  <c r="Y263" i="6"/>
  <c r="Y264" i="6"/>
  <c r="Y265" i="6"/>
  <c r="Y266" i="6"/>
  <c r="Y267" i="6"/>
  <c r="Y268" i="6"/>
  <c r="Y269" i="6"/>
  <c r="Y270" i="6"/>
  <c r="Y271" i="6"/>
  <c r="Y272" i="6"/>
  <c r="Y273" i="6"/>
  <c r="Y274" i="6"/>
  <c r="Y275" i="6"/>
  <c r="Y276" i="6"/>
  <c r="Y277" i="6"/>
  <c r="Y278" i="6"/>
  <c r="Y279" i="6"/>
  <c r="Y280" i="6"/>
  <c r="Y281" i="6"/>
  <c r="Y282" i="6"/>
  <c r="Y283" i="6"/>
  <c r="Y284" i="6"/>
  <c r="Y285" i="6"/>
  <c r="Y286" i="6"/>
  <c r="Y287" i="6"/>
  <c r="Y288" i="6"/>
  <c r="Y289" i="6"/>
  <c r="Y290" i="6"/>
  <c r="Y291" i="6"/>
  <c r="Y292" i="6"/>
  <c r="Y293" i="6"/>
  <c r="Y294" i="6"/>
  <c r="Y295" i="6"/>
  <c r="Y296" i="6"/>
  <c r="Y297" i="6"/>
  <c r="Y298" i="6"/>
  <c r="Y299" i="6"/>
  <c r="Y300" i="6"/>
  <c r="Y301" i="6"/>
  <c r="Y302" i="6"/>
  <c r="Y303" i="6"/>
  <c r="Y304" i="6"/>
  <c r="Y305" i="6"/>
  <c r="Y306" i="6"/>
  <c r="Y307" i="6"/>
  <c r="Y308" i="6"/>
  <c r="Y309" i="6"/>
  <c r="Y310" i="6"/>
  <c r="Y311" i="6"/>
  <c r="Y312" i="6"/>
  <c r="Y313" i="6"/>
  <c r="Y314" i="6"/>
  <c r="Y315" i="6"/>
  <c r="Y316" i="6"/>
  <c r="Y317" i="6"/>
  <c r="Y318" i="6"/>
  <c r="Y319" i="6"/>
  <c r="Y320" i="6"/>
  <c r="Y321" i="6"/>
  <c r="Y322" i="6"/>
  <c r="Y323" i="6"/>
  <c r="Y324" i="6"/>
  <c r="Y325" i="6"/>
  <c r="Y326" i="6"/>
  <c r="Y327" i="6"/>
  <c r="Y328" i="6"/>
  <c r="Y329" i="6"/>
  <c r="Y330" i="6"/>
  <c r="Y331" i="6"/>
  <c r="Y332" i="6"/>
  <c r="Y333" i="6"/>
  <c r="Y334" i="6"/>
  <c r="Y335" i="6"/>
  <c r="Y336" i="6"/>
  <c r="Y337" i="6"/>
  <c r="Y338" i="6"/>
  <c r="Y339" i="6"/>
  <c r="Y340" i="6"/>
  <c r="Y341" i="6"/>
  <c r="Y342" i="6"/>
  <c r="Y343" i="6"/>
  <c r="Y344" i="6"/>
  <c r="Y345" i="6"/>
  <c r="Y346" i="6"/>
  <c r="Y347" i="6"/>
  <c r="Y348" i="6"/>
  <c r="Y349" i="6"/>
  <c r="Y350" i="6"/>
  <c r="Y351" i="6"/>
  <c r="Y352" i="6"/>
  <c r="Y353" i="6"/>
  <c r="Y354" i="6"/>
  <c r="Y355" i="6"/>
  <c r="Y356" i="6"/>
  <c r="Y357" i="6"/>
  <c r="Y358" i="6"/>
  <c r="Y359" i="6"/>
  <c r="Y360" i="6"/>
  <c r="Y361" i="6"/>
  <c r="Y362" i="6"/>
  <c r="Y363" i="6"/>
  <c r="Y364" i="6"/>
  <c r="Y365" i="6"/>
  <c r="Y366" i="6"/>
  <c r="Y367" i="6"/>
  <c r="Y368" i="6"/>
  <c r="Y369" i="6"/>
  <c r="Y370" i="6"/>
  <c r="Y371" i="6"/>
  <c r="Y372" i="6"/>
  <c r="Y373" i="6"/>
  <c r="Y374" i="6"/>
  <c r="Y375" i="6"/>
  <c r="Y376" i="6"/>
  <c r="Y377" i="6"/>
  <c r="Y378" i="6"/>
  <c r="Y379" i="6"/>
  <c r="Y380" i="6"/>
  <c r="Y381" i="6"/>
  <c r="Y382" i="6"/>
  <c r="Y383" i="6"/>
  <c r="Y384" i="6"/>
  <c r="Y385" i="6"/>
  <c r="Y386" i="6"/>
  <c r="Y387" i="6"/>
  <c r="Y388" i="6"/>
  <c r="Y389" i="6"/>
  <c r="Y390" i="6"/>
  <c r="Y391" i="6"/>
  <c r="Y392" i="6"/>
  <c r="Y393" i="6"/>
  <c r="Y394" i="6"/>
  <c r="Y395" i="6"/>
  <c r="Y396" i="6"/>
  <c r="Y397" i="6"/>
  <c r="Y398" i="6"/>
  <c r="Y399" i="6"/>
  <c r="Y400" i="6"/>
  <c r="Y401" i="6"/>
  <c r="Y2"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2" i="6"/>
  <c r="AA15" i="6"/>
  <c r="AA3" i="6"/>
  <c r="AA4" i="6"/>
  <c r="AA5" i="6"/>
  <c r="AA6" i="6"/>
  <c r="AA7" i="6"/>
  <c r="AA8" i="6"/>
  <c r="AA9" i="6"/>
  <c r="AA10" i="6"/>
  <c r="AA11" i="6"/>
  <c r="AA12" i="6"/>
  <c r="AA13" i="6"/>
  <c r="AA14"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136" i="6"/>
  <c r="AA137" i="6"/>
  <c r="AA138" i="6"/>
  <c r="AA139" i="6"/>
  <c r="AA140" i="6"/>
  <c r="AA141" i="6"/>
  <c r="AA142" i="6"/>
  <c r="AA143" i="6"/>
  <c r="AA144" i="6"/>
  <c r="AA145" i="6"/>
  <c r="AA146" i="6"/>
  <c r="AA147" i="6"/>
  <c r="AA148" i="6"/>
  <c r="AA149" i="6"/>
  <c r="AA150" i="6"/>
  <c r="AA151" i="6"/>
  <c r="AA152" i="6"/>
  <c r="AA153" i="6"/>
  <c r="AA154" i="6"/>
  <c r="AA155" i="6"/>
  <c r="AA156" i="6"/>
  <c r="AA157" i="6"/>
  <c r="AA158" i="6"/>
  <c r="AA159" i="6"/>
  <c r="AA160" i="6"/>
  <c r="AA161" i="6"/>
  <c r="AA162" i="6"/>
  <c r="AA163" i="6"/>
  <c r="AA164" i="6"/>
  <c r="AA165" i="6"/>
  <c r="AA166" i="6"/>
  <c r="AA167" i="6"/>
  <c r="AA168" i="6"/>
  <c r="AA169" i="6"/>
  <c r="AA170" i="6"/>
  <c r="AA171" i="6"/>
  <c r="AA172" i="6"/>
  <c r="AA173" i="6"/>
  <c r="AA174" i="6"/>
  <c r="AA175" i="6"/>
  <c r="AA176" i="6"/>
  <c r="AA177" i="6"/>
  <c r="AA178" i="6"/>
  <c r="AA179" i="6"/>
  <c r="AA180" i="6"/>
  <c r="AA181" i="6"/>
  <c r="AA182" i="6"/>
  <c r="AA183" i="6"/>
  <c r="AA184" i="6"/>
  <c r="AA185" i="6"/>
  <c r="AA186" i="6"/>
  <c r="AA187" i="6"/>
  <c r="AA188" i="6"/>
  <c r="AA189" i="6"/>
  <c r="AA190" i="6"/>
  <c r="AA191" i="6"/>
  <c r="AA192" i="6"/>
  <c r="AA193" i="6"/>
  <c r="AA194" i="6"/>
  <c r="AA195" i="6"/>
  <c r="AA196" i="6"/>
  <c r="AA197" i="6"/>
  <c r="AA198" i="6"/>
  <c r="AA199" i="6"/>
  <c r="AA200" i="6"/>
  <c r="AA201" i="6"/>
  <c r="AA202" i="6"/>
  <c r="AA203" i="6"/>
  <c r="AA204" i="6"/>
  <c r="AA205" i="6"/>
  <c r="AA206" i="6"/>
  <c r="AA207" i="6"/>
  <c r="AA208" i="6"/>
  <c r="AA209" i="6"/>
  <c r="AA210" i="6"/>
  <c r="AA211" i="6"/>
  <c r="AA212" i="6"/>
  <c r="AA213" i="6"/>
  <c r="AA214" i="6"/>
  <c r="AA215" i="6"/>
  <c r="AA216" i="6"/>
  <c r="AA217" i="6"/>
  <c r="AA218" i="6"/>
  <c r="AA219" i="6"/>
  <c r="AA220" i="6"/>
  <c r="AA221" i="6"/>
  <c r="AA222" i="6"/>
  <c r="AA223" i="6"/>
  <c r="AA224" i="6"/>
  <c r="AA225" i="6"/>
  <c r="AA226" i="6"/>
  <c r="AA227" i="6"/>
  <c r="AA228" i="6"/>
  <c r="AA229" i="6"/>
  <c r="AA230" i="6"/>
  <c r="AA231" i="6"/>
  <c r="AA232" i="6"/>
  <c r="AA233" i="6"/>
  <c r="AA234" i="6"/>
  <c r="AA235" i="6"/>
  <c r="AA236" i="6"/>
  <c r="AA237" i="6"/>
  <c r="AA238" i="6"/>
  <c r="AA239" i="6"/>
  <c r="AA240" i="6"/>
  <c r="AA241" i="6"/>
  <c r="AA242" i="6"/>
  <c r="AA243" i="6"/>
  <c r="AA244" i="6"/>
  <c r="AA245" i="6"/>
  <c r="AA246" i="6"/>
  <c r="AA247" i="6"/>
  <c r="AA248" i="6"/>
  <c r="AA249" i="6"/>
  <c r="AA250" i="6"/>
  <c r="AA251" i="6"/>
  <c r="AA252" i="6"/>
  <c r="AA253" i="6"/>
  <c r="AA254" i="6"/>
  <c r="AA255" i="6"/>
  <c r="AA256" i="6"/>
  <c r="AA257" i="6"/>
  <c r="AA258" i="6"/>
  <c r="AA259" i="6"/>
  <c r="AA260" i="6"/>
  <c r="AA261" i="6"/>
  <c r="AA262" i="6"/>
  <c r="AA263" i="6"/>
  <c r="AA264" i="6"/>
  <c r="AA265" i="6"/>
  <c r="AA266" i="6"/>
  <c r="AA267" i="6"/>
  <c r="AA268" i="6"/>
  <c r="AA269" i="6"/>
  <c r="AA270" i="6"/>
  <c r="AA271" i="6"/>
  <c r="AA272" i="6"/>
  <c r="AA273" i="6"/>
  <c r="AA274" i="6"/>
  <c r="AA275" i="6"/>
  <c r="AA276" i="6"/>
  <c r="AA277" i="6"/>
  <c r="AA278" i="6"/>
  <c r="AA279" i="6"/>
  <c r="AA280" i="6"/>
  <c r="AA281" i="6"/>
  <c r="AA282" i="6"/>
  <c r="AA283" i="6"/>
  <c r="AA284" i="6"/>
  <c r="AA285" i="6"/>
  <c r="AA286" i="6"/>
  <c r="AA287" i="6"/>
  <c r="AA288" i="6"/>
  <c r="AA289" i="6"/>
  <c r="AA290" i="6"/>
  <c r="AA291" i="6"/>
  <c r="AA292" i="6"/>
  <c r="AA293" i="6"/>
  <c r="AA294" i="6"/>
  <c r="AA295" i="6"/>
  <c r="AA296" i="6"/>
  <c r="AA297" i="6"/>
  <c r="AA298" i="6"/>
  <c r="AA299" i="6"/>
  <c r="AA300" i="6"/>
  <c r="AA301" i="6"/>
  <c r="AA302" i="6"/>
  <c r="AA303" i="6"/>
  <c r="AA304" i="6"/>
  <c r="AA305" i="6"/>
  <c r="AA306" i="6"/>
  <c r="AA307" i="6"/>
  <c r="AA308" i="6"/>
  <c r="AA309" i="6"/>
  <c r="AA310" i="6"/>
  <c r="AA311" i="6"/>
  <c r="AA312" i="6"/>
  <c r="AA313" i="6"/>
  <c r="AA314" i="6"/>
  <c r="AA315" i="6"/>
  <c r="AA316" i="6"/>
  <c r="AA317" i="6"/>
  <c r="AA318" i="6"/>
  <c r="AA319" i="6"/>
  <c r="AA320" i="6"/>
  <c r="AA321" i="6"/>
  <c r="AA322" i="6"/>
  <c r="AA323" i="6"/>
  <c r="AA324" i="6"/>
  <c r="AA325" i="6"/>
  <c r="AA326" i="6"/>
  <c r="AA327" i="6"/>
  <c r="AA328" i="6"/>
  <c r="AA329" i="6"/>
  <c r="AA330" i="6"/>
  <c r="AA331" i="6"/>
  <c r="AA332" i="6"/>
  <c r="AA333" i="6"/>
  <c r="AA334" i="6"/>
  <c r="AA335" i="6"/>
  <c r="AA336" i="6"/>
  <c r="AA337" i="6"/>
  <c r="AA338" i="6"/>
  <c r="AA339" i="6"/>
  <c r="AA340" i="6"/>
  <c r="AA341" i="6"/>
  <c r="AA342" i="6"/>
  <c r="AA343" i="6"/>
  <c r="AA344" i="6"/>
  <c r="AA345" i="6"/>
  <c r="AA346" i="6"/>
  <c r="AA347" i="6"/>
  <c r="AA348" i="6"/>
  <c r="AA349" i="6"/>
  <c r="AA350" i="6"/>
  <c r="AA351" i="6"/>
  <c r="AA352" i="6"/>
  <c r="AA353" i="6"/>
  <c r="AA354" i="6"/>
  <c r="AA355" i="6"/>
  <c r="AA356" i="6"/>
  <c r="AA357" i="6"/>
  <c r="AA358" i="6"/>
  <c r="AA359" i="6"/>
  <c r="AA360" i="6"/>
  <c r="AA361" i="6"/>
  <c r="AA362" i="6"/>
  <c r="AA363" i="6"/>
  <c r="AA364" i="6"/>
  <c r="AA365" i="6"/>
  <c r="AA366" i="6"/>
  <c r="AA367" i="6"/>
  <c r="AA368" i="6"/>
  <c r="AA369" i="6"/>
  <c r="AA370" i="6"/>
  <c r="AA371" i="6"/>
  <c r="AA372" i="6"/>
  <c r="AA373" i="6"/>
  <c r="AA374" i="6"/>
  <c r="AA375" i="6"/>
  <c r="AA376" i="6"/>
  <c r="AA377" i="6"/>
  <c r="AA378" i="6"/>
  <c r="AA379" i="6"/>
  <c r="AA380" i="6"/>
  <c r="AA381" i="6"/>
  <c r="AA382" i="6"/>
  <c r="AA383" i="6"/>
  <c r="AA384" i="6"/>
  <c r="AA385" i="6"/>
  <c r="AA386" i="6"/>
  <c r="AA387" i="6"/>
  <c r="AA388" i="6"/>
  <c r="AA389" i="6"/>
  <c r="AA390" i="6"/>
  <c r="AA391" i="6"/>
  <c r="AA392" i="6"/>
  <c r="AA393" i="6"/>
  <c r="AA394" i="6"/>
  <c r="AA395" i="6"/>
  <c r="AA396" i="6"/>
  <c r="AA397" i="6"/>
  <c r="AA398" i="6"/>
  <c r="AA399" i="6"/>
  <c r="AA400" i="6"/>
  <c r="AA401" i="6"/>
  <c r="AA2" i="6"/>
  <c r="AC3" i="6"/>
  <c r="AC4" i="6"/>
  <c r="AC5" i="6"/>
  <c r="AC6" i="6"/>
  <c r="AC7" i="6"/>
  <c r="AC8" i="6"/>
  <c r="AC9" i="6"/>
  <c r="AC10" i="6"/>
  <c r="AC11" i="6"/>
  <c r="AC12" i="6"/>
  <c r="AC13" i="6"/>
  <c r="AC14" i="6"/>
  <c r="AC15" i="6"/>
  <c r="AC16" i="6"/>
  <c r="AC17" i="6"/>
  <c r="AC18" i="6"/>
  <c r="AC19" i="6"/>
  <c r="AC20" i="6"/>
  <c r="AC21" i="6"/>
  <c r="AC22" i="6"/>
  <c r="AC23" i="6"/>
  <c r="AC24" i="6"/>
  <c r="AC25" i="6"/>
  <c r="AC26" i="6"/>
  <c r="AC27" i="6"/>
  <c r="AC28" i="6"/>
  <c r="AC29" i="6"/>
  <c r="AC30" i="6"/>
  <c r="AC31" i="6"/>
  <c r="AC32" i="6"/>
  <c r="AC33" i="6"/>
  <c r="AC34" i="6"/>
  <c r="AC35" i="6"/>
  <c r="AC36" i="6"/>
  <c r="AC37" i="6"/>
  <c r="AC38" i="6"/>
  <c r="AC39" i="6"/>
  <c r="AC40" i="6"/>
  <c r="AC41" i="6"/>
  <c r="AC42" i="6"/>
  <c r="AC43" i="6"/>
  <c r="AC44" i="6"/>
  <c r="AC45" i="6"/>
  <c r="AC46" i="6"/>
  <c r="AC47" i="6"/>
  <c r="AC48" i="6"/>
  <c r="AC49" i="6"/>
  <c r="AC50" i="6"/>
  <c r="AC51" i="6"/>
  <c r="AC52" i="6"/>
  <c r="AC53" i="6"/>
  <c r="AC54" i="6"/>
  <c r="AC55" i="6"/>
  <c r="AC56" i="6"/>
  <c r="AC57" i="6"/>
  <c r="AC58" i="6"/>
  <c r="AC59" i="6"/>
  <c r="AC60" i="6"/>
  <c r="AC61" i="6"/>
  <c r="AC62" i="6"/>
  <c r="AC63" i="6"/>
  <c r="AC64" i="6"/>
  <c r="AC65" i="6"/>
  <c r="AC66" i="6"/>
  <c r="AC67" i="6"/>
  <c r="AC68" i="6"/>
  <c r="AC69" i="6"/>
  <c r="AC70" i="6"/>
  <c r="AC71" i="6"/>
  <c r="AC72" i="6"/>
  <c r="AC73" i="6"/>
  <c r="AC74" i="6"/>
  <c r="AC75" i="6"/>
  <c r="AC76" i="6"/>
  <c r="AC77" i="6"/>
  <c r="AC78" i="6"/>
  <c r="AC79" i="6"/>
  <c r="AC80" i="6"/>
  <c r="AC81" i="6"/>
  <c r="AC82" i="6"/>
  <c r="AC83" i="6"/>
  <c r="AC84" i="6"/>
  <c r="AC85" i="6"/>
  <c r="AC86" i="6"/>
  <c r="AC87" i="6"/>
  <c r="AC88" i="6"/>
  <c r="AC89" i="6"/>
  <c r="AC90" i="6"/>
  <c r="AC91" i="6"/>
  <c r="AC92" i="6"/>
  <c r="AC93" i="6"/>
  <c r="AC94" i="6"/>
  <c r="AC95" i="6"/>
  <c r="AC96" i="6"/>
  <c r="AC97" i="6"/>
  <c r="AC98" i="6"/>
  <c r="AC99" i="6"/>
  <c r="AC100" i="6"/>
  <c r="AC101" i="6"/>
  <c r="AC102" i="6"/>
  <c r="AC103" i="6"/>
  <c r="AC104" i="6"/>
  <c r="AC105" i="6"/>
  <c r="AC106" i="6"/>
  <c r="AC107" i="6"/>
  <c r="AC108" i="6"/>
  <c r="AC109" i="6"/>
  <c r="AC110" i="6"/>
  <c r="AC111" i="6"/>
  <c r="AC112" i="6"/>
  <c r="AC113" i="6"/>
  <c r="AC114" i="6"/>
  <c r="AC115" i="6"/>
  <c r="AC116" i="6"/>
  <c r="AC117" i="6"/>
  <c r="AC118" i="6"/>
  <c r="AC119" i="6"/>
  <c r="AC120" i="6"/>
  <c r="AC121" i="6"/>
  <c r="AC122" i="6"/>
  <c r="AC123" i="6"/>
  <c r="AC124" i="6"/>
  <c r="AC125" i="6"/>
  <c r="AC126" i="6"/>
  <c r="AC127" i="6"/>
  <c r="AC128" i="6"/>
  <c r="AC129" i="6"/>
  <c r="AC130" i="6"/>
  <c r="AC131" i="6"/>
  <c r="AC132" i="6"/>
  <c r="AC133" i="6"/>
  <c r="AC134" i="6"/>
  <c r="AC135" i="6"/>
  <c r="AC136" i="6"/>
  <c r="AC137" i="6"/>
  <c r="AC138" i="6"/>
  <c r="AC139" i="6"/>
  <c r="AC140" i="6"/>
  <c r="AC141" i="6"/>
  <c r="AC142" i="6"/>
  <c r="AC143" i="6"/>
  <c r="AC144" i="6"/>
  <c r="AC145" i="6"/>
  <c r="AC146" i="6"/>
  <c r="AC147" i="6"/>
  <c r="AC148" i="6"/>
  <c r="AC149" i="6"/>
  <c r="AC150" i="6"/>
  <c r="AC151" i="6"/>
  <c r="AC152" i="6"/>
  <c r="AC153" i="6"/>
  <c r="AC154" i="6"/>
  <c r="AC155" i="6"/>
  <c r="AC156" i="6"/>
  <c r="AC157" i="6"/>
  <c r="AC158" i="6"/>
  <c r="AC159" i="6"/>
  <c r="AC160" i="6"/>
  <c r="AC161" i="6"/>
  <c r="AC162" i="6"/>
  <c r="AC163" i="6"/>
  <c r="AC164" i="6"/>
  <c r="AC165" i="6"/>
  <c r="AC166" i="6"/>
  <c r="AC167" i="6"/>
  <c r="AC168" i="6"/>
  <c r="AC169" i="6"/>
  <c r="AC170" i="6"/>
  <c r="AC171" i="6"/>
  <c r="AC172" i="6"/>
  <c r="AC173" i="6"/>
  <c r="AC174" i="6"/>
  <c r="AC175" i="6"/>
  <c r="AC176" i="6"/>
  <c r="AC177" i="6"/>
  <c r="AC178" i="6"/>
  <c r="AC179" i="6"/>
  <c r="AC180" i="6"/>
  <c r="AC181" i="6"/>
  <c r="AC182" i="6"/>
  <c r="AC183" i="6"/>
  <c r="AC184" i="6"/>
  <c r="AC185" i="6"/>
  <c r="AC186" i="6"/>
  <c r="AC187" i="6"/>
  <c r="AC188" i="6"/>
  <c r="AC189" i="6"/>
  <c r="AC190" i="6"/>
  <c r="AC191" i="6"/>
  <c r="AC192" i="6"/>
  <c r="AC193" i="6"/>
  <c r="AC194" i="6"/>
  <c r="AC195" i="6"/>
  <c r="AC196" i="6"/>
  <c r="AC197" i="6"/>
  <c r="AC198" i="6"/>
  <c r="AC199" i="6"/>
  <c r="AC200" i="6"/>
  <c r="AC201" i="6"/>
  <c r="AC202" i="6"/>
  <c r="AC203" i="6"/>
  <c r="AC204" i="6"/>
  <c r="AC205" i="6"/>
  <c r="AC206" i="6"/>
  <c r="AC207" i="6"/>
  <c r="AC208" i="6"/>
  <c r="AC209" i="6"/>
  <c r="AC210" i="6"/>
  <c r="AC211" i="6"/>
  <c r="AC212" i="6"/>
  <c r="AC213" i="6"/>
  <c r="AC214" i="6"/>
  <c r="AC215" i="6"/>
  <c r="AC216" i="6"/>
  <c r="AC217" i="6"/>
  <c r="AC218" i="6"/>
  <c r="AC219" i="6"/>
  <c r="AC220" i="6"/>
  <c r="AC221" i="6"/>
  <c r="AC222" i="6"/>
  <c r="AC223" i="6"/>
  <c r="AC224" i="6"/>
  <c r="AC225" i="6"/>
  <c r="AC226" i="6"/>
  <c r="AC227" i="6"/>
  <c r="AC228" i="6"/>
  <c r="AC229" i="6"/>
  <c r="AC230" i="6"/>
  <c r="AC231" i="6"/>
  <c r="AC232" i="6"/>
  <c r="AC233" i="6"/>
  <c r="AC234" i="6"/>
  <c r="AC235" i="6"/>
  <c r="AC236" i="6"/>
  <c r="AC237" i="6"/>
  <c r="AC238" i="6"/>
  <c r="AC239" i="6"/>
  <c r="AC240" i="6"/>
  <c r="AC241" i="6"/>
  <c r="AC242" i="6"/>
  <c r="AC243" i="6"/>
  <c r="AC244" i="6"/>
  <c r="AC245" i="6"/>
  <c r="AC246" i="6"/>
  <c r="AC247" i="6"/>
  <c r="AC248" i="6"/>
  <c r="AC249" i="6"/>
  <c r="AC250" i="6"/>
  <c r="AC251" i="6"/>
  <c r="AC252" i="6"/>
  <c r="AC253" i="6"/>
  <c r="AC254" i="6"/>
  <c r="AC255" i="6"/>
  <c r="AC256" i="6"/>
  <c r="AC257" i="6"/>
  <c r="AC258" i="6"/>
  <c r="AC259" i="6"/>
  <c r="AC260" i="6"/>
  <c r="AC261" i="6"/>
  <c r="AC262" i="6"/>
  <c r="AC263" i="6"/>
  <c r="AC264" i="6"/>
  <c r="AC265" i="6"/>
  <c r="AC266" i="6"/>
  <c r="AC267" i="6"/>
  <c r="AC268" i="6"/>
  <c r="AC269" i="6"/>
  <c r="AC270" i="6"/>
  <c r="AC271" i="6"/>
  <c r="AC272" i="6"/>
  <c r="AC273" i="6"/>
  <c r="AC274" i="6"/>
  <c r="AC275" i="6"/>
  <c r="AC276" i="6"/>
  <c r="AC277" i="6"/>
  <c r="AC278" i="6"/>
  <c r="AC279" i="6"/>
  <c r="AC280" i="6"/>
  <c r="AC281" i="6"/>
  <c r="AC282" i="6"/>
  <c r="AC283" i="6"/>
  <c r="AC284" i="6"/>
  <c r="AC285" i="6"/>
  <c r="AC286" i="6"/>
  <c r="AC287" i="6"/>
  <c r="AC288" i="6"/>
  <c r="AC289" i="6"/>
  <c r="AC290" i="6"/>
  <c r="AC291" i="6"/>
  <c r="AC292" i="6"/>
  <c r="AC293" i="6"/>
  <c r="AC294" i="6"/>
  <c r="AC295" i="6"/>
  <c r="AC296" i="6"/>
  <c r="AC297" i="6"/>
  <c r="AC298" i="6"/>
  <c r="AC299" i="6"/>
  <c r="AC300" i="6"/>
  <c r="AC301" i="6"/>
  <c r="AC302" i="6"/>
  <c r="AC303" i="6"/>
  <c r="AC304" i="6"/>
  <c r="AC305" i="6"/>
  <c r="AC306" i="6"/>
  <c r="AC307" i="6"/>
  <c r="AC308" i="6"/>
  <c r="AC309" i="6"/>
  <c r="AC310" i="6"/>
  <c r="AC311" i="6"/>
  <c r="AC312" i="6"/>
  <c r="AC313" i="6"/>
  <c r="AC314" i="6"/>
  <c r="AC315" i="6"/>
  <c r="AC316" i="6"/>
  <c r="AC317" i="6"/>
  <c r="AC318" i="6"/>
  <c r="AC319" i="6"/>
  <c r="AC320" i="6"/>
  <c r="AC321" i="6"/>
  <c r="AC322" i="6"/>
  <c r="AC323" i="6"/>
  <c r="AC324" i="6"/>
  <c r="AC325" i="6"/>
  <c r="AC326" i="6"/>
  <c r="AC327" i="6"/>
  <c r="AC328" i="6"/>
  <c r="AC329" i="6"/>
  <c r="AC330" i="6"/>
  <c r="AC331" i="6"/>
  <c r="AC332" i="6"/>
  <c r="AC333" i="6"/>
  <c r="AC334" i="6"/>
  <c r="AC335" i="6"/>
  <c r="AC336" i="6"/>
  <c r="AC337" i="6"/>
  <c r="AC338" i="6"/>
  <c r="AC339" i="6"/>
  <c r="AC340" i="6"/>
  <c r="AC341" i="6"/>
  <c r="AC342" i="6"/>
  <c r="AC343" i="6"/>
  <c r="AC344" i="6"/>
  <c r="AC345" i="6"/>
  <c r="AC346" i="6"/>
  <c r="AC347" i="6"/>
  <c r="AC348" i="6"/>
  <c r="AC349" i="6"/>
  <c r="AC350" i="6"/>
  <c r="AC351" i="6"/>
  <c r="AC352" i="6"/>
  <c r="AC353" i="6"/>
  <c r="AC354" i="6"/>
  <c r="AC355" i="6"/>
  <c r="AC356" i="6"/>
  <c r="AC357" i="6"/>
  <c r="AC358" i="6"/>
  <c r="AC359" i="6"/>
  <c r="AC360" i="6"/>
  <c r="AC361" i="6"/>
  <c r="AC362" i="6"/>
  <c r="AC363" i="6"/>
  <c r="AC364" i="6"/>
  <c r="AC365" i="6"/>
  <c r="AC366" i="6"/>
  <c r="AC367" i="6"/>
  <c r="AC368" i="6"/>
  <c r="AC369" i="6"/>
  <c r="AC370" i="6"/>
  <c r="AC371" i="6"/>
  <c r="AC372" i="6"/>
  <c r="AC373" i="6"/>
  <c r="AC374" i="6"/>
  <c r="AC375" i="6"/>
  <c r="AC376" i="6"/>
  <c r="AC377" i="6"/>
  <c r="AC378" i="6"/>
  <c r="AC379" i="6"/>
  <c r="AC380" i="6"/>
  <c r="AC381" i="6"/>
  <c r="AC382" i="6"/>
  <c r="AC383" i="6"/>
  <c r="AC384" i="6"/>
  <c r="AC385" i="6"/>
  <c r="AC386" i="6"/>
  <c r="AC387" i="6"/>
  <c r="AC388" i="6"/>
  <c r="AC389" i="6"/>
  <c r="AC390" i="6"/>
  <c r="AC391" i="6"/>
  <c r="AC392" i="6"/>
  <c r="AC393" i="6"/>
  <c r="AC394" i="6"/>
  <c r="AC395" i="6"/>
  <c r="AC396" i="6"/>
  <c r="AC397" i="6"/>
  <c r="AC398" i="6"/>
  <c r="AC399" i="6"/>
  <c r="AC400" i="6"/>
  <c r="AC401" i="6"/>
  <c r="AC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2" i="6"/>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2" i="1"/>
  <c r="B111" i="7"/>
  <c r="B59" i="7"/>
  <c r="B58" i="7"/>
  <c r="B60" i="7"/>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2" i="1"/>
  <c r="D3" i="1"/>
  <c r="D4" i="1"/>
  <c r="E4" i="1" s="1"/>
  <c r="D5" i="1"/>
  <c r="E5" i="1" s="1"/>
  <c r="D6" i="1"/>
  <c r="E6" i="1" s="1"/>
  <c r="D7" i="1"/>
  <c r="D8" i="1"/>
  <c r="D9" i="1"/>
  <c r="D10" i="1"/>
  <c r="D11" i="1"/>
  <c r="D12" i="1"/>
  <c r="E12" i="1" s="1"/>
  <c r="D13" i="1"/>
  <c r="E13" i="1" s="1"/>
  <c r="D14" i="1"/>
  <c r="E14" i="1" s="1"/>
  <c r="D15" i="1"/>
  <c r="D16" i="1"/>
  <c r="D17" i="1"/>
  <c r="D18" i="1"/>
  <c r="D19" i="1"/>
  <c r="D20" i="1"/>
  <c r="E20" i="1" s="1"/>
  <c r="D21" i="1"/>
  <c r="E21" i="1" s="1"/>
  <c r="D22" i="1"/>
  <c r="F22" i="1" s="1"/>
  <c r="D23" i="1"/>
  <c r="D24" i="1"/>
  <c r="D25" i="1"/>
  <c r="D26" i="1"/>
  <c r="D27" i="1"/>
  <c r="D28" i="1"/>
  <c r="E28" i="1" s="1"/>
  <c r="D29" i="1"/>
  <c r="E29" i="1" s="1"/>
  <c r="D30" i="1"/>
  <c r="E30" i="1" s="1"/>
  <c r="D31" i="1"/>
  <c r="D32" i="1"/>
  <c r="D33" i="1"/>
  <c r="D34" i="1"/>
  <c r="D35" i="1"/>
  <c r="D36" i="1"/>
  <c r="E36" i="1" s="1"/>
  <c r="D37" i="1"/>
  <c r="E37" i="1" s="1"/>
  <c r="D38" i="1"/>
  <c r="F38" i="1" s="1"/>
  <c r="D39" i="1"/>
  <c r="D40" i="1"/>
  <c r="D41" i="1"/>
  <c r="D42" i="1"/>
  <c r="F42" i="1" s="1"/>
  <c r="D43" i="1"/>
  <c r="D44" i="1"/>
  <c r="E44" i="1" s="1"/>
  <c r="D45" i="1"/>
  <c r="E45" i="1" s="1"/>
  <c r="D46" i="1"/>
  <c r="E46" i="1" s="1"/>
  <c r="D47" i="1"/>
  <c r="D48" i="1"/>
  <c r="D49" i="1"/>
  <c r="D50" i="1"/>
  <c r="D51" i="1"/>
  <c r="D52" i="1"/>
  <c r="E52" i="1" s="1"/>
  <c r="D53" i="1"/>
  <c r="E53" i="1" s="1"/>
  <c r="D54" i="1"/>
  <c r="F54" i="1" s="1"/>
  <c r="D55" i="1"/>
  <c r="D56" i="1"/>
  <c r="D57" i="1"/>
  <c r="D58" i="1"/>
  <c r="D59" i="1"/>
  <c r="D60" i="1"/>
  <c r="E60" i="1" s="1"/>
  <c r="D61" i="1"/>
  <c r="E61" i="1" s="1"/>
  <c r="D62" i="1"/>
  <c r="E62" i="1" s="1"/>
  <c r="D63" i="1"/>
  <c r="D64" i="1"/>
  <c r="D65" i="1"/>
  <c r="D66" i="1"/>
  <c r="D67" i="1"/>
  <c r="D68" i="1"/>
  <c r="E68" i="1" s="1"/>
  <c r="D69" i="1"/>
  <c r="E69" i="1" s="1"/>
  <c r="D70" i="1"/>
  <c r="F70" i="1" s="1"/>
  <c r="D71" i="1"/>
  <c r="D72" i="1"/>
  <c r="D73" i="1"/>
  <c r="D74" i="1"/>
  <c r="F74" i="1" s="1"/>
  <c r="D75" i="1"/>
  <c r="D76" i="1"/>
  <c r="E76" i="1" s="1"/>
  <c r="D77" i="1"/>
  <c r="E77" i="1" s="1"/>
  <c r="D78" i="1"/>
  <c r="E78" i="1" s="1"/>
  <c r="D79" i="1"/>
  <c r="D80" i="1"/>
  <c r="D81" i="1"/>
  <c r="D82" i="1"/>
  <c r="D83" i="1"/>
  <c r="D84" i="1"/>
  <c r="E84" i="1" s="1"/>
  <c r="D85" i="1"/>
  <c r="E85" i="1" s="1"/>
  <c r="D86" i="1"/>
  <c r="F86" i="1" s="1"/>
  <c r="D87" i="1"/>
  <c r="D88" i="1"/>
  <c r="D89" i="1"/>
  <c r="D90" i="1"/>
  <c r="D91" i="1"/>
  <c r="D92" i="1"/>
  <c r="E92" i="1" s="1"/>
  <c r="D93" i="1"/>
  <c r="E93" i="1" s="1"/>
  <c r="D94" i="1"/>
  <c r="E94" i="1" s="1"/>
  <c r="D95" i="1"/>
  <c r="D96" i="1"/>
  <c r="D97" i="1"/>
  <c r="D98" i="1"/>
  <c r="D99" i="1"/>
  <c r="D100" i="1"/>
  <c r="E100" i="1" s="1"/>
  <c r="D101" i="1"/>
  <c r="E101" i="1" s="1"/>
  <c r="D102" i="1"/>
  <c r="F102" i="1" s="1"/>
  <c r="D103" i="1"/>
  <c r="D104" i="1"/>
  <c r="D105" i="1"/>
  <c r="D106" i="1"/>
  <c r="F106" i="1" s="1"/>
  <c r="D107" i="1"/>
  <c r="D108" i="1"/>
  <c r="E108" i="1" s="1"/>
  <c r="D109" i="1"/>
  <c r="E109" i="1" s="1"/>
  <c r="D110" i="1"/>
  <c r="E110" i="1" s="1"/>
  <c r="D111" i="1"/>
  <c r="D112" i="1"/>
  <c r="D113" i="1"/>
  <c r="D114" i="1"/>
  <c r="D115" i="1"/>
  <c r="D116" i="1"/>
  <c r="E116" i="1" s="1"/>
  <c r="D117" i="1"/>
  <c r="E117" i="1" s="1"/>
  <c r="D118" i="1"/>
  <c r="F118" i="1" s="1"/>
  <c r="D119" i="1"/>
  <c r="D120" i="1"/>
  <c r="D121" i="1"/>
  <c r="D122" i="1"/>
  <c r="D123" i="1"/>
  <c r="D124" i="1"/>
  <c r="E124" i="1" s="1"/>
  <c r="D125" i="1"/>
  <c r="E125" i="1" s="1"/>
  <c r="D126" i="1"/>
  <c r="E126" i="1" s="1"/>
  <c r="D127" i="1"/>
  <c r="D128" i="1"/>
  <c r="D129" i="1"/>
  <c r="D130" i="1"/>
  <c r="D131" i="1"/>
  <c r="D132" i="1"/>
  <c r="F132" i="1" s="1"/>
  <c r="D133" i="1"/>
  <c r="E133" i="1" s="1"/>
  <c r="D134" i="1"/>
  <c r="F134" i="1" s="1"/>
  <c r="D135" i="1"/>
  <c r="D136" i="1"/>
  <c r="D137" i="1"/>
  <c r="D138" i="1"/>
  <c r="F138" i="1" s="1"/>
  <c r="D139" i="1"/>
  <c r="D140" i="1"/>
  <c r="E140" i="1" s="1"/>
  <c r="D141" i="1"/>
  <c r="E141" i="1" s="1"/>
  <c r="D142" i="1"/>
  <c r="E142" i="1" s="1"/>
  <c r="D143" i="1"/>
  <c r="D144" i="1"/>
  <c r="D145" i="1"/>
  <c r="D146" i="1"/>
  <c r="D147" i="1"/>
  <c r="D148" i="1"/>
  <c r="E148" i="1" s="1"/>
  <c r="D149" i="1"/>
  <c r="E149" i="1" s="1"/>
  <c r="D150" i="1"/>
  <c r="F150" i="1" s="1"/>
  <c r="D151" i="1"/>
  <c r="D152" i="1"/>
  <c r="D153" i="1"/>
  <c r="D154" i="1"/>
  <c r="D155" i="1"/>
  <c r="D156" i="1"/>
  <c r="E156" i="1" s="1"/>
  <c r="D157" i="1"/>
  <c r="E157" i="1" s="1"/>
  <c r="D158" i="1"/>
  <c r="E158" i="1" s="1"/>
  <c r="D159" i="1"/>
  <c r="D160" i="1"/>
  <c r="D161" i="1"/>
  <c r="D162" i="1"/>
  <c r="D163" i="1"/>
  <c r="D164" i="1"/>
  <c r="E164" i="1" s="1"/>
  <c r="D165" i="1"/>
  <c r="E165" i="1" s="1"/>
  <c r="D166" i="1"/>
  <c r="F166" i="1" s="1"/>
  <c r="D167" i="1"/>
  <c r="D168" i="1"/>
  <c r="D169" i="1"/>
  <c r="D170" i="1"/>
  <c r="F170" i="1" s="1"/>
  <c r="D171" i="1"/>
  <c r="D172" i="1"/>
  <c r="E172" i="1" s="1"/>
  <c r="D173" i="1"/>
  <c r="E173" i="1" s="1"/>
  <c r="D174" i="1"/>
  <c r="E174" i="1" s="1"/>
  <c r="D175" i="1"/>
  <c r="D176" i="1"/>
  <c r="D177" i="1"/>
  <c r="D178" i="1"/>
  <c r="D179" i="1"/>
  <c r="D180" i="1"/>
  <c r="E180" i="1" s="1"/>
  <c r="D181" i="1"/>
  <c r="E181" i="1" s="1"/>
  <c r="D182" i="1"/>
  <c r="F182" i="1" s="1"/>
  <c r="D183" i="1"/>
  <c r="D184" i="1"/>
  <c r="D185" i="1"/>
  <c r="D186" i="1"/>
  <c r="D187" i="1"/>
  <c r="D188" i="1"/>
  <c r="E188" i="1" s="1"/>
  <c r="D189" i="1"/>
  <c r="E189" i="1" s="1"/>
  <c r="D190" i="1"/>
  <c r="E190" i="1" s="1"/>
  <c r="D191" i="1"/>
  <c r="D192" i="1"/>
  <c r="D193" i="1"/>
  <c r="D194" i="1"/>
  <c r="D195" i="1"/>
  <c r="D196" i="1"/>
  <c r="E196" i="1" s="1"/>
  <c r="D197" i="1"/>
  <c r="E197" i="1" s="1"/>
  <c r="D198" i="1"/>
  <c r="F198" i="1" s="1"/>
  <c r="D199" i="1"/>
  <c r="D200" i="1"/>
  <c r="D201" i="1"/>
  <c r="D202" i="1"/>
  <c r="F202" i="1" s="1"/>
  <c r="D203" i="1"/>
  <c r="D204" i="1"/>
  <c r="E204" i="1" s="1"/>
  <c r="D205" i="1"/>
  <c r="E205" i="1" s="1"/>
  <c r="D206" i="1"/>
  <c r="E206" i="1" s="1"/>
  <c r="D207" i="1"/>
  <c r="D208" i="1"/>
  <c r="E208" i="1" s="1"/>
  <c r="D209" i="1"/>
  <c r="E209" i="1" s="1"/>
  <c r="D210" i="1"/>
  <c r="E210" i="1" s="1"/>
  <c r="D211" i="1"/>
  <c r="D212" i="1"/>
  <c r="E212" i="1" s="1"/>
  <c r="D213" i="1"/>
  <c r="E213" i="1" s="1"/>
  <c r="D214" i="1"/>
  <c r="E214" i="1" s="1"/>
  <c r="D215" i="1"/>
  <c r="D216" i="1"/>
  <c r="E216" i="1" s="1"/>
  <c r="D217" i="1"/>
  <c r="E217" i="1" s="1"/>
  <c r="D218" i="1"/>
  <c r="E218" i="1" s="1"/>
  <c r="D219" i="1"/>
  <c r="D220" i="1"/>
  <c r="E220" i="1" s="1"/>
  <c r="D221" i="1"/>
  <c r="E221" i="1" s="1"/>
  <c r="D222" i="1"/>
  <c r="F222" i="1" s="1"/>
  <c r="D223" i="1"/>
  <c r="D224" i="1"/>
  <c r="E224" i="1" s="1"/>
  <c r="D225" i="1"/>
  <c r="D226" i="1"/>
  <c r="E226" i="1" s="1"/>
  <c r="D227" i="1"/>
  <c r="D228" i="1"/>
  <c r="E228" i="1" s="1"/>
  <c r="D229" i="1"/>
  <c r="E229" i="1" s="1"/>
  <c r="D230" i="1"/>
  <c r="F230" i="1" s="1"/>
  <c r="D231" i="1"/>
  <c r="D232" i="1"/>
  <c r="E232" i="1" s="1"/>
  <c r="D233" i="1"/>
  <c r="D234" i="1"/>
  <c r="F234" i="1" s="1"/>
  <c r="D235" i="1"/>
  <c r="D236" i="1"/>
  <c r="E236" i="1" s="1"/>
  <c r="D237" i="1"/>
  <c r="E237" i="1" s="1"/>
  <c r="D238" i="1"/>
  <c r="E238" i="1" s="1"/>
  <c r="D239" i="1"/>
  <c r="D240" i="1"/>
  <c r="E240" i="1" s="1"/>
  <c r="D241" i="1"/>
  <c r="D242" i="1"/>
  <c r="D243" i="1"/>
  <c r="D244" i="1"/>
  <c r="E244" i="1" s="1"/>
  <c r="D245" i="1"/>
  <c r="E245" i="1" s="1"/>
  <c r="D246" i="1"/>
  <c r="E246" i="1" s="1"/>
  <c r="D247" i="1"/>
  <c r="E247" i="1" s="1"/>
  <c r="D248" i="1"/>
  <c r="E248" i="1" s="1"/>
  <c r="D249" i="1"/>
  <c r="D250" i="1"/>
  <c r="D251" i="1"/>
  <c r="D252" i="1"/>
  <c r="E252" i="1" s="1"/>
  <c r="D253" i="1"/>
  <c r="F253" i="1" s="1"/>
  <c r="D254" i="1"/>
  <c r="E254" i="1" s="1"/>
  <c r="D255" i="1"/>
  <c r="E255" i="1" s="1"/>
  <c r="D256" i="1"/>
  <c r="E256" i="1" s="1"/>
  <c r="D257" i="1"/>
  <c r="D258" i="1"/>
  <c r="F258" i="1" s="1"/>
  <c r="D259" i="1"/>
  <c r="D260" i="1"/>
  <c r="E260" i="1" s="1"/>
  <c r="D261" i="1"/>
  <c r="E261" i="1" s="1"/>
  <c r="D262" i="1"/>
  <c r="E262" i="1" s="1"/>
  <c r="D263" i="1"/>
  <c r="E263" i="1" s="1"/>
  <c r="D264" i="1"/>
  <c r="E264" i="1" s="1"/>
  <c r="D265" i="1"/>
  <c r="E265" i="1" s="1"/>
  <c r="D266" i="1"/>
  <c r="D267" i="1"/>
  <c r="D268" i="1"/>
  <c r="E268" i="1" s="1"/>
  <c r="D269" i="1"/>
  <c r="F269" i="1" s="1"/>
  <c r="D270" i="1"/>
  <c r="F270" i="1" s="1"/>
  <c r="D271" i="1"/>
  <c r="D272" i="1"/>
  <c r="E272" i="1" s="1"/>
  <c r="D273" i="1"/>
  <c r="E273" i="1" s="1"/>
  <c r="D274" i="1"/>
  <c r="E274" i="1" s="1"/>
  <c r="D275" i="1"/>
  <c r="D276" i="1"/>
  <c r="E276" i="1" s="1"/>
  <c r="D277" i="1"/>
  <c r="F277" i="1" s="1"/>
  <c r="D278" i="1"/>
  <c r="F278" i="1" s="1"/>
  <c r="D279" i="1"/>
  <c r="D280" i="1"/>
  <c r="E280" i="1" s="1"/>
  <c r="D281" i="1"/>
  <c r="E281" i="1" s="1"/>
  <c r="D282" i="1"/>
  <c r="E282" i="1" s="1"/>
  <c r="D283" i="1"/>
  <c r="E283" i="1" s="1"/>
  <c r="D284" i="1"/>
  <c r="E284" i="1" s="1"/>
  <c r="D285" i="1"/>
  <c r="E285" i="1" s="1"/>
  <c r="D286" i="1"/>
  <c r="E286" i="1" s="1"/>
  <c r="D287" i="1"/>
  <c r="D288" i="1"/>
  <c r="E288" i="1" s="1"/>
  <c r="D289" i="1"/>
  <c r="E289" i="1" s="1"/>
  <c r="D290" i="1"/>
  <c r="E290" i="1" s="1"/>
  <c r="D291" i="1"/>
  <c r="E291" i="1" s="1"/>
  <c r="D292" i="1"/>
  <c r="E292" i="1" s="1"/>
  <c r="D293" i="1"/>
  <c r="F293" i="1" s="1"/>
  <c r="D294" i="1"/>
  <c r="F294" i="1" s="1"/>
  <c r="D295" i="1"/>
  <c r="D296" i="1"/>
  <c r="E296" i="1" s="1"/>
  <c r="D297" i="1"/>
  <c r="E297" i="1" s="1"/>
  <c r="D298" i="1"/>
  <c r="E298" i="1" s="1"/>
  <c r="D299" i="1"/>
  <c r="E299" i="1" s="1"/>
  <c r="D300" i="1"/>
  <c r="E300" i="1" s="1"/>
  <c r="D301" i="1"/>
  <c r="E301" i="1" s="1"/>
  <c r="D302" i="1"/>
  <c r="E302" i="1" s="1"/>
  <c r="D303" i="1"/>
  <c r="D304" i="1"/>
  <c r="E304" i="1" s="1"/>
  <c r="D305" i="1"/>
  <c r="E305" i="1" s="1"/>
  <c r="D306" i="1"/>
  <c r="E306" i="1" s="1"/>
  <c r="D307" i="1"/>
  <c r="E307" i="1" s="1"/>
  <c r="D308" i="1"/>
  <c r="E308" i="1" s="1"/>
  <c r="D309" i="1"/>
  <c r="F309" i="1" s="1"/>
  <c r="D310" i="1"/>
  <c r="F310" i="1" s="1"/>
  <c r="D311" i="1"/>
  <c r="D312" i="1"/>
  <c r="E312" i="1" s="1"/>
  <c r="D313" i="1"/>
  <c r="E313" i="1" s="1"/>
  <c r="D314" i="1"/>
  <c r="E314" i="1" s="1"/>
  <c r="D315" i="1"/>
  <c r="E315" i="1" s="1"/>
  <c r="D316" i="1"/>
  <c r="E316" i="1" s="1"/>
  <c r="D317" i="1"/>
  <c r="F317" i="1" s="1"/>
  <c r="D318" i="1"/>
  <c r="F318" i="1" s="1"/>
  <c r="D319" i="1"/>
  <c r="D320" i="1"/>
  <c r="E320" i="1" s="1"/>
  <c r="D321" i="1"/>
  <c r="E321" i="1" s="1"/>
  <c r="D322" i="1"/>
  <c r="E322" i="1" s="1"/>
  <c r="D323" i="1"/>
  <c r="E323" i="1" s="1"/>
  <c r="D324" i="1"/>
  <c r="E324" i="1" s="1"/>
  <c r="D325" i="1"/>
  <c r="E325" i="1" s="1"/>
  <c r="D326" i="1"/>
  <c r="E326" i="1" s="1"/>
  <c r="D327" i="1"/>
  <c r="D328" i="1"/>
  <c r="E328" i="1" s="1"/>
  <c r="D329" i="1"/>
  <c r="E329" i="1" s="1"/>
  <c r="D330" i="1"/>
  <c r="E330" i="1" s="1"/>
  <c r="D331" i="1"/>
  <c r="E331" i="1" s="1"/>
  <c r="D332" i="1"/>
  <c r="D333" i="1"/>
  <c r="F333" i="1" s="1"/>
  <c r="D334" i="1"/>
  <c r="D335" i="1"/>
  <c r="D336" i="1"/>
  <c r="E336" i="1" s="1"/>
  <c r="D337" i="1"/>
  <c r="E337" i="1" s="1"/>
  <c r="D338" i="1"/>
  <c r="E338" i="1" s="1"/>
  <c r="D339" i="1"/>
  <c r="E339" i="1" s="1"/>
  <c r="D340" i="1"/>
  <c r="F340" i="1" s="1"/>
  <c r="D341" i="1"/>
  <c r="F341" i="1" s="1"/>
  <c r="D342" i="1"/>
  <c r="D343" i="1"/>
  <c r="D344" i="1"/>
  <c r="E344" i="1" s="1"/>
  <c r="D345" i="1"/>
  <c r="E345" i="1" s="1"/>
  <c r="D346" i="1"/>
  <c r="E346" i="1" s="1"/>
  <c r="D347" i="1"/>
  <c r="E347" i="1" s="1"/>
  <c r="D348" i="1"/>
  <c r="D349" i="1"/>
  <c r="F349" i="1" s="1"/>
  <c r="D350" i="1"/>
  <c r="D351" i="1"/>
  <c r="D352" i="1"/>
  <c r="E352" i="1" s="1"/>
  <c r="D353" i="1"/>
  <c r="E353" i="1" s="1"/>
  <c r="D354" i="1"/>
  <c r="E354" i="1" s="1"/>
  <c r="D355" i="1"/>
  <c r="E355" i="1" s="1"/>
  <c r="D356" i="1"/>
  <c r="F356" i="1" s="1"/>
  <c r="D357" i="1"/>
  <c r="F357" i="1" s="1"/>
  <c r="D358" i="1"/>
  <c r="D359" i="1"/>
  <c r="D360" i="1"/>
  <c r="E360" i="1" s="1"/>
  <c r="D361" i="1"/>
  <c r="E361" i="1" s="1"/>
  <c r="D362" i="1"/>
  <c r="E362" i="1" s="1"/>
  <c r="D363" i="1"/>
  <c r="E363" i="1" s="1"/>
  <c r="D364" i="1"/>
  <c r="D365" i="1"/>
  <c r="F365" i="1" s="1"/>
  <c r="D366" i="1"/>
  <c r="D367" i="1"/>
  <c r="D368" i="1"/>
  <c r="E368" i="1" s="1"/>
  <c r="D369" i="1"/>
  <c r="E369" i="1" s="1"/>
  <c r="D370" i="1"/>
  <c r="E370" i="1" s="1"/>
  <c r="D371" i="1"/>
  <c r="E371" i="1" s="1"/>
  <c r="D372" i="1"/>
  <c r="F372" i="1" s="1"/>
  <c r="D373" i="1"/>
  <c r="F373" i="1" s="1"/>
  <c r="D374" i="1"/>
  <c r="D375" i="1"/>
  <c r="D376" i="1"/>
  <c r="E376" i="1" s="1"/>
  <c r="D377" i="1"/>
  <c r="E377" i="1" s="1"/>
  <c r="D378" i="1"/>
  <c r="E378" i="1" s="1"/>
  <c r="D379" i="1"/>
  <c r="E379" i="1" s="1"/>
  <c r="D380" i="1"/>
  <c r="D381" i="1"/>
  <c r="F381" i="1" s="1"/>
  <c r="D382" i="1"/>
  <c r="D383" i="1"/>
  <c r="D384" i="1"/>
  <c r="E384" i="1" s="1"/>
  <c r="D385" i="1"/>
  <c r="E385" i="1" s="1"/>
  <c r="D386" i="1"/>
  <c r="E386" i="1" s="1"/>
  <c r="D387" i="1"/>
  <c r="E387" i="1" s="1"/>
  <c r="D388" i="1"/>
  <c r="F388" i="1" s="1"/>
  <c r="D389" i="1"/>
  <c r="F389" i="1" s="1"/>
  <c r="D390" i="1"/>
  <c r="D391" i="1"/>
  <c r="D392" i="1"/>
  <c r="E392" i="1" s="1"/>
  <c r="D393" i="1"/>
  <c r="E393" i="1" s="1"/>
  <c r="D394" i="1"/>
  <c r="E394" i="1" s="1"/>
  <c r="D395" i="1"/>
  <c r="E395" i="1" s="1"/>
  <c r="D396" i="1"/>
  <c r="D397" i="1"/>
  <c r="F397" i="1" s="1"/>
  <c r="D398" i="1"/>
  <c r="D399" i="1"/>
  <c r="D400" i="1"/>
  <c r="E400" i="1" s="1"/>
  <c r="D401" i="1"/>
  <c r="E401" i="1" s="1"/>
  <c r="D2" i="1"/>
  <c r="E2" i="1" s="1"/>
  <c r="F68" i="1" l="1"/>
  <c r="F4" i="1"/>
  <c r="E132" i="1"/>
  <c r="F196" i="1"/>
  <c r="F237" i="1"/>
  <c r="F301" i="1"/>
  <c r="F274" i="1"/>
  <c r="F321" i="1"/>
  <c r="F245" i="1"/>
  <c r="F208" i="1"/>
  <c r="F148" i="1"/>
  <c r="F84" i="1"/>
  <c r="F20" i="1"/>
  <c r="E318" i="1"/>
  <c r="E230" i="1"/>
  <c r="F298" i="1"/>
  <c r="F238" i="1"/>
  <c r="F197" i="1"/>
  <c r="F133" i="1"/>
  <c r="F69" i="1"/>
  <c r="F5" i="1"/>
  <c r="E317" i="1"/>
  <c r="E198" i="1"/>
  <c r="F272" i="1"/>
  <c r="F236" i="1"/>
  <c r="F181" i="1"/>
  <c r="F117" i="1"/>
  <c r="F53" i="1"/>
  <c r="E389" i="1"/>
  <c r="E294" i="1"/>
  <c r="E138" i="1"/>
  <c r="E166" i="1"/>
  <c r="F264" i="1"/>
  <c r="F229" i="1"/>
  <c r="F180" i="1"/>
  <c r="F116" i="1"/>
  <c r="F52" i="1"/>
  <c r="E388" i="1"/>
  <c r="E278" i="1"/>
  <c r="E134" i="1"/>
  <c r="F256" i="1"/>
  <c r="F228" i="1"/>
  <c r="F165" i="1"/>
  <c r="F101" i="1"/>
  <c r="F37" i="1"/>
  <c r="E373" i="1"/>
  <c r="E277" i="1"/>
  <c r="E102" i="1"/>
  <c r="F385" i="1"/>
  <c r="F254" i="1"/>
  <c r="F220" i="1"/>
  <c r="F164" i="1"/>
  <c r="F100" i="1"/>
  <c r="F36" i="1"/>
  <c r="E357" i="1"/>
  <c r="E70" i="1"/>
  <c r="F362" i="1"/>
  <c r="F246" i="1"/>
  <c r="F218" i="1"/>
  <c r="F149" i="1"/>
  <c r="F85" i="1"/>
  <c r="F21" i="1"/>
  <c r="E341" i="1"/>
  <c r="E253" i="1"/>
  <c r="E38" i="1"/>
  <c r="E275" i="1"/>
  <c r="F275" i="1"/>
  <c r="E235" i="1"/>
  <c r="F235" i="1"/>
  <c r="E187" i="1"/>
  <c r="F187" i="1"/>
  <c r="E171" i="1"/>
  <c r="F171" i="1"/>
  <c r="E131" i="1"/>
  <c r="F131" i="1"/>
  <c r="E99" i="1"/>
  <c r="F99" i="1"/>
  <c r="E59" i="1"/>
  <c r="F59" i="1"/>
  <c r="E27" i="1"/>
  <c r="F27" i="1"/>
  <c r="F377" i="1"/>
  <c r="F331" i="1"/>
  <c r="F265" i="1"/>
  <c r="E391" i="1"/>
  <c r="F391" i="1"/>
  <c r="E375" i="1"/>
  <c r="F375" i="1"/>
  <c r="E351" i="1"/>
  <c r="F351" i="1"/>
  <c r="E335" i="1"/>
  <c r="F335" i="1"/>
  <c r="E319" i="1"/>
  <c r="F319" i="1"/>
  <c r="E295" i="1"/>
  <c r="F295" i="1"/>
  <c r="E287" i="1"/>
  <c r="F287" i="1"/>
  <c r="E239" i="1"/>
  <c r="F239" i="1"/>
  <c r="E223" i="1"/>
  <c r="F223" i="1"/>
  <c r="F371" i="1"/>
  <c r="F330" i="1"/>
  <c r="F289" i="1"/>
  <c r="F398" i="1"/>
  <c r="E398" i="1"/>
  <c r="F382" i="1"/>
  <c r="E382" i="1"/>
  <c r="E374" i="1"/>
  <c r="F374" i="1"/>
  <c r="F350" i="1"/>
  <c r="E350" i="1"/>
  <c r="F334" i="1"/>
  <c r="E334" i="1"/>
  <c r="F393" i="1"/>
  <c r="F370" i="1"/>
  <c r="F347" i="1"/>
  <c r="F329" i="1"/>
  <c r="F306" i="1"/>
  <c r="F283" i="1"/>
  <c r="F263" i="1"/>
  <c r="F210" i="1"/>
  <c r="E372" i="1"/>
  <c r="E234" i="1"/>
  <c r="E106" i="1"/>
  <c r="E267" i="1"/>
  <c r="F267" i="1"/>
  <c r="E227" i="1"/>
  <c r="F227" i="1"/>
  <c r="E195" i="1"/>
  <c r="F195" i="1"/>
  <c r="E163" i="1"/>
  <c r="F163" i="1"/>
  <c r="E123" i="1"/>
  <c r="F123" i="1"/>
  <c r="E75" i="1"/>
  <c r="F75" i="1"/>
  <c r="E43" i="1"/>
  <c r="F43" i="1"/>
  <c r="E3" i="1"/>
  <c r="F3" i="1"/>
  <c r="E257" i="1"/>
  <c r="F257" i="1"/>
  <c r="F395" i="1"/>
  <c r="F354" i="1"/>
  <c r="F313" i="1"/>
  <c r="F290" i="1"/>
  <c r="E383" i="1"/>
  <c r="F383" i="1"/>
  <c r="E367" i="1"/>
  <c r="F367" i="1"/>
  <c r="E343" i="1"/>
  <c r="F343" i="1"/>
  <c r="E327" i="1"/>
  <c r="F327" i="1"/>
  <c r="E311" i="1"/>
  <c r="F311" i="1"/>
  <c r="E303" i="1"/>
  <c r="F303" i="1"/>
  <c r="E279" i="1"/>
  <c r="F279" i="1"/>
  <c r="E271" i="1"/>
  <c r="F271" i="1"/>
  <c r="E231" i="1"/>
  <c r="F231" i="1"/>
  <c r="E215" i="1"/>
  <c r="F215" i="1"/>
  <c r="F394" i="1"/>
  <c r="F353" i="1"/>
  <c r="F307" i="1"/>
  <c r="F217" i="1"/>
  <c r="E390" i="1"/>
  <c r="F390" i="1"/>
  <c r="F366" i="1"/>
  <c r="E366" i="1"/>
  <c r="E358" i="1"/>
  <c r="F358" i="1"/>
  <c r="E342" i="1"/>
  <c r="F342" i="1"/>
  <c r="F387" i="1"/>
  <c r="F369" i="1"/>
  <c r="F346" i="1"/>
  <c r="F323" i="1"/>
  <c r="F305" i="1"/>
  <c r="F282" i="1"/>
  <c r="F209" i="1"/>
  <c r="E259" i="1"/>
  <c r="F259" i="1"/>
  <c r="E211" i="1"/>
  <c r="F211" i="1"/>
  <c r="E147" i="1"/>
  <c r="F147" i="1"/>
  <c r="E83" i="1"/>
  <c r="F83" i="1"/>
  <c r="E35" i="1"/>
  <c r="F35" i="1"/>
  <c r="E399" i="1"/>
  <c r="F399" i="1"/>
  <c r="E359" i="1"/>
  <c r="F359" i="1"/>
  <c r="F396" i="1"/>
  <c r="E396" i="1"/>
  <c r="F380" i="1"/>
  <c r="E380" i="1"/>
  <c r="F364" i="1"/>
  <c r="E364" i="1"/>
  <c r="F348" i="1"/>
  <c r="E348" i="1"/>
  <c r="E332" i="1"/>
  <c r="F332" i="1"/>
  <c r="F386" i="1"/>
  <c r="F363" i="1"/>
  <c r="F345" i="1"/>
  <c r="F322" i="1"/>
  <c r="F299" i="1"/>
  <c r="F281" i="1"/>
  <c r="F255" i="1"/>
  <c r="E356" i="1"/>
  <c r="E202" i="1"/>
  <c r="E74" i="1"/>
  <c r="E243" i="1"/>
  <c r="F243" i="1"/>
  <c r="E203" i="1"/>
  <c r="F203" i="1"/>
  <c r="E155" i="1"/>
  <c r="F155" i="1"/>
  <c r="E115" i="1"/>
  <c r="F115" i="1"/>
  <c r="E91" i="1"/>
  <c r="F91" i="1"/>
  <c r="E51" i="1"/>
  <c r="F51" i="1"/>
  <c r="E11" i="1"/>
  <c r="F11" i="1"/>
  <c r="F266" i="1"/>
  <c r="E266" i="1"/>
  <c r="F250" i="1"/>
  <c r="E250" i="1"/>
  <c r="E242" i="1"/>
  <c r="F242" i="1"/>
  <c r="E194" i="1"/>
  <c r="F194" i="1"/>
  <c r="F186" i="1"/>
  <c r="E186" i="1"/>
  <c r="E178" i="1"/>
  <c r="F178" i="1"/>
  <c r="E162" i="1"/>
  <c r="F162" i="1"/>
  <c r="F154" i="1"/>
  <c r="E154" i="1"/>
  <c r="E146" i="1"/>
  <c r="F146" i="1"/>
  <c r="E130" i="1"/>
  <c r="F130" i="1"/>
  <c r="F122" i="1"/>
  <c r="E122" i="1"/>
  <c r="E114" i="1"/>
  <c r="F114" i="1"/>
  <c r="E98" i="1"/>
  <c r="F98" i="1"/>
  <c r="F90" i="1"/>
  <c r="E90" i="1"/>
  <c r="E82" i="1"/>
  <c r="F82" i="1"/>
  <c r="E66" i="1"/>
  <c r="F66" i="1"/>
  <c r="F58" i="1"/>
  <c r="E58" i="1"/>
  <c r="E50" i="1"/>
  <c r="F50" i="1"/>
  <c r="E34" i="1"/>
  <c r="F34" i="1"/>
  <c r="F26" i="1"/>
  <c r="E26" i="1"/>
  <c r="E18" i="1"/>
  <c r="F18" i="1"/>
  <c r="E10" i="1"/>
  <c r="F10" i="1"/>
  <c r="F2" i="1"/>
  <c r="F379" i="1"/>
  <c r="F361" i="1"/>
  <c r="F338" i="1"/>
  <c r="F315" i="1"/>
  <c r="F297" i="1"/>
  <c r="F273" i="1"/>
  <c r="F247" i="1"/>
  <c r="F226" i="1"/>
  <c r="E340" i="1"/>
  <c r="E170" i="1"/>
  <c r="E42" i="1"/>
  <c r="E251" i="1"/>
  <c r="F251" i="1"/>
  <c r="E219" i="1"/>
  <c r="F219" i="1"/>
  <c r="E179" i="1"/>
  <c r="F179" i="1"/>
  <c r="E139" i="1"/>
  <c r="F139" i="1"/>
  <c r="E107" i="1"/>
  <c r="F107" i="1"/>
  <c r="E67" i="1"/>
  <c r="F67" i="1"/>
  <c r="E19" i="1"/>
  <c r="F19" i="1"/>
  <c r="F339" i="1"/>
  <c r="E249" i="1"/>
  <c r="F249" i="1"/>
  <c r="E241" i="1"/>
  <c r="F241" i="1"/>
  <c r="E233" i="1"/>
  <c r="F233" i="1"/>
  <c r="E225" i="1"/>
  <c r="F225" i="1"/>
  <c r="E201" i="1"/>
  <c r="F201" i="1"/>
  <c r="E193" i="1"/>
  <c r="F193" i="1"/>
  <c r="E185" i="1"/>
  <c r="F185" i="1"/>
  <c r="E177" i="1"/>
  <c r="F177" i="1"/>
  <c r="E169" i="1"/>
  <c r="F169" i="1"/>
  <c r="E161" i="1"/>
  <c r="F161" i="1"/>
  <c r="E153" i="1"/>
  <c r="F153" i="1"/>
  <c r="E145" i="1"/>
  <c r="F145" i="1"/>
  <c r="E137" i="1"/>
  <c r="F137" i="1"/>
  <c r="E129" i="1"/>
  <c r="F129" i="1"/>
  <c r="E121" i="1"/>
  <c r="F121" i="1"/>
  <c r="E113" i="1"/>
  <c r="F113" i="1"/>
  <c r="E105" i="1"/>
  <c r="F105" i="1"/>
  <c r="E97" i="1"/>
  <c r="F97" i="1"/>
  <c r="E89" i="1"/>
  <c r="F89" i="1"/>
  <c r="E81" i="1"/>
  <c r="F81" i="1"/>
  <c r="E73" i="1"/>
  <c r="F73" i="1"/>
  <c r="E65" i="1"/>
  <c r="F65" i="1"/>
  <c r="E57" i="1"/>
  <c r="F57" i="1"/>
  <c r="E49" i="1"/>
  <c r="F49" i="1"/>
  <c r="E41" i="1"/>
  <c r="F41" i="1"/>
  <c r="E33" i="1"/>
  <c r="F33" i="1"/>
  <c r="E25" i="1"/>
  <c r="F25" i="1"/>
  <c r="E17" i="1"/>
  <c r="F17" i="1"/>
  <c r="E9" i="1"/>
  <c r="F9" i="1"/>
  <c r="F401" i="1"/>
  <c r="F378" i="1"/>
  <c r="F355" i="1"/>
  <c r="F337" i="1"/>
  <c r="F314" i="1"/>
  <c r="F291" i="1"/>
  <c r="E258" i="1"/>
  <c r="E200" i="1"/>
  <c r="F200" i="1"/>
  <c r="E192" i="1"/>
  <c r="F192" i="1"/>
  <c r="E184" i="1"/>
  <c r="F184" i="1"/>
  <c r="E176" i="1"/>
  <c r="F176" i="1"/>
  <c r="E168" i="1"/>
  <c r="F168" i="1"/>
  <c r="E160" i="1"/>
  <c r="F160" i="1"/>
  <c r="E152" i="1"/>
  <c r="F152" i="1"/>
  <c r="E144" i="1"/>
  <c r="F144" i="1"/>
  <c r="E136" i="1"/>
  <c r="F136" i="1"/>
  <c r="E128" i="1"/>
  <c r="F128" i="1"/>
  <c r="E120" i="1"/>
  <c r="F120" i="1"/>
  <c r="E112" i="1"/>
  <c r="F112" i="1"/>
  <c r="E104" i="1"/>
  <c r="F104" i="1"/>
  <c r="E96" i="1"/>
  <c r="F96" i="1"/>
  <c r="E88" i="1"/>
  <c r="F88" i="1"/>
  <c r="E80" i="1"/>
  <c r="F80" i="1"/>
  <c r="E72" i="1"/>
  <c r="F72" i="1"/>
  <c r="E64" i="1"/>
  <c r="F64" i="1"/>
  <c r="E56" i="1"/>
  <c r="F56" i="1"/>
  <c r="E48" i="1"/>
  <c r="F48" i="1"/>
  <c r="E40" i="1"/>
  <c r="F40" i="1"/>
  <c r="E32" i="1"/>
  <c r="F32" i="1"/>
  <c r="E24" i="1"/>
  <c r="F24" i="1"/>
  <c r="E16" i="1"/>
  <c r="F16" i="1"/>
  <c r="E8" i="1"/>
  <c r="F8" i="1"/>
  <c r="F400" i="1"/>
  <c r="F392" i="1"/>
  <c r="F384" i="1"/>
  <c r="F376" i="1"/>
  <c r="F368" i="1"/>
  <c r="F360" i="1"/>
  <c r="F352" i="1"/>
  <c r="F344" i="1"/>
  <c r="F336" i="1"/>
  <c r="F328" i="1"/>
  <c r="F320" i="1"/>
  <c r="F312" i="1"/>
  <c r="F304" i="1"/>
  <c r="F296" i="1"/>
  <c r="F288" i="1"/>
  <c r="F280" i="1"/>
  <c r="F262" i="1"/>
  <c r="F244" i="1"/>
  <c r="F216" i="1"/>
  <c r="F206" i="1"/>
  <c r="F190" i="1"/>
  <c r="F174" i="1"/>
  <c r="F158" i="1"/>
  <c r="F142" i="1"/>
  <c r="F126" i="1"/>
  <c r="F110" i="1"/>
  <c r="F94" i="1"/>
  <c r="F78" i="1"/>
  <c r="F62" i="1"/>
  <c r="F46" i="1"/>
  <c r="F30" i="1"/>
  <c r="F14" i="1"/>
  <c r="E293" i="1"/>
  <c r="E270" i="1"/>
  <c r="E222" i="1"/>
  <c r="E207" i="1"/>
  <c r="F207" i="1"/>
  <c r="E199" i="1"/>
  <c r="F199" i="1"/>
  <c r="E191" i="1"/>
  <c r="F191" i="1"/>
  <c r="E183" i="1"/>
  <c r="F183" i="1"/>
  <c r="E175" i="1"/>
  <c r="F175" i="1"/>
  <c r="E167" i="1"/>
  <c r="F167" i="1"/>
  <c r="E159" i="1"/>
  <c r="F159" i="1"/>
  <c r="E151" i="1"/>
  <c r="F151" i="1"/>
  <c r="E143" i="1"/>
  <c r="F143" i="1"/>
  <c r="E135" i="1"/>
  <c r="F135" i="1"/>
  <c r="E127" i="1"/>
  <c r="F127" i="1"/>
  <c r="E119" i="1"/>
  <c r="F119" i="1"/>
  <c r="E111" i="1"/>
  <c r="F111" i="1"/>
  <c r="E103" i="1"/>
  <c r="F103" i="1"/>
  <c r="E95" i="1"/>
  <c r="F95" i="1"/>
  <c r="E87" i="1"/>
  <c r="F87" i="1"/>
  <c r="E79" i="1"/>
  <c r="F79" i="1"/>
  <c r="E71" i="1"/>
  <c r="F71" i="1"/>
  <c r="E63" i="1"/>
  <c r="F63" i="1"/>
  <c r="E55" i="1"/>
  <c r="F55" i="1"/>
  <c r="E47" i="1"/>
  <c r="F47" i="1"/>
  <c r="E39" i="1"/>
  <c r="F39" i="1"/>
  <c r="E31" i="1"/>
  <c r="F31" i="1"/>
  <c r="E23" i="1"/>
  <c r="F23" i="1"/>
  <c r="E15" i="1"/>
  <c r="F15" i="1"/>
  <c r="E7" i="1"/>
  <c r="F7" i="1"/>
  <c r="F261" i="1"/>
  <c r="F252" i="1"/>
  <c r="F224" i="1"/>
  <c r="F205" i="1"/>
  <c r="F189" i="1"/>
  <c r="F173" i="1"/>
  <c r="F157" i="1"/>
  <c r="F141" i="1"/>
  <c r="F125" i="1"/>
  <c r="F109" i="1"/>
  <c r="F93" i="1"/>
  <c r="F77" i="1"/>
  <c r="F61" i="1"/>
  <c r="F45" i="1"/>
  <c r="F29" i="1"/>
  <c r="F13" i="1"/>
  <c r="E397" i="1"/>
  <c r="E381" i="1"/>
  <c r="E365" i="1"/>
  <c r="E349" i="1"/>
  <c r="E333" i="1"/>
  <c r="E310" i="1"/>
  <c r="E269" i="1"/>
  <c r="F326" i="1"/>
  <c r="F302" i="1"/>
  <c r="F286" i="1"/>
  <c r="F260" i="1"/>
  <c r="F232" i="1"/>
  <c r="F214" i="1"/>
  <c r="F204" i="1"/>
  <c r="F188" i="1"/>
  <c r="F172" i="1"/>
  <c r="F156" i="1"/>
  <c r="F140" i="1"/>
  <c r="F124" i="1"/>
  <c r="F108" i="1"/>
  <c r="F92" i="1"/>
  <c r="F76" i="1"/>
  <c r="F60" i="1"/>
  <c r="F44" i="1"/>
  <c r="F28" i="1"/>
  <c r="F12" i="1"/>
  <c r="E309" i="1"/>
  <c r="E182" i="1"/>
  <c r="E150" i="1"/>
  <c r="E118" i="1"/>
  <c r="E86" i="1"/>
  <c r="E54" i="1"/>
  <c r="E22" i="1"/>
  <c r="F325" i="1"/>
  <c r="F285" i="1"/>
  <c r="F268" i="1"/>
  <c r="F240" i="1"/>
  <c r="F213" i="1"/>
  <c r="F324" i="1"/>
  <c r="F316" i="1"/>
  <c r="F308" i="1"/>
  <c r="F300" i="1"/>
  <c r="F292" i="1"/>
  <c r="F284" i="1"/>
  <c r="F276" i="1"/>
  <c r="F248" i="1"/>
  <c r="F221" i="1"/>
  <c r="F212" i="1"/>
  <c r="F6" i="1"/>
</calcChain>
</file>

<file path=xl/sharedStrings.xml><?xml version="1.0" encoding="utf-8"?>
<sst xmlns="http://schemas.openxmlformats.org/spreadsheetml/2006/main" count="16735" uniqueCount="2391">
  <si>
    <t>Application_ID</t>
  </si>
  <si>
    <t>Candidate_ID</t>
  </si>
  <si>
    <t>Candidate_Name</t>
  </si>
  <si>
    <t>Role_Applied</t>
  </si>
  <si>
    <t>Department</t>
  </si>
  <si>
    <t>Region</t>
  </si>
  <si>
    <t>Hiring_Manager</t>
  </si>
  <si>
    <t>Source_Channel</t>
  </si>
  <si>
    <t>Application_Date</t>
  </si>
  <si>
    <t>Interview_Date</t>
  </si>
  <si>
    <t>Offer_Date</t>
  </si>
  <si>
    <t>Hire_Date</t>
  </si>
  <si>
    <t>Candidate_Status</t>
  </si>
  <si>
    <t>Expected_Salary</t>
  </si>
  <si>
    <t>Offered_Salary</t>
  </si>
  <si>
    <t>Recruiter</t>
  </si>
  <si>
    <t>Gender</t>
  </si>
  <si>
    <t>Candidate_Score</t>
  </si>
  <si>
    <t>APP0001</t>
  </si>
  <si>
    <t>APP0002</t>
  </si>
  <si>
    <t>APP0003</t>
  </si>
  <si>
    <t>APP0004</t>
  </si>
  <si>
    <t>APP0005</t>
  </si>
  <si>
    <t>APP0006</t>
  </si>
  <si>
    <t>APP0007</t>
  </si>
  <si>
    <t>APP0008</t>
  </si>
  <si>
    <t>APP0009</t>
  </si>
  <si>
    <t>APP0010</t>
  </si>
  <si>
    <t>APP0011</t>
  </si>
  <si>
    <t>APP0012</t>
  </si>
  <si>
    <t>APP0013</t>
  </si>
  <si>
    <t>APP0014</t>
  </si>
  <si>
    <t>APP0015</t>
  </si>
  <si>
    <t>APP0016</t>
  </si>
  <si>
    <t>APP0017</t>
  </si>
  <si>
    <t>APP0018</t>
  </si>
  <si>
    <t>APP0019</t>
  </si>
  <si>
    <t>APP0020</t>
  </si>
  <si>
    <t>APP0021</t>
  </si>
  <si>
    <t>APP0022</t>
  </si>
  <si>
    <t>APP0023</t>
  </si>
  <si>
    <t>APP0024</t>
  </si>
  <si>
    <t>APP0025</t>
  </si>
  <si>
    <t>APP0026</t>
  </si>
  <si>
    <t>APP0027</t>
  </si>
  <si>
    <t>APP0028</t>
  </si>
  <si>
    <t>APP0029</t>
  </si>
  <si>
    <t>APP0030</t>
  </si>
  <si>
    <t>APP0031</t>
  </si>
  <si>
    <t>APP0032</t>
  </si>
  <si>
    <t>APP0033</t>
  </si>
  <si>
    <t>APP0034</t>
  </si>
  <si>
    <t>APP0035</t>
  </si>
  <si>
    <t>APP0036</t>
  </si>
  <si>
    <t>APP0037</t>
  </si>
  <si>
    <t>APP0038</t>
  </si>
  <si>
    <t>APP0039</t>
  </si>
  <si>
    <t>APP0040</t>
  </si>
  <si>
    <t>APP0041</t>
  </si>
  <si>
    <t>APP0042</t>
  </si>
  <si>
    <t>APP0043</t>
  </si>
  <si>
    <t>APP0044</t>
  </si>
  <si>
    <t>APP0045</t>
  </si>
  <si>
    <t>APP0046</t>
  </si>
  <si>
    <t>APP0047</t>
  </si>
  <si>
    <t>APP0048</t>
  </si>
  <si>
    <t>APP0049</t>
  </si>
  <si>
    <t>APP0050</t>
  </si>
  <si>
    <t>APP0051</t>
  </si>
  <si>
    <t>APP0052</t>
  </si>
  <si>
    <t>APP0053</t>
  </si>
  <si>
    <t>APP0054</t>
  </si>
  <si>
    <t>APP0055</t>
  </si>
  <si>
    <t>APP0056</t>
  </si>
  <si>
    <t>APP0057</t>
  </si>
  <si>
    <t>APP0058</t>
  </si>
  <si>
    <t>APP0059</t>
  </si>
  <si>
    <t>APP0060</t>
  </si>
  <si>
    <t>APP0061</t>
  </si>
  <si>
    <t>APP0062</t>
  </si>
  <si>
    <t>APP0063</t>
  </si>
  <si>
    <t>APP0064</t>
  </si>
  <si>
    <t>APP0065</t>
  </si>
  <si>
    <t>APP0066</t>
  </si>
  <si>
    <t>APP0067</t>
  </si>
  <si>
    <t>APP0068</t>
  </si>
  <si>
    <t>APP0069</t>
  </si>
  <si>
    <t>APP0070</t>
  </si>
  <si>
    <t>APP0071</t>
  </si>
  <si>
    <t>APP0072</t>
  </si>
  <si>
    <t>APP0073</t>
  </si>
  <si>
    <t>APP0074</t>
  </si>
  <si>
    <t>APP0075</t>
  </si>
  <si>
    <t>APP0076</t>
  </si>
  <si>
    <t>APP0077</t>
  </si>
  <si>
    <t>APP0078</t>
  </si>
  <si>
    <t>APP0079</t>
  </si>
  <si>
    <t>APP0080</t>
  </si>
  <si>
    <t>APP0081</t>
  </si>
  <si>
    <t>APP0082</t>
  </si>
  <si>
    <t>APP0083</t>
  </si>
  <si>
    <t>APP0084</t>
  </si>
  <si>
    <t>APP0085</t>
  </si>
  <si>
    <t>APP0086</t>
  </si>
  <si>
    <t>APP0087</t>
  </si>
  <si>
    <t>APP0088</t>
  </si>
  <si>
    <t>APP0089</t>
  </si>
  <si>
    <t>APP0090</t>
  </si>
  <si>
    <t>APP0091</t>
  </si>
  <si>
    <t>APP0092</t>
  </si>
  <si>
    <t>APP0093</t>
  </si>
  <si>
    <t>APP0094</t>
  </si>
  <si>
    <t>APP0095</t>
  </si>
  <si>
    <t>APP0096</t>
  </si>
  <si>
    <t>APP0097</t>
  </si>
  <si>
    <t>APP0098</t>
  </si>
  <si>
    <t>APP0099</t>
  </si>
  <si>
    <t>APP0100</t>
  </si>
  <si>
    <t>APP0101</t>
  </si>
  <si>
    <t>APP0102</t>
  </si>
  <si>
    <t>APP0103</t>
  </si>
  <si>
    <t>APP0104</t>
  </si>
  <si>
    <t>APP0105</t>
  </si>
  <si>
    <t>APP0106</t>
  </si>
  <si>
    <t>APP0107</t>
  </si>
  <si>
    <t>APP0108</t>
  </si>
  <si>
    <t>APP0109</t>
  </si>
  <si>
    <t>APP0110</t>
  </si>
  <si>
    <t>APP0111</t>
  </si>
  <si>
    <t>APP0112</t>
  </si>
  <si>
    <t>APP0113</t>
  </si>
  <si>
    <t>APP0114</t>
  </si>
  <si>
    <t>APP0115</t>
  </si>
  <si>
    <t>APP0116</t>
  </si>
  <si>
    <t>APP0117</t>
  </si>
  <si>
    <t>APP0118</t>
  </si>
  <si>
    <t>APP0119</t>
  </si>
  <si>
    <t>APP0120</t>
  </si>
  <si>
    <t>APP0121</t>
  </si>
  <si>
    <t>APP0122</t>
  </si>
  <si>
    <t>APP0123</t>
  </si>
  <si>
    <t>APP0124</t>
  </si>
  <si>
    <t>APP0125</t>
  </si>
  <si>
    <t>APP0126</t>
  </si>
  <si>
    <t>APP0127</t>
  </si>
  <si>
    <t>APP0128</t>
  </si>
  <si>
    <t>APP0129</t>
  </si>
  <si>
    <t>APP0130</t>
  </si>
  <si>
    <t>APP0131</t>
  </si>
  <si>
    <t>APP0132</t>
  </si>
  <si>
    <t>APP0133</t>
  </si>
  <si>
    <t>APP0134</t>
  </si>
  <si>
    <t>APP0135</t>
  </si>
  <si>
    <t>APP0136</t>
  </si>
  <si>
    <t>APP0137</t>
  </si>
  <si>
    <t>APP0138</t>
  </si>
  <si>
    <t>APP0139</t>
  </si>
  <si>
    <t>APP0140</t>
  </si>
  <si>
    <t>APP0141</t>
  </si>
  <si>
    <t>APP0142</t>
  </si>
  <si>
    <t>APP0143</t>
  </si>
  <si>
    <t>APP0144</t>
  </si>
  <si>
    <t>APP0145</t>
  </si>
  <si>
    <t>APP0146</t>
  </si>
  <si>
    <t>APP0147</t>
  </si>
  <si>
    <t>APP0148</t>
  </si>
  <si>
    <t>APP0149</t>
  </si>
  <si>
    <t>APP0150</t>
  </si>
  <si>
    <t>APP0151</t>
  </si>
  <si>
    <t>APP0152</t>
  </si>
  <si>
    <t>APP0153</t>
  </si>
  <si>
    <t>APP0154</t>
  </si>
  <si>
    <t>APP0155</t>
  </si>
  <si>
    <t>APP0156</t>
  </si>
  <si>
    <t>APP0157</t>
  </si>
  <si>
    <t>APP0158</t>
  </si>
  <si>
    <t>APP0159</t>
  </si>
  <si>
    <t>APP0160</t>
  </si>
  <si>
    <t>APP0161</t>
  </si>
  <si>
    <t>APP0162</t>
  </si>
  <si>
    <t>APP0163</t>
  </si>
  <si>
    <t>APP0164</t>
  </si>
  <si>
    <t>APP0165</t>
  </si>
  <si>
    <t>APP0166</t>
  </si>
  <si>
    <t>APP0167</t>
  </si>
  <si>
    <t>APP0168</t>
  </si>
  <si>
    <t>APP0169</t>
  </si>
  <si>
    <t>APP0170</t>
  </si>
  <si>
    <t>APP0171</t>
  </si>
  <si>
    <t>APP0172</t>
  </si>
  <si>
    <t>APP0173</t>
  </si>
  <si>
    <t>APP0174</t>
  </si>
  <si>
    <t>APP0175</t>
  </si>
  <si>
    <t>APP0176</t>
  </si>
  <si>
    <t>APP0177</t>
  </si>
  <si>
    <t>APP0178</t>
  </si>
  <si>
    <t>APP0179</t>
  </si>
  <si>
    <t>APP0180</t>
  </si>
  <si>
    <t>APP0181</t>
  </si>
  <si>
    <t>APP0182</t>
  </si>
  <si>
    <t>APP0183</t>
  </si>
  <si>
    <t>APP0184</t>
  </si>
  <si>
    <t>APP0185</t>
  </si>
  <si>
    <t>APP0186</t>
  </si>
  <si>
    <t>APP0187</t>
  </si>
  <si>
    <t>APP0188</t>
  </si>
  <si>
    <t>APP0189</t>
  </si>
  <si>
    <t>APP0190</t>
  </si>
  <si>
    <t>APP0191</t>
  </si>
  <si>
    <t>APP0192</t>
  </si>
  <si>
    <t>APP0193</t>
  </si>
  <si>
    <t>APP0194</t>
  </si>
  <si>
    <t>APP0195</t>
  </si>
  <si>
    <t>APP0196</t>
  </si>
  <si>
    <t>APP0197</t>
  </si>
  <si>
    <t>APP0198</t>
  </si>
  <si>
    <t>APP0199</t>
  </si>
  <si>
    <t>APP0200</t>
  </si>
  <si>
    <t>APP0201</t>
  </si>
  <si>
    <t>APP0202</t>
  </si>
  <si>
    <t>APP0203</t>
  </si>
  <si>
    <t>APP0204</t>
  </si>
  <si>
    <t>APP0205</t>
  </si>
  <si>
    <t>APP0206</t>
  </si>
  <si>
    <t>APP0207</t>
  </si>
  <si>
    <t>APP0208</t>
  </si>
  <si>
    <t>APP0209</t>
  </si>
  <si>
    <t>APP0210</t>
  </si>
  <si>
    <t>APP0211</t>
  </si>
  <si>
    <t>APP0212</t>
  </si>
  <si>
    <t>APP0213</t>
  </si>
  <si>
    <t>APP0214</t>
  </si>
  <si>
    <t>APP0215</t>
  </si>
  <si>
    <t>APP0216</t>
  </si>
  <si>
    <t>APP0217</t>
  </si>
  <si>
    <t>APP0218</t>
  </si>
  <si>
    <t>APP0219</t>
  </si>
  <si>
    <t>APP0220</t>
  </si>
  <si>
    <t>APP0221</t>
  </si>
  <si>
    <t>APP0222</t>
  </si>
  <si>
    <t>APP0223</t>
  </si>
  <si>
    <t>APP0224</t>
  </si>
  <si>
    <t>APP0225</t>
  </si>
  <si>
    <t>APP0226</t>
  </si>
  <si>
    <t>APP0227</t>
  </si>
  <si>
    <t>APP0228</t>
  </si>
  <si>
    <t>APP0229</t>
  </si>
  <si>
    <t>APP0230</t>
  </si>
  <si>
    <t>APP0231</t>
  </si>
  <si>
    <t>APP0232</t>
  </si>
  <si>
    <t>APP0233</t>
  </si>
  <si>
    <t>APP0234</t>
  </si>
  <si>
    <t>APP0235</t>
  </si>
  <si>
    <t>APP0236</t>
  </si>
  <si>
    <t>APP0237</t>
  </si>
  <si>
    <t>APP0238</t>
  </si>
  <si>
    <t>APP0239</t>
  </si>
  <si>
    <t>APP0240</t>
  </si>
  <si>
    <t>APP0241</t>
  </si>
  <si>
    <t>APP0242</t>
  </si>
  <si>
    <t>APP0243</t>
  </si>
  <si>
    <t>APP0244</t>
  </si>
  <si>
    <t>APP0245</t>
  </si>
  <si>
    <t>APP0246</t>
  </si>
  <si>
    <t>APP0247</t>
  </si>
  <si>
    <t>APP0248</t>
  </si>
  <si>
    <t>APP0249</t>
  </si>
  <si>
    <t>APP0250</t>
  </si>
  <si>
    <t>APP0251</t>
  </si>
  <si>
    <t>APP0252</t>
  </si>
  <si>
    <t>APP0253</t>
  </si>
  <si>
    <t>APP0254</t>
  </si>
  <si>
    <t>APP0255</t>
  </si>
  <si>
    <t>APP0256</t>
  </si>
  <si>
    <t>APP0257</t>
  </si>
  <si>
    <t>APP0258</t>
  </si>
  <si>
    <t>APP0259</t>
  </si>
  <si>
    <t>APP0260</t>
  </si>
  <si>
    <t>APP0261</t>
  </si>
  <si>
    <t>APP0262</t>
  </si>
  <si>
    <t>APP0263</t>
  </si>
  <si>
    <t>APP0264</t>
  </si>
  <si>
    <t>APP0265</t>
  </si>
  <si>
    <t>APP0266</t>
  </si>
  <si>
    <t>APP0267</t>
  </si>
  <si>
    <t>APP0268</t>
  </si>
  <si>
    <t>APP0269</t>
  </si>
  <si>
    <t>APP0270</t>
  </si>
  <si>
    <t>APP0271</t>
  </si>
  <si>
    <t>APP0272</t>
  </si>
  <si>
    <t>APP0273</t>
  </si>
  <si>
    <t>APP0274</t>
  </si>
  <si>
    <t>APP0275</t>
  </si>
  <si>
    <t>APP0276</t>
  </si>
  <si>
    <t>APP0277</t>
  </si>
  <si>
    <t>APP0278</t>
  </si>
  <si>
    <t>APP0279</t>
  </si>
  <si>
    <t>APP0280</t>
  </si>
  <si>
    <t>APP0281</t>
  </si>
  <si>
    <t>APP0282</t>
  </si>
  <si>
    <t>APP0283</t>
  </si>
  <si>
    <t>APP0284</t>
  </si>
  <si>
    <t>APP0285</t>
  </si>
  <si>
    <t>APP0286</t>
  </si>
  <si>
    <t>APP0287</t>
  </si>
  <si>
    <t>APP0288</t>
  </si>
  <si>
    <t>APP0289</t>
  </si>
  <si>
    <t>APP0290</t>
  </si>
  <si>
    <t>APP0291</t>
  </si>
  <si>
    <t>APP0292</t>
  </si>
  <si>
    <t>APP0293</t>
  </si>
  <si>
    <t>APP0294</t>
  </si>
  <si>
    <t>APP0295</t>
  </si>
  <si>
    <t>APP0296</t>
  </si>
  <si>
    <t>APP0297</t>
  </si>
  <si>
    <t>APP0298</t>
  </si>
  <si>
    <t>APP0299</t>
  </si>
  <si>
    <t>APP0300</t>
  </si>
  <si>
    <t>APP0301</t>
  </si>
  <si>
    <t>APP0302</t>
  </si>
  <si>
    <t>APP0303</t>
  </si>
  <si>
    <t>APP0304</t>
  </si>
  <si>
    <t>APP0305</t>
  </si>
  <si>
    <t>APP0306</t>
  </si>
  <si>
    <t>APP0307</t>
  </si>
  <si>
    <t>APP0308</t>
  </si>
  <si>
    <t>APP0309</t>
  </si>
  <si>
    <t>APP0310</t>
  </si>
  <si>
    <t>APP0311</t>
  </si>
  <si>
    <t>APP0312</t>
  </si>
  <si>
    <t>APP0313</t>
  </si>
  <si>
    <t>APP0314</t>
  </si>
  <si>
    <t>APP0315</t>
  </si>
  <si>
    <t>APP0316</t>
  </si>
  <si>
    <t>APP0317</t>
  </si>
  <si>
    <t>APP0318</t>
  </si>
  <si>
    <t>APP0319</t>
  </si>
  <si>
    <t>APP0320</t>
  </si>
  <si>
    <t>APP0321</t>
  </si>
  <si>
    <t>APP0322</t>
  </si>
  <si>
    <t>APP0323</t>
  </si>
  <si>
    <t>APP0324</t>
  </si>
  <si>
    <t>APP0325</t>
  </si>
  <si>
    <t>APP0326</t>
  </si>
  <si>
    <t>APP0327</t>
  </si>
  <si>
    <t>APP0328</t>
  </si>
  <si>
    <t>APP0329</t>
  </si>
  <si>
    <t>APP0330</t>
  </si>
  <si>
    <t>APP0331</t>
  </si>
  <si>
    <t>APP0332</t>
  </si>
  <si>
    <t>APP0333</t>
  </si>
  <si>
    <t>APP0334</t>
  </si>
  <si>
    <t>APP0335</t>
  </si>
  <si>
    <t>APP0336</t>
  </si>
  <si>
    <t>APP0337</t>
  </si>
  <si>
    <t>APP0338</t>
  </si>
  <si>
    <t>APP0339</t>
  </si>
  <si>
    <t>APP0340</t>
  </si>
  <si>
    <t>APP0341</t>
  </si>
  <si>
    <t>APP0342</t>
  </si>
  <si>
    <t>APP0343</t>
  </si>
  <si>
    <t>APP0344</t>
  </si>
  <si>
    <t>APP0345</t>
  </si>
  <si>
    <t>APP0346</t>
  </si>
  <si>
    <t>APP0347</t>
  </si>
  <si>
    <t>APP0348</t>
  </si>
  <si>
    <t>APP0349</t>
  </si>
  <si>
    <t>APP0350</t>
  </si>
  <si>
    <t>APP0351</t>
  </si>
  <si>
    <t>APP0352</t>
  </si>
  <si>
    <t>APP0353</t>
  </si>
  <si>
    <t>APP0354</t>
  </si>
  <si>
    <t>APP0355</t>
  </si>
  <si>
    <t>APP0356</t>
  </si>
  <si>
    <t>APP0357</t>
  </si>
  <si>
    <t>APP0358</t>
  </si>
  <si>
    <t>APP0359</t>
  </si>
  <si>
    <t>APP0360</t>
  </si>
  <si>
    <t>APP0361</t>
  </si>
  <si>
    <t>APP0362</t>
  </si>
  <si>
    <t>APP0363</t>
  </si>
  <si>
    <t>APP0364</t>
  </si>
  <si>
    <t>APP0365</t>
  </si>
  <si>
    <t>APP0366</t>
  </si>
  <si>
    <t>APP0367</t>
  </si>
  <si>
    <t>APP0368</t>
  </si>
  <si>
    <t>APP0369</t>
  </si>
  <si>
    <t>APP0370</t>
  </si>
  <si>
    <t>APP0371</t>
  </si>
  <si>
    <t>APP0372</t>
  </si>
  <si>
    <t>APP0373</t>
  </si>
  <si>
    <t>APP0374</t>
  </si>
  <si>
    <t>APP0375</t>
  </si>
  <si>
    <t>APP0376</t>
  </si>
  <si>
    <t>APP0377</t>
  </si>
  <si>
    <t>APP0378</t>
  </si>
  <si>
    <t>APP0379</t>
  </si>
  <si>
    <t>APP0380</t>
  </si>
  <si>
    <t>APP0381</t>
  </si>
  <si>
    <t>APP0382</t>
  </si>
  <si>
    <t>APP0383</t>
  </si>
  <si>
    <t>APP0384</t>
  </si>
  <si>
    <t>APP0385</t>
  </si>
  <si>
    <t>APP0386</t>
  </si>
  <si>
    <t>APP0387</t>
  </si>
  <si>
    <t>APP0388</t>
  </si>
  <si>
    <t>APP0389</t>
  </si>
  <si>
    <t>APP0390</t>
  </si>
  <si>
    <t>APP0391</t>
  </si>
  <si>
    <t>APP0392</t>
  </si>
  <si>
    <t>APP0393</t>
  </si>
  <si>
    <t>APP0394</t>
  </si>
  <si>
    <t>APP0395</t>
  </si>
  <si>
    <t>APP0396</t>
  </si>
  <si>
    <t>APP0397</t>
  </si>
  <si>
    <t>APP0398</t>
  </si>
  <si>
    <t>APP0399</t>
  </si>
  <si>
    <t>APP0400</t>
  </si>
  <si>
    <t>CAND1095</t>
  </si>
  <si>
    <t>CAND1019</t>
  </si>
  <si>
    <t>CAND1108</t>
  </si>
  <si>
    <t>CAND1155</t>
  </si>
  <si>
    <t>CAND1197</t>
  </si>
  <si>
    <t>CAND1086</t>
  </si>
  <si>
    <t>CAND1068</t>
  </si>
  <si>
    <t>CAND1225</t>
  </si>
  <si>
    <t>CAND1074</t>
  </si>
  <si>
    <t>CAND1088</t>
  </si>
  <si>
    <t>CAND1048</t>
  </si>
  <si>
    <t>CAND1036</t>
  </si>
  <si>
    <t>CAND1014</t>
  </si>
  <si>
    <t>CAND1110</t>
  </si>
  <si>
    <t>CAND1058</t>
  </si>
  <si>
    <t>CAND1161</t>
  </si>
  <si>
    <t>CAND1153</t>
  </si>
  <si>
    <t>CAND1067</t>
  </si>
  <si>
    <t>CAND1227</t>
  </si>
  <si>
    <t>CAND1043</t>
  </si>
  <si>
    <t>CAND1051</t>
  </si>
  <si>
    <t>CAND1183</t>
  </si>
  <si>
    <t>CAND1033</t>
  </si>
  <si>
    <t>CAND1236</t>
  </si>
  <si>
    <t>CAND1100</t>
  </si>
  <si>
    <t>CAND1003</t>
  </si>
  <si>
    <t>CAND1137</t>
  </si>
  <si>
    <t>CAND1126</t>
  </si>
  <si>
    <t>CAND1018</t>
  </si>
  <si>
    <t>CAND1164</t>
  </si>
  <si>
    <t>CAND1112</t>
  </si>
  <si>
    <t>CAND1078</t>
  </si>
  <si>
    <t>CAND1220</t>
  </si>
  <si>
    <t>CAND1027</t>
  </si>
  <si>
    <t>CAND1021</t>
  </si>
  <si>
    <t>CAND1006</t>
  </si>
  <si>
    <t>CAND1166</t>
  </si>
  <si>
    <t>CAND1211</t>
  </si>
  <si>
    <t>CAND1073</t>
  </si>
  <si>
    <t>CAND1010</t>
  </si>
  <si>
    <t>CAND1200</t>
  </si>
  <si>
    <t>CAND1081</t>
  </si>
  <si>
    <t>CAND1041</t>
  </si>
  <si>
    <t>CAND1120</t>
  </si>
  <si>
    <t>CAND1232</t>
  </si>
  <si>
    <t>CAND1117</t>
  </si>
  <si>
    <t>CAND1172</t>
  </si>
  <si>
    <t>CAND1214</t>
  </si>
  <si>
    <t>CAND1194</t>
  </si>
  <si>
    <t>CAND1104</t>
  </si>
  <si>
    <t>CAND1087</t>
  </si>
  <si>
    <t>CAND1023</t>
  </si>
  <si>
    <t>CAND1175</t>
  </si>
  <si>
    <t>CAND1234</t>
  </si>
  <si>
    <t>CAND1106</t>
  </si>
  <si>
    <t>CAND1165</t>
  </si>
  <si>
    <t>CAND1123</t>
  </si>
  <si>
    <t>CAND1174</t>
  </si>
  <si>
    <t>CAND1201</t>
  </si>
  <si>
    <t>CAND1180</t>
  </si>
  <si>
    <t>CAND1007</t>
  </si>
  <si>
    <t>CAND1138</t>
  </si>
  <si>
    <t>CAND1173</t>
  </si>
  <si>
    <t>CAND1022</t>
  </si>
  <si>
    <t>CAND1122</t>
  </si>
  <si>
    <t>CAND1204</t>
  </si>
  <si>
    <t>CAND1017</t>
  </si>
  <si>
    <t>CAND1223</t>
  </si>
  <si>
    <t>CAND1209</t>
  </si>
  <si>
    <t>CAND1157</t>
  </si>
  <si>
    <t>CAND1205</t>
  </si>
  <si>
    <t>CAND1215</t>
  </si>
  <si>
    <t>CAND1186</t>
  </si>
  <si>
    <t>CAND1020</t>
  </si>
  <si>
    <t>CAND1230</t>
  </si>
  <si>
    <t>CAND1080</t>
  </si>
  <si>
    <t>CAND1134</t>
  </si>
  <si>
    <t>CAND1034</t>
  </si>
  <si>
    <t>CAND1135</t>
  </si>
  <si>
    <t>CAND1143</t>
  </si>
  <si>
    <t>CAND1115</t>
  </si>
  <si>
    <t>CAND1131</t>
  </si>
  <si>
    <t>CAND1171</t>
  </si>
  <si>
    <t>CAND1213</t>
  </si>
  <si>
    <t>CAND1008</t>
  </si>
  <si>
    <t>CAND1139</t>
  </si>
  <si>
    <t>CAND1243</t>
  </si>
  <si>
    <t>CAND1240</t>
  </si>
  <si>
    <t>CAND1162</t>
  </si>
  <si>
    <t>CAND1025</t>
  </si>
  <si>
    <t>CAND1212</t>
  </si>
  <si>
    <t>CAND1013</t>
  </si>
  <si>
    <t>CAND1005</t>
  </si>
  <si>
    <t>CAND1113</t>
  </si>
  <si>
    <t>CAND1042</t>
  </si>
  <si>
    <t>CAND1045</t>
  </si>
  <si>
    <t>CAND1130</t>
  </si>
  <si>
    <t>CAND1185</t>
  </si>
  <si>
    <t>CAND1076</t>
  </si>
  <si>
    <t>CAND1109</t>
  </si>
  <si>
    <t>CAND1101</t>
  </si>
  <si>
    <t>CAND1009</t>
  </si>
  <si>
    <t>CAND1142</t>
  </si>
  <si>
    <t>CAND1114</t>
  </si>
  <si>
    <t>CAND1057</t>
  </si>
  <si>
    <t>CAND1176</t>
  </si>
  <si>
    <t>CAND1245</t>
  </si>
  <si>
    <t>CAND1182</t>
  </si>
  <si>
    <t>CAND1206</t>
  </si>
  <si>
    <t>CAND1217</t>
  </si>
  <si>
    <t>CAND1096</t>
  </si>
  <si>
    <t>CAND1154</t>
  </si>
  <si>
    <t>CAND1187</t>
  </si>
  <si>
    <t>CAND1125</t>
  </si>
  <si>
    <t>CAND1124</t>
  </si>
  <si>
    <t>CAND1044</t>
  </si>
  <si>
    <t>CAND1203</t>
  </si>
  <si>
    <t>CAND1082</t>
  </si>
  <si>
    <t>CAND1163</t>
  </si>
  <si>
    <t>CAND1179</t>
  </si>
  <si>
    <t>CAND1196</t>
  </si>
  <si>
    <t>CAND1226</t>
  </si>
  <si>
    <t>CAND1085</t>
  </si>
  <si>
    <t>CAND1192</t>
  </si>
  <si>
    <t>CAND1231</t>
  </si>
  <si>
    <t>CAND1072</t>
  </si>
  <si>
    <t>CAND1219</t>
  </si>
  <si>
    <t>CAND1099</t>
  </si>
  <si>
    <t>CAND1071</t>
  </si>
  <si>
    <t>CAND1210</t>
  </si>
  <si>
    <t>CAND1160</t>
  </si>
  <si>
    <t>CAND1181</t>
  </si>
  <si>
    <t>CAND1091</t>
  </si>
  <si>
    <t>CAND1229</t>
  </si>
  <si>
    <t>CAND1233</t>
  </si>
  <si>
    <t>CAND1198</t>
  </si>
  <si>
    <t>CAND1028</t>
  </si>
  <si>
    <t>CAND1037</t>
  </si>
  <si>
    <t>CAND1191</t>
  </si>
  <si>
    <t>CAND1133</t>
  </si>
  <si>
    <t>CAND1246</t>
  </si>
  <si>
    <t>CAND1170</t>
  </si>
  <si>
    <t>CAND1189</t>
  </si>
  <si>
    <t>CAND1105</t>
  </si>
  <si>
    <t>CAND1249</t>
  </si>
  <si>
    <t>CAND1069</t>
  </si>
  <si>
    <t>CAND1039</t>
  </si>
  <si>
    <t>CAND1002</t>
  </si>
  <si>
    <t>CAND1132</t>
  </si>
  <si>
    <t>CAND1089</t>
  </si>
  <si>
    <t>CAND1169</t>
  </si>
  <si>
    <t>CAND1097</t>
  </si>
  <si>
    <t>CAND1184</t>
  </si>
  <si>
    <t>CAND1070</t>
  </si>
  <si>
    <t>CAND1136</t>
  </si>
  <si>
    <t>CAND1011</t>
  </si>
  <si>
    <t>CAND1178</t>
  </si>
  <si>
    <t>CAND1177</t>
  </si>
  <si>
    <t>CAND1247</t>
  </si>
  <si>
    <t>CAND1035</t>
  </si>
  <si>
    <t>CAND1207</t>
  </si>
  <si>
    <t>CAND1119</t>
  </si>
  <si>
    <t>CAND1147</t>
  </si>
  <si>
    <t>CAND1004</t>
  </si>
  <si>
    <t>CAND1150</t>
  </si>
  <si>
    <t>CAND1049</t>
  </si>
  <si>
    <t>CAND1167</t>
  </si>
  <si>
    <t>CAND1151</t>
  </si>
  <si>
    <t>CAND1056</t>
  </si>
  <si>
    <t>CAND1102</t>
  </si>
  <si>
    <t>CAND1012</t>
  </si>
  <si>
    <t>CAND1250</t>
  </si>
  <si>
    <t>CAND1090</t>
  </si>
  <si>
    <t>CAND1188</t>
  </si>
  <si>
    <t>CAND1038</t>
  </si>
  <si>
    <t>CAND1000</t>
  </si>
  <si>
    <t>CAND1053</t>
  </si>
  <si>
    <t>CAND1146</t>
  </si>
  <si>
    <t>CAND1050</t>
  </si>
  <si>
    <t>CAND1047</t>
  </si>
  <si>
    <t>CAND1092</t>
  </si>
  <si>
    <t>CAND1208</t>
  </si>
  <si>
    <t>CAND1032</t>
  </si>
  <si>
    <t>CAND1222</t>
  </si>
  <si>
    <t>CAND1193</t>
  </si>
  <si>
    <t>CAND1060</t>
  </si>
  <si>
    <t>CAND1228</t>
  </si>
  <si>
    <t>CAND1075</t>
  </si>
  <si>
    <t>CAND1065</t>
  </si>
  <si>
    <t>CAND1079</t>
  </si>
  <si>
    <t>CAND1052</t>
  </si>
  <si>
    <t>CAND1145</t>
  </si>
  <si>
    <t>CAND1244</t>
  </si>
  <si>
    <t>CAND1121</t>
  </si>
  <si>
    <t>CAND1140</t>
  </si>
  <si>
    <t>CAND1156</t>
  </si>
  <si>
    <t>CAND1199</t>
  </si>
  <si>
    <t>CAND1159</t>
  </si>
  <si>
    <t>CAND1083</t>
  </si>
  <si>
    <t>CAND1026</t>
  </si>
  <si>
    <t>CAND1054</t>
  </si>
  <si>
    <t>CAND1111</t>
  </si>
  <si>
    <t>CAND1129</t>
  </si>
  <si>
    <t>CAND1235</t>
  </si>
  <si>
    <t>CAND1152</t>
  </si>
  <si>
    <t>CAND1063</t>
  </si>
  <si>
    <t>Guy Owen-Rogers</t>
  </si>
  <si>
    <t>Alexandra Thomas</t>
  </si>
  <si>
    <t>Catherine Ford-Barker</t>
  </si>
  <si>
    <t>Mr Mohammad Morris</t>
  </si>
  <si>
    <t>Toby Adams</t>
  </si>
  <si>
    <t>Kieran Brown</t>
  </si>
  <si>
    <t>Jacob Palmer</t>
  </si>
  <si>
    <t>Philip Murray</t>
  </si>
  <si>
    <t>Hilary Harrison</t>
  </si>
  <si>
    <t>Dr Shane Young</t>
  </si>
  <si>
    <t>Chloe Bishop</t>
  </si>
  <si>
    <t>Dorothy Stevens-Peacock</t>
  </si>
  <si>
    <t>Rita Bates</t>
  </si>
  <si>
    <t>Ryan Atkinson</t>
  </si>
  <si>
    <t>Frances Anderson</t>
  </si>
  <si>
    <t>William Clarke</t>
  </si>
  <si>
    <t>Mrs Michelle Elliott</t>
  </si>
  <si>
    <t>Miss Sally Stewart</t>
  </si>
  <si>
    <t>Dr Jacqueline Rahman</t>
  </si>
  <si>
    <t>Miss Vanessa Patterson</t>
  </si>
  <si>
    <t>Miss Amy Carpenter</t>
  </si>
  <si>
    <t>Mr Joshua Baker</t>
  </si>
  <si>
    <t>Stanley Flynn</t>
  </si>
  <si>
    <t>Mrs Katherine Oliver</t>
  </si>
  <si>
    <t>Leah Simmons</t>
  </si>
  <si>
    <t>Martin Bowen</t>
  </si>
  <si>
    <t>Charlene Russell</t>
  </si>
  <si>
    <t>Mrs Frances Collins</t>
  </si>
  <si>
    <t>Janice Bird</t>
  </si>
  <si>
    <t>Stanley Reid</t>
  </si>
  <si>
    <t>Carolyn Begum</t>
  </si>
  <si>
    <t>Barry Price</t>
  </si>
  <si>
    <t>Ricky Mason</t>
  </si>
  <si>
    <t>Holly Powell</t>
  </si>
  <si>
    <t>Lesley Bishop</t>
  </si>
  <si>
    <t>Beth Spencer</t>
  </si>
  <si>
    <t>Bryan Cunningham</t>
  </si>
  <si>
    <t>Ms Jacqueline Bailey</t>
  </si>
  <si>
    <t>Rosie Lane</t>
  </si>
  <si>
    <t>Roy Jones</t>
  </si>
  <si>
    <t>Lesley Hudson</t>
  </si>
  <si>
    <t>Mrs Karen Sutton</t>
  </si>
  <si>
    <t>Miss Rebecca Andrews</t>
  </si>
  <si>
    <t>Mr Lewis Reynolds</t>
  </si>
  <si>
    <t>Rachel Ellis</t>
  </si>
  <si>
    <t>Anthony Whittaker-Griffiths</t>
  </si>
  <si>
    <t>Lynne Daniels</t>
  </si>
  <si>
    <t>Claire Cox</t>
  </si>
  <si>
    <t>Mr Hugh Pearson</t>
  </si>
  <si>
    <t>Victoria Smith</t>
  </si>
  <si>
    <t>Dr Max Johnson</t>
  </si>
  <si>
    <t>Kerry Pugh</t>
  </si>
  <si>
    <t>Dr Kathryn Houghton</t>
  </si>
  <si>
    <t>Charlie Bennett</t>
  </si>
  <si>
    <t>Declan Phillips</t>
  </si>
  <si>
    <t>Dr Frances Ryan</t>
  </si>
  <si>
    <t>Shirley Russell-Gill</t>
  </si>
  <si>
    <t>Donna John</t>
  </si>
  <si>
    <t>Rita Burke</t>
  </si>
  <si>
    <t>Ms Barbara Tucker</t>
  </si>
  <si>
    <t>Susan Browne-Jackson</t>
  </si>
  <si>
    <t>Dr Jeffrey Patterson</t>
  </si>
  <si>
    <t>Andrew Williams</t>
  </si>
  <si>
    <t>Jamie Carey</t>
  </si>
  <si>
    <t>Leonard Lloyd</t>
  </si>
  <si>
    <t>Lynne Morris</t>
  </si>
  <si>
    <t>Ann Barker</t>
  </si>
  <si>
    <t>Amy Coleman</t>
  </si>
  <si>
    <t>Rachael George</t>
  </si>
  <si>
    <t>Barbara Bishop-Green</t>
  </si>
  <si>
    <t>Nicole Murray</t>
  </si>
  <si>
    <t>Andrea Richardson-Dobson</t>
  </si>
  <si>
    <t>Miss Michelle King</t>
  </si>
  <si>
    <t>Lorraine Woods</t>
  </si>
  <si>
    <t>Katy Godfrey</t>
  </si>
  <si>
    <t>Elliot Smith-Wilkinson</t>
  </si>
  <si>
    <t>Raymond Young</t>
  </si>
  <si>
    <t>Lauren Payne</t>
  </si>
  <si>
    <t>Geoffrey Wilson-Kay</t>
  </si>
  <si>
    <t>Conor Barnes</t>
  </si>
  <si>
    <t>Mrs Janet Turner</t>
  </si>
  <si>
    <t>Fiona Savage</t>
  </si>
  <si>
    <t>Marian Cook</t>
  </si>
  <si>
    <t>Paul Miller</t>
  </si>
  <si>
    <t>Caroline Russell</t>
  </si>
  <si>
    <t>Louise Chadwick</t>
  </si>
  <si>
    <t>Christopher Taylor</t>
  </si>
  <si>
    <t>Paula Jackson</t>
  </si>
  <si>
    <t>Bethany Begum</t>
  </si>
  <si>
    <t>Sally Hawkins-Sanders</t>
  </si>
  <si>
    <t>Norman Williams</t>
  </si>
  <si>
    <t>Harry Graham</t>
  </si>
  <si>
    <t>Rachel O'Connor</t>
  </si>
  <si>
    <t>Mr Kyle Green</t>
  </si>
  <si>
    <t>Mr Barry Thorpe</t>
  </si>
  <si>
    <t>Martin Browne-Patel</t>
  </si>
  <si>
    <t>Dr Lorraine Cooper</t>
  </si>
  <si>
    <t>Adrian Powell</t>
  </si>
  <si>
    <t>Jay Dixon</t>
  </si>
  <si>
    <t>Elaine Young</t>
  </si>
  <si>
    <t>Melanie Wright</t>
  </si>
  <si>
    <t>Dr Katherine Whittaker</t>
  </si>
  <si>
    <t>Dr Jacob Taylor</t>
  </si>
  <si>
    <t>Mr Maurice Lee</t>
  </si>
  <si>
    <t>Adam Hussain</t>
  </si>
  <si>
    <t>Gary Adams</t>
  </si>
  <si>
    <t>Mohamed Moss</t>
  </si>
  <si>
    <t>Lynn Davey</t>
  </si>
  <si>
    <t>Ruth Williams</t>
  </si>
  <si>
    <t>Natasha Harding</t>
  </si>
  <si>
    <t>Mr Peter Smith</t>
  </si>
  <si>
    <t>Dr Marcus Jones</t>
  </si>
  <si>
    <t>Dale Begum</t>
  </si>
  <si>
    <t>Chloe Dixon</t>
  </si>
  <si>
    <t>Mrs Mary Thompson</t>
  </si>
  <si>
    <t>Dr Jason Tomlinson</t>
  </si>
  <si>
    <t>Valerie Carter</t>
  </si>
  <si>
    <t>Julia Summers</t>
  </si>
  <si>
    <t>Ms Rosie Robertson</t>
  </si>
  <si>
    <t>Ms Marie Powell</t>
  </si>
  <si>
    <t>Toby Ball</t>
  </si>
  <si>
    <t>Dr Matthew Willis</t>
  </si>
  <si>
    <t>Dr Richard Stanley</t>
  </si>
  <si>
    <t>Francesca Barton-Rowe</t>
  </si>
  <si>
    <t>Terence Simpson</t>
  </si>
  <si>
    <t>Dr Callum King</t>
  </si>
  <si>
    <t>William Bryant</t>
  </si>
  <si>
    <t>Henry Knight</t>
  </si>
  <si>
    <t>Mr John Blake</t>
  </si>
  <si>
    <t>Stewart Smith</t>
  </si>
  <si>
    <t>Reece O'Brien-Hawkins</t>
  </si>
  <si>
    <t>Mr Sean Dunn</t>
  </si>
  <si>
    <t>Mr Sam Rees</t>
  </si>
  <si>
    <t>Andrew Coles</t>
  </si>
  <si>
    <t>Marian McCarthy</t>
  </si>
  <si>
    <t>Tracey Gordon</t>
  </si>
  <si>
    <t>Janice Thompson</t>
  </si>
  <si>
    <t>Jemma Anderson-Woods</t>
  </si>
  <si>
    <t>Brian Brown-Sanders</t>
  </si>
  <si>
    <t>Amelia Jones</t>
  </si>
  <si>
    <t>Joseph Bradshaw-Lewis</t>
  </si>
  <si>
    <t>Ms Francesca Bolton</t>
  </si>
  <si>
    <t>Miss Kirsty Scott</t>
  </si>
  <si>
    <t>Mr Joseph Watson</t>
  </si>
  <si>
    <t>Dr Robin Foster</t>
  </si>
  <si>
    <t>Gareth Thompson</t>
  </si>
  <si>
    <t>Dr Elliot Williams</t>
  </si>
  <si>
    <t>Sheila Jones</t>
  </si>
  <si>
    <t>Dr Daniel Gray</t>
  </si>
  <si>
    <t>Michelle Dickinson</t>
  </si>
  <si>
    <t>Katherine Chamberlain</t>
  </si>
  <si>
    <t>Dr Russell Brown</t>
  </si>
  <si>
    <t>Lee Gilbert-Williams</t>
  </si>
  <si>
    <t>Dr Roger King</t>
  </si>
  <si>
    <t>Martyn Collins-Elliott</t>
  </si>
  <si>
    <t>Dr James Barber</t>
  </si>
  <si>
    <t>Amy Miah-Robinson</t>
  </si>
  <si>
    <t>Lauren Davies</t>
  </si>
  <si>
    <t>Naomi Kirk</t>
  </si>
  <si>
    <t>Mrs Katie Smith</t>
  </si>
  <si>
    <t>Ross Khan</t>
  </si>
  <si>
    <t>Leonard Fuller</t>
  </si>
  <si>
    <t>Douglas Collins</t>
  </si>
  <si>
    <t>Jasmine Campbell</t>
  </si>
  <si>
    <t>Julia Evans</t>
  </si>
  <si>
    <t>Beverley Hale</t>
  </si>
  <si>
    <t>Kyle Jordan</t>
  </si>
  <si>
    <t>Lindsey Coles-Simmons</t>
  </si>
  <si>
    <t>Marian Jones</t>
  </si>
  <si>
    <t>Barry Akhtar-Greenwood</t>
  </si>
  <si>
    <t>Dr Declan Allen</t>
  </si>
  <si>
    <t>Gary Taylor</t>
  </si>
  <si>
    <t>Alexandra Rice</t>
  </si>
  <si>
    <t>Alexander Davis-Weston</t>
  </si>
  <si>
    <t>Pauline Wilson-Bryant</t>
  </si>
  <si>
    <t>Jay Dixon-Atkins</t>
  </si>
  <si>
    <t>Julia Warner</t>
  </si>
  <si>
    <t>Alex Patel</t>
  </si>
  <si>
    <t>Dr Gail Elliott</t>
  </si>
  <si>
    <t>Charles May</t>
  </si>
  <si>
    <t>Lisa Ball</t>
  </si>
  <si>
    <t>Mr Callum Roberts</t>
  </si>
  <si>
    <t>Danny Williamson</t>
  </si>
  <si>
    <t>Sian Cooper-Knight</t>
  </si>
  <si>
    <t>Joshua Cunningham</t>
  </si>
  <si>
    <t>Aaron Wright</t>
  </si>
  <si>
    <t>George Smith</t>
  </si>
  <si>
    <t>Grace Osborne</t>
  </si>
  <si>
    <t>Justin Hill</t>
  </si>
  <si>
    <t>Carole Martin</t>
  </si>
  <si>
    <t>Paul Jones</t>
  </si>
  <si>
    <t>Christine James-Williams</t>
  </si>
  <si>
    <t>Arthur Parker</t>
  </si>
  <si>
    <t>Melissa Cooper-Wilkinson</t>
  </si>
  <si>
    <t>Mrs Rosemary Mason</t>
  </si>
  <si>
    <t>Dr Janet Lynch</t>
  </si>
  <si>
    <t>Kieran Bell-Moran</t>
  </si>
  <si>
    <t>Duncan Palmer</t>
  </si>
  <si>
    <t>Mrs Eleanor Johnson</t>
  </si>
  <si>
    <t>Miss Anna Blake</t>
  </si>
  <si>
    <t>Mrs Charlene Shah</t>
  </si>
  <si>
    <t>Anthony Davies</t>
  </si>
  <si>
    <t>Dr Natalie Evans</t>
  </si>
  <si>
    <t>Bethany Potter-Davison</t>
  </si>
  <si>
    <t>Claire Morley</t>
  </si>
  <si>
    <t>Sally Norris-Webb</t>
  </si>
  <si>
    <t>Iain Murphy</t>
  </si>
  <si>
    <t>Mr Mathew Clarke</t>
  </si>
  <si>
    <t>Jenna Jackson</t>
  </si>
  <si>
    <t>Hayley Gould</t>
  </si>
  <si>
    <t>Tina Morris</t>
  </si>
  <si>
    <t>Martin Robinson</t>
  </si>
  <si>
    <t>Marc Taylor</t>
  </si>
  <si>
    <t>Fiona Webb</t>
  </si>
  <si>
    <t>Elaine Price</t>
  </si>
  <si>
    <t>Ms Clare Scott</t>
  </si>
  <si>
    <t>Jake Vincent-Patel</t>
  </si>
  <si>
    <t>Lydia Dale</t>
  </si>
  <si>
    <t>Gail Robinson-Dixon</t>
  </si>
  <si>
    <t>Mr Duncan Mitchell</t>
  </si>
  <si>
    <t>Dr Norman Jackson</t>
  </si>
  <si>
    <t>Jamie Brown</t>
  </si>
  <si>
    <t>Stewart Jackson</t>
  </si>
  <si>
    <t>Nigel Thomas</t>
  </si>
  <si>
    <t>Diane Smith</t>
  </si>
  <si>
    <t>Joseph Patel</t>
  </si>
  <si>
    <t>Russell Ward</t>
  </si>
  <si>
    <t>Chloe Clarke</t>
  </si>
  <si>
    <t>Leanne Whitehead-Clark</t>
  </si>
  <si>
    <t>Mr Elliot Curtis</t>
  </si>
  <si>
    <t>Jason Payne</t>
  </si>
  <si>
    <t>Samuel Smith</t>
  </si>
  <si>
    <t>Ronald Frost</t>
  </si>
  <si>
    <t>Barry Gill</t>
  </si>
  <si>
    <t>Kevin Hall-Davies</t>
  </si>
  <si>
    <t>Rosie Welch</t>
  </si>
  <si>
    <t>Jasmine Cook-Vincent</t>
  </si>
  <si>
    <t>Lynne Lewis</t>
  </si>
  <si>
    <t>Dr Mohammed Bevan</t>
  </si>
  <si>
    <t>Mr Owen Hanson</t>
  </si>
  <si>
    <t>Ms Sharon Payne</t>
  </si>
  <si>
    <t>Lynn Baker</t>
  </si>
  <si>
    <t>Dr Stuart Nixon</t>
  </si>
  <si>
    <t>Dr Carolyn Brown</t>
  </si>
  <si>
    <t>Victoria Kaur</t>
  </si>
  <si>
    <t>Mr Elliot Butler</t>
  </si>
  <si>
    <t>Dr Teresa Walker</t>
  </si>
  <si>
    <t>Hollie Wilson</t>
  </si>
  <si>
    <t>Kirsty Wright</t>
  </si>
  <si>
    <t>Mr Howard Graham</t>
  </si>
  <si>
    <t>Elaine Steele</t>
  </si>
  <si>
    <t>Joseph Wilson</t>
  </si>
  <si>
    <t>Olivia King-Barnes</t>
  </si>
  <si>
    <t>Nigel Freeman</t>
  </si>
  <si>
    <t>Graham Collins</t>
  </si>
  <si>
    <t>Jennifer Frost</t>
  </si>
  <si>
    <t>Benjamin Morris</t>
  </si>
  <si>
    <t>Robert Todd</t>
  </si>
  <si>
    <t>Denis Leach-Carter</t>
  </si>
  <si>
    <t>Robin Bishop-Clark</t>
  </si>
  <si>
    <t>Dr Eleanor Webb</t>
  </si>
  <si>
    <t>Dylan Coleman</t>
  </si>
  <si>
    <t>Douglas Leonard-Bennett</t>
  </si>
  <si>
    <t>Mr Jeffrey Wade</t>
  </si>
  <si>
    <t>Wendy Moore</t>
  </si>
  <si>
    <t>Justin Howe</t>
  </si>
  <si>
    <t>Sara Lee</t>
  </si>
  <si>
    <t>Terry Brown</t>
  </si>
  <si>
    <t>Charlie Evans</t>
  </si>
  <si>
    <t>Jessica Brown-Ford</t>
  </si>
  <si>
    <t>Jason Stone</t>
  </si>
  <si>
    <t>Nicole Potts</t>
  </si>
  <si>
    <t>Aaron Griffin</t>
  </si>
  <si>
    <t>Denise Bradley</t>
  </si>
  <si>
    <t>Rita Bevan</t>
  </si>
  <si>
    <t>Robin Wilkinson-Smith</t>
  </si>
  <si>
    <t>Miss Barbara Cooke</t>
  </si>
  <si>
    <t>Mr Justin Bishop</t>
  </si>
  <si>
    <t>Kyle Barnes</t>
  </si>
  <si>
    <t>Margaret Elliott-Taylor</t>
  </si>
  <si>
    <t>Leanne Smith</t>
  </si>
  <si>
    <t>Mr Owen Brown</t>
  </si>
  <si>
    <t>Dean Ross-Robinson</t>
  </si>
  <si>
    <t>Megan Norman</t>
  </si>
  <si>
    <t>Lisa Daly</t>
  </si>
  <si>
    <t>Carole Bradley</t>
  </si>
  <si>
    <t>Mrs Sian Elliott</t>
  </si>
  <si>
    <t>Mr Dominic Knight</t>
  </si>
  <si>
    <t>Billy Flynn</t>
  </si>
  <si>
    <t>Dr Rhys Hall</t>
  </si>
  <si>
    <t>Edward Sanderson-Harris</t>
  </si>
  <si>
    <t>Lesley Pope-Hughes</t>
  </si>
  <si>
    <t>Paige Butcher</t>
  </si>
  <si>
    <t>Chelsea Shepherd</t>
  </si>
  <si>
    <t>Katie Anderson</t>
  </si>
  <si>
    <t>Dr Declan Hyde</t>
  </si>
  <si>
    <t>Ms Sylvia Gilbert</t>
  </si>
  <si>
    <t>Claire Gregory</t>
  </si>
  <si>
    <t>Hollie Simpson</t>
  </si>
  <si>
    <t>Sophie Miller</t>
  </si>
  <si>
    <t>Dean Griffiths</t>
  </si>
  <si>
    <t>Dr Harry Read</t>
  </si>
  <si>
    <t>Benjamin Morley</t>
  </si>
  <si>
    <t>Gavin Turner</t>
  </si>
  <si>
    <t>Kate Chapman</t>
  </si>
  <si>
    <t>Mark Allen-Lewis</t>
  </si>
  <si>
    <t>Jamie Kent-Morris</t>
  </si>
  <si>
    <t>Ben Walker</t>
  </si>
  <si>
    <t>Kelly Wilson</t>
  </si>
  <si>
    <t>Miss Harriet Potter</t>
  </si>
  <si>
    <t>Dr Tracey Phillips</t>
  </si>
  <si>
    <t>Susan James</t>
  </si>
  <si>
    <t>Dr Guy Brown</t>
  </si>
  <si>
    <t>Dr Sylvia Stephens</t>
  </si>
  <si>
    <t>Hayley Parry</t>
  </si>
  <si>
    <t>Christine Young</t>
  </si>
  <si>
    <t>George Moore</t>
  </si>
  <si>
    <t>Aaron Andrews</t>
  </si>
  <si>
    <t>Nathan Martin-Cross</t>
  </si>
  <si>
    <t>Sian Collins</t>
  </si>
  <si>
    <t>Dr Jordan Ross</t>
  </si>
  <si>
    <t>Dr David Walker</t>
  </si>
  <si>
    <t>Tony O'Neill</t>
  </si>
  <si>
    <t>Matthew Harris</t>
  </si>
  <si>
    <t>Miss Irene Read</t>
  </si>
  <si>
    <t>Ellie Law-Perry</t>
  </si>
  <si>
    <t>Christian Rowley</t>
  </si>
  <si>
    <t>Lauren Green</t>
  </si>
  <si>
    <t>Ms Sophie Foster</t>
  </si>
  <si>
    <t>Denise Graham</t>
  </si>
  <si>
    <t>Dominic Mason</t>
  </si>
  <si>
    <t>Mrs Annette Williams</t>
  </si>
  <si>
    <t>Miss Lesley Ali</t>
  </si>
  <si>
    <t>Ms Annette Jordan</t>
  </si>
  <si>
    <t>Kimberley Patel</t>
  </si>
  <si>
    <t>Lewis Kelly</t>
  </si>
  <si>
    <t>Eileen Shepherd</t>
  </si>
  <si>
    <t>Tony Willis</t>
  </si>
  <si>
    <t>Mrs Margaret Smith</t>
  </si>
  <si>
    <t>Lynn Hill</t>
  </si>
  <si>
    <t>Mrs Michelle Evans</t>
  </si>
  <si>
    <t>Brenda Russell-Baker</t>
  </si>
  <si>
    <t>Andrew Lee</t>
  </si>
  <si>
    <t>Dr Lauren Gray</t>
  </si>
  <si>
    <t>Kyle Patel-Fisher</t>
  </si>
  <si>
    <t>Ms Rosie John</t>
  </si>
  <si>
    <t>Duncan Morris</t>
  </si>
  <si>
    <t>Linda Wilson</t>
  </si>
  <si>
    <t>Leslie Brooks-Burrows</t>
  </si>
  <si>
    <t>Grace Hill</t>
  </si>
  <si>
    <t>Gemma Collins</t>
  </si>
  <si>
    <t>Ian Norman</t>
  </si>
  <si>
    <t>Samuel Reynolds</t>
  </si>
  <si>
    <t>Dr Anna Smith</t>
  </si>
  <si>
    <t>Darren Lloyd</t>
  </si>
  <si>
    <t>Mary Mason</t>
  </si>
  <si>
    <t>Jane Fox-Quinn</t>
  </si>
  <si>
    <t>Lynne Harris</t>
  </si>
  <si>
    <t>Mr Bernard Weston</t>
  </si>
  <si>
    <t>Mrs Janice Robinson</t>
  </si>
  <si>
    <t>Amanda Moore-Knight</t>
  </si>
  <si>
    <t>Ben Graham</t>
  </si>
  <si>
    <t>Miss Joanna Harrison</t>
  </si>
  <si>
    <t>Ms Francesca Hodgson</t>
  </si>
  <si>
    <t>Deborah Rice</t>
  </si>
  <si>
    <t>Albert Hanson-Robinson</t>
  </si>
  <si>
    <t>Miss Nicola Wilson</t>
  </si>
  <si>
    <t>Jeffrey Wyatt</t>
  </si>
  <si>
    <t>Joshua Moore</t>
  </si>
  <si>
    <t>Miss Sarah Palmer</t>
  </si>
  <si>
    <t>Amy Conway</t>
  </si>
  <si>
    <t>Trevor Hooper</t>
  </si>
  <si>
    <t>Mr Reece Humphries</t>
  </si>
  <si>
    <t>Alexandra Gill-Boyle</t>
  </si>
  <si>
    <t>Kimberley Williams-Stephens</t>
  </si>
  <si>
    <t>Mathew Fisher</t>
  </si>
  <si>
    <t>Elliot Turner</t>
  </si>
  <si>
    <t>Rachael Peters</t>
  </si>
  <si>
    <t>Ms June Wilkinson</t>
  </si>
  <si>
    <t>Mrs Sally Davies</t>
  </si>
  <si>
    <t>Mr Ricky Turner</t>
  </si>
  <si>
    <t>Mr Adam Barnett</t>
  </si>
  <si>
    <t>Douglas Nash</t>
  </si>
  <si>
    <t>Roger Rowe</t>
  </si>
  <si>
    <t>Geraldine Morley</t>
  </si>
  <si>
    <t>Kelly Sanderson-Thomson</t>
  </si>
  <si>
    <t>Dr Oliver Thomson</t>
  </si>
  <si>
    <t>Lawrence Simpson</t>
  </si>
  <si>
    <t>Dr Roger Sutton</t>
  </si>
  <si>
    <t>Dominic Bond</t>
  </si>
  <si>
    <t>Damien Young</t>
  </si>
  <si>
    <t>Kathryn Newman-Davies</t>
  </si>
  <si>
    <t>Mrs Kate Lee</t>
  </si>
  <si>
    <t>Abdul Williamson</t>
  </si>
  <si>
    <t>Scott Dean</t>
  </si>
  <si>
    <t>Mr Alex Smith</t>
  </si>
  <si>
    <t>Miss Bethan Begum</t>
  </si>
  <si>
    <t>Jeffrey Taylor</t>
  </si>
  <si>
    <t>Reporting Analyst</t>
  </si>
  <si>
    <t>HR Analyst</t>
  </si>
  <si>
    <t>Business Analyst</t>
  </si>
  <si>
    <t>Finance Analyst</t>
  </si>
  <si>
    <t>BI Analyst</t>
  </si>
  <si>
    <t>Data Analyst</t>
  </si>
  <si>
    <t>HR</t>
  </si>
  <si>
    <t>Commercial</t>
  </si>
  <si>
    <t>Finance</t>
  </si>
  <si>
    <t>Technology</t>
  </si>
  <si>
    <t>Operations</t>
  </si>
  <si>
    <t xml:space="preserve"> Midlands </t>
  </si>
  <si>
    <t>Scotland</t>
  </si>
  <si>
    <t>Yorkshire</t>
  </si>
  <si>
    <t>London</t>
  </si>
  <si>
    <t>East Midlands</t>
  </si>
  <si>
    <t>east midlands</t>
  </si>
  <si>
    <t>South East</t>
  </si>
  <si>
    <t>North West</t>
  </si>
  <si>
    <t>James Clarke</t>
  </si>
  <si>
    <t>Sarah Green</t>
  </si>
  <si>
    <t>Michael Patel</t>
  </si>
  <si>
    <t>Emma Wilson</t>
  </si>
  <si>
    <t>Tom Davies</t>
  </si>
  <si>
    <t>linkedin</t>
  </si>
  <si>
    <t>LinkedIn</t>
  </si>
  <si>
    <t>Referral</t>
  </si>
  <si>
    <t>Indeed</t>
  </si>
  <si>
    <t>Reed</t>
  </si>
  <si>
    <t>CV Library</t>
  </si>
  <si>
    <t>LI</t>
  </si>
  <si>
    <t>2024-08-30</t>
  </si>
  <si>
    <t>07-07-2024</t>
  </si>
  <si>
    <t>16/02/2024</t>
  </si>
  <si>
    <t>03-28-2024</t>
  </si>
  <si>
    <t>07-16-2024</t>
  </si>
  <si>
    <t>09-22-2024</t>
  </si>
  <si>
    <t>05-21-2024</t>
  </si>
  <si>
    <t>06/04/2024</t>
  </si>
  <si>
    <t>2024-07-03</t>
  </si>
  <si>
    <t>2024-11-17</t>
  </si>
  <si>
    <t>2024-05-25</t>
  </si>
  <si>
    <t>08-01-2024</t>
  </si>
  <si>
    <t>11/04/2025</t>
  </si>
  <si>
    <t>05/05/2024</t>
  </si>
  <si>
    <t>03-31-2024</t>
  </si>
  <si>
    <t>2024-01-04</t>
  </si>
  <si>
    <t>2024-07-18</t>
  </si>
  <si>
    <t>01-25-2025</t>
  </si>
  <si>
    <t>10/09/2024</t>
  </si>
  <si>
    <t>11-07-2024</t>
  </si>
  <si>
    <t>02-07-2025</t>
  </si>
  <si>
    <t>03-26-2025</t>
  </si>
  <si>
    <t>2025-03-17</t>
  </si>
  <si>
    <t>05-30-2024</t>
  </si>
  <si>
    <t>26/07/2024</t>
  </si>
  <si>
    <t>2025-04-22</t>
  </si>
  <si>
    <t>01-22-2025</t>
  </si>
  <si>
    <t>06-01-2024</t>
  </si>
  <si>
    <t>2024-06-22</t>
  </si>
  <si>
    <t>2024-05-22</t>
  </si>
  <si>
    <t>2024-06-30</t>
  </si>
  <si>
    <t>03-15-2025</t>
  </si>
  <si>
    <t>03-19-2025</t>
  </si>
  <si>
    <t>03-03-2024</t>
  </si>
  <si>
    <t>03/12/2024</t>
  </si>
  <si>
    <t>07-30-2024</t>
  </si>
  <si>
    <t>09-08-2024</t>
  </si>
  <si>
    <t>02-09-2025</t>
  </si>
  <si>
    <t>06-03-2024</t>
  </si>
  <si>
    <t>05/10/2024</t>
  </si>
  <si>
    <t>17/01/2025</t>
  </si>
  <si>
    <t>04/11/2024</t>
  </si>
  <si>
    <t>08-21-2024</t>
  </si>
  <si>
    <t>05-29-2024</t>
  </si>
  <si>
    <t>2025-04-24</t>
  </si>
  <si>
    <t>06-23-2024</t>
  </si>
  <si>
    <t>2025-02-26</t>
  </si>
  <si>
    <t>2025-03-08</t>
  </si>
  <si>
    <t>11/05/2024</t>
  </si>
  <si>
    <t>04-29-2024</t>
  </si>
  <si>
    <t>31/10/2024</t>
  </si>
  <si>
    <t>2025-05-08</t>
  </si>
  <si>
    <t>10-12-2024</t>
  </si>
  <si>
    <t>03-07-2025</t>
  </si>
  <si>
    <t>12/02/2025</t>
  </si>
  <si>
    <t>15/06/2024</t>
  </si>
  <si>
    <t>12-13-2024</t>
  </si>
  <si>
    <t>05-07-2025</t>
  </si>
  <si>
    <t>10/02/2024</t>
  </si>
  <si>
    <t>01-13-2025</t>
  </si>
  <si>
    <t>2024-03-29</t>
  </si>
  <si>
    <t>2024-08-06</t>
  </si>
  <si>
    <t>12-27-2024</t>
  </si>
  <si>
    <t>29/08/2024</t>
  </si>
  <si>
    <t>03-08-2024</t>
  </si>
  <si>
    <t>01/11/2024</t>
  </si>
  <si>
    <t>2024-01-11</t>
  </si>
  <si>
    <t>02/12/2024</t>
  </si>
  <si>
    <t>2025-04-06</t>
  </si>
  <si>
    <t>02-23-2024</t>
  </si>
  <si>
    <t>08-20-2024</t>
  </si>
  <si>
    <t>03/03/2024</t>
  </si>
  <si>
    <t>02/05/2024</t>
  </si>
  <si>
    <t>23/01/2024</t>
  </si>
  <si>
    <t>11-17-2024</t>
  </si>
  <si>
    <t>10-24-2024</t>
  </si>
  <si>
    <t>16/12/2024</t>
  </si>
  <si>
    <t>04-11-2024</t>
  </si>
  <si>
    <t>2024-11-30</t>
  </si>
  <si>
    <t>2024-08-24</t>
  </si>
  <si>
    <t>2024-06-25</t>
  </si>
  <si>
    <t>09-17-2024</t>
  </si>
  <si>
    <t>11-22-2024</t>
  </si>
  <si>
    <t>07-26-2024</t>
  </si>
  <si>
    <t>16/02/2025</t>
  </si>
  <si>
    <t>2024-10-18</t>
  </si>
  <si>
    <t>04-20-2025</t>
  </si>
  <si>
    <t>2024-10-07</t>
  </si>
  <si>
    <t>2024-03-21</t>
  </si>
  <si>
    <t>2025-02-28</t>
  </si>
  <si>
    <t>2024-05-10</t>
  </si>
  <si>
    <t>2024-06-11</t>
  </si>
  <si>
    <t>02-19-2025</t>
  </si>
  <si>
    <t>03/07/2024</t>
  </si>
  <si>
    <t>14/09/2024</t>
  </si>
  <si>
    <t>03-23-2025</t>
  </si>
  <si>
    <t>2024-11-18</t>
  </si>
  <si>
    <t>02-21-2025</t>
  </si>
  <si>
    <t>2024-02-26</t>
  </si>
  <si>
    <t>03-14-2024</t>
  </si>
  <si>
    <t>2024-06-04</t>
  </si>
  <si>
    <t>05-23-2024</t>
  </si>
  <si>
    <t>05-10-2024</t>
  </si>
  <si>
    <t>2024-02-27</t>
  </si>
  <si>
    <t>01-27-2025</t>
  </si>
  <si>
    <t>11-27-2024</t>
  </si>
  <si>
    <t>17/02/2024</t>
  </si>
  <si>
    <t>2024-09-25</t>
  </si>
  <si>
    <t>2024-07-11</t>
  </si>
  <si>
    <t>02-13-2024</t>
  </si>
  <si>
    <t>03-25-2025</t>
  </si>
  <si>
    <t>01/04/2024</t>
  </si>
  <si>
    <t>2025-04-17</t>
  </si>
  <si>
    <t>31/08/2024</t>
  </si>
  <si>
    <t>13/04/2025</t>
  </si>
  <si>
    <t>04/12/2024</t>
  </si>
  <si>
    <t>2024-04-06</t>
  </si>
  <si>
    <t>03-22-2024</t>
  </si>
  <si>
    <t>2024-02-20</t>
  </si>
  <si>
    <t>2025-03-18</t>
  </si>
  <si>
    <t>01-11-2025</t>
  </si>
  <si>
    <t>2024-07-09</t>
  </si>
  <si>
    <t>04-24-2025</t>
  </si>
  <si>
    <t>01-10-2024</t>
  </si>
  <si>
    <t>10-01-2024</t>
  </si>
  <si>
    <t>2024-02-17</t>
  </si>
  <si>
    <t>2024-07-30</t>
  </si>
  <si>
    <t>2024-04-10</t>
  </si>
  <si>
    <t>07/05/2025</t>
  </si>
  <si>
    <t>06-22-2024</t>
  </si>
  <si>
    <t>08/10/2024</t>
  </si>
  <si>
    <t>06-12-2024</t>
  </si>
  <si>
    <t>12-07-2024</t>
  </si>
  <si>
    <t>12-30-2024</t>
  </si>
  <si>
    <t>2024-09-06</t>
  </si>
  <si>
    <t>10-08-2024</t>
  </si>
  <si>
    <t>2024-06-05</t>
  </si>
  <si>
    <t>02-03-2024</t>
  </si>
  <si>
    <t>15/01/2024</t>
  </si>
  <si>
    <t>01-28-2024</t>
  </si>
  <si>
    <t>2024-03-01</t>
  </si>
  <si>
    <t>2024-10-08</t>
  </si>
  <si>
    <t>12/06/2024</t>
  </si>
  <si>
    <t>02/02/2025</t>
  </si>
  <si>
    <t>02-03-2025</t>
  </si>
  <si>
    <t>06-19-2024</t>
  </si>
  <si>
    <t>2024-01-05</t>
  </si>
  <si>
    <t>16/05/2024</t>
  </si>
  <si>
    <t>04-10-2024</t>
  </si>
  <si>
    <t>04-26-2024</t>
  </si>
  <si>
    <t>01-13-2024</t>
  </si>
  <si>
    <t>2024-05-29</t>
  </si>
  <si>
    <t>02-25-2024</t>
  </si>
  <si>
    <t>25/04/2025</t>
  </si>
  <si>
    <t>2025-02-10</t>
  </si>
  <si>
    <t>04-15-2024</t>
  </si>
  <si>
    <t>03-29-2025</t>
  </si>
  <si>
    <t>2025-02-15</t>
  </si>
  <si>
    <t>05-14-2025</t>
  </si>
  <si>
    <t>05-15-2024</t>
  </si>
  <si>
    <t>03-27-2025</t>
  </si>
  <si>
    <t>19/03/2025</t>
  </si>
  <si>
    <t>11-09-2024</t>
  </si>
  <si>
    <t>08-17-2024</t>
  </si>
  <si>
    <t>16/03/2025</t>
  </si>
  <si>
    <t>02-04-2025</t>
  </si>
  <si>
    <t>08/01/2025</t>
  </si>
  <si>
    <t>07-24-2024</t>
  </si>
  <si>
    <t>23/02/2024</t>
  </si>
  <si>
    <t>03-10-2024</t>
  </si>
  <si>
    <t>12-05-2024</t>
  </si>
  <si>
    <t>06-16-2024</t>
  </si>
  <si>
    <t>04-23-2025</t>
  </si>
  <si>
    <t>21/04/2024</t>
  </si>
  <si>
    <t>2024-11-14</t>
  </si>
  <si>
    <t>2024-10-26</t>
  </si>
  <si>
    <t>2025-01-18</t>
  </si>
  <si>
    <t>2024-11-09</t>
  </si>
  <si>
    <t>18/02/2024</t>
  </si>
  <si>
    <t>23/01/2025</t>
  </si>
  <si>
    <t>2024-11-16</t>
  </si>
  <si>
    <t>02-24-2025</t>
  </si>
  <si>
    <t>05/09/2024</t>
  </si>
  <si>
    <t>2025-03-15</t>
  </si>
  <si>
    <t>13/12/2024</t>
  </si>
  <si>
    <t>2024-11-23</t>
  </si>
  <si>
    <t>28/05/2024</t>
  </si>
  <si>
    <t>29/07/2024</t>
  </si>
  <si>
    <t>07-29-2024</t>
  </si>
  <si>
    <t>01-14-2025</t>
  </si>
  <si>
    <t>11-13-2024</t>
  </si>
  <si>
    <t>2025-01-31</t>
  </si>
  <si>
    <t>2024-05-02</t>
  </si>
  <si>
    <t>2025-01-03</t>
  </si>
  <si>
    <t>2024-05-28</t>
  </si>
  <si>
    <t>2025-02-20</t>
  </si>
  <si>
    <t>12-09-2024</t>
  </si>
  <si>
    <t>05/08/2024</t>
  </si>
  <si>
    <t>2024-08-21</t>
  </si>
  <si>
    <t>2024-08-01</t>
  </si>
  <si>
    <t>12-26-2024</t>
  </si>
  <si>
    <t>03-30-2024</t>
  </si>
  <si>
    <t>18/06/2024</t>
  </si>
  <si>
    <t>29/04/2025</t>
  </si>
  <si>
    <t>05-03-2025</t>
  </si>
  <si>
    <t>2025-04-26</t>
  </si>
  <si>
    <t>19/09/2024</t>
  </si>
  <si>
    <t>2024-10-02</t>
  </si>
  <si>
    <t>2024-10-05</t>
  </si>
  <si>
    <t>2024-04-04</t>
  </si>
  <si>
    <t>2024-11-25</t>
  </si>
  <si>
    <t>18/04/2024</t>
  </si>
  <si>
    <t>08/07/2024</t>
  </si>
  <si>
    <t>12/07/2024</t>
  </si>
  <si>
    <t>2025-01-23</t>
  </si>
  <si>
    <t>2024-06-13</t>
  </si>
  <si>
    <t>29/05/2024</t>
  </si>
  <si>
    <t>29/03/2025</t>
  </si>
  <si>
    <t>17/04/2025</t>
  </si>
  <si>
    <t>02-09-2024</t>
  </si>
  <si>
    <t>2025-01-30</t>
  </si>
  <si>
    <t>27/02/2024</t>
  </si>
  <si>
    <t>03-18-2025</t>
  </si>
  <si>
    <t>04/03/2024</t>
  </si>
  <si>
    <t>04-16-2025</t>
  </si>
  <si>
    <t>20/03/2024</t>
  </si>
  <si>
    <t>06-20-2024</t>
  </si>
  <si>
    <t>11/01/2025</t>
  </si>
  <si>
    <t>2025-01-13</t>
  </si>
  <si>
    <t>2024-06-26</t>
  </si>
  <si>
    <t>2024-10-10</t>
  </si>
  <si>
    <t>11-06-2024</t>
  </si>
  <si>
    <t>2024-04-09</t>
  </si>
  <si>
    <t>2024-07-22</t>
  </si>
  <si>
    <t>04-14-2024</t>
  </si>
  <si>
    <t>2024-02-01</t>
  </si>
  <si>
    <t>02-22-2024</t>
  </si>
  <si>
    <t>2025-02-04</t>
  </si>
  <si>
    <t>02-16-2025</t>
  </si>
  <si>
    <t>2024-03-15</t>
  </si>
  <si>
    <t>05-25-2024</t>
  </si>
  <si>
    <t>2025-02-24</t>
  </si>
  <si>
    <t>2024-05-11</t>
  </si>
  <si>
    <t>03-30-2025</t>
  </si>
  <si>
    <t>07/06/2024</t>
  </si>
  <si>
    <t>27/03/2025</t>
  </si>
  <si>
    <t>2024-01-10</t>
  </si>
  <si>
    <t>12-02-2024</t>
  </si>
  <si>
    <t>02-13-2025</t>
  </si>
  <si>
    <t>21/02/2025</t>
  </si>
  <si>
    <t>02-15-2025</t>
  </si>
  <si>
    <t>03-23-2024</t>
  </si>
  <si>
    <t>02-08-2025</t>
  </si>
  <si>
    <t>01/05/2024</t>
  </si>
  <si>
    <t>07/02/2024</t>
  </si>
  <si>
    <t>2024-07-21</t>
  </si>
  <si>
    <t>10-09-2024</t>
  </si>
  <si>
    <t>03-20-2024</t>
  </si>
  <si>
    <t>2025-02-25</t>
  </si>
  <si>
    <t>05-08-2025</t>
  </si>
  <si>
    <t>2024-09-04</t>
  </si>
  <si>
    <t>2025-04-19</t>
  </si>
  <si>
    <t>2024-01-17</t>
  </si>
  <si>
    <t>07-15-2024</t>
  </si>
  <si>
    <t>2024-09-27</t>
  </si>
  <si>
    <t>03-12-2025</t>
  </si>
  <si>
    <t>03/04/2024</t>
  </si>
  <si>
    <t>31/01/2025</t>
  </si>
  <si>
    <t>24/11/2024</t>
  </si>
  <si>
    <t>20/04/2025</t>
  </si>
  <si>
    <t>18/03/2024</t>
  </si>
  <si>
    <t>12/12/2024</t>
  </si>
  <si>
    <t>2025-04-09</t>
  </si>
  <si>
    <t>06-30-2024</t>
  </si>
  <si>
    <t>2024-09-28</t>
  </si>
  <si>
    <t>22/04/2025</t>
  </si>
  <si>
    <t>17/05/2024</t>
  </si>
  <si>
    <t>02-24-2024</t>
  </si>
  <si>
    <t>2025-02-09</t>
  </si>
  <si>
    <t>02-08-2024</t>
  </si>
  <si>
    <t>05/01/2024</t>
  </si>
  <si>
    <t>03-20-2025</t>
  </si>
  <si>
    <t>06/03/2025</t>
  </si>
  <si>
    <t>2024-04-07</t>
  </si>
  <si>
    <t>06/08/2024</t>
  </si>
  <si>
    <t>17/10/2024</t>
  </si>
  <si>
    <t>2024-09-23</t>
  </si>
  <si>
    <t>2024-06-21</t>
  </si>
  <si>
    <t>2025-04-14</t>
  </si>
  <si>
    <t>03-27-2024</t>
  </si>
  <si>
    <t>2024-09-10</t>
  </si>
  <si>
    <t>19/01/2024</t>
  </si>
  <si>
    <t>2025-02-06</t>
  </si>
  <si>
    <t>11-18-2024</t>
  </si>
  <si>
    <t>01-20-2025</t>
  </si>
  <si>
    <t>01-07-2024</t>
  </si>
  <si>
    <t>2025-05-03</t>
  </si>
  <si>
    <t>06-28-2024</t>
  </si>
  <si>
    <t>12/05/2025</t>
  </si>
  <si>
    <t>11-11-2024</t>
  </si>
  <si>
    <t>08-22-2024</t>
  </si>
  <si>
    <t>07-06-2024</t>
  </si>
  <si>
    <t>22/06/2024</t>
  </si>
  <si>
    <t>23/02/2025</t>
  </si>
  <si>
    <t>2025-03-02</t>
  </si>
  <si>
    <t>2024-12-11</t>
  </si>
  <si>
    <t>2024-03-13</t>
  </si>
  <si>
    <t>04-01-2025</t>
  </si>
  <si>
    <t>30/01/2025</t>
  </si>
  <si>
    <t>2024-07-19</t>
  </si>
  <si>
    <t>2024-10-28</t>
  </si>
  <si>
    <t>07/04/2025</t>
  </si>
  <si>
    <t>2024-01-20</t>
  </si>
  <si>
    <t>14/03/2025</t>
  </si>
  <si>
    <t>2024-03-14</t>
  </si>
  <si>
    <t>01-24-2024</t>
  </si>
  <si>
    <t>05-05-2025</t>
  </si>
  <si>
    <t>2025-01-27</t>
  </si>
  <si>
    <t>03/04/2025</t>
  </si>
  <si>
    <t>2024-09-17</t>
  </si>
  <si>
    <t>01-23-2025</t>
  </si>
  <si>
    <t>04-23-2024</t>
  </si>
  <si>
    <t>2024-05-08</t>
  </si>
  <si>
    <t>17/11/2024</t>
  </si>
  <si>
    <t>02/05/2025</t>
  </si>
  <si>
    <t>14/05/2025</t>
  </si>
  <si>
    <t>13/08/2024</t>
  </si>
  <si>
    <t>09-26-2024</t>
  </si>
  <si>
    <t>2024-06-14</t>
  </si>
  <si>
    <t>01-15-2025</t>
  </si>
  <si>
    <t>2024-11-19</t>
  </si>
  <si>
    <t>2024-01-25</t>
  </si>
  <si>
    <t>10-18-2024</t>
  </si>
  <si>
    <t>02-28-2025</t>
  </si>
  <si>
    <t>03-05-2025</t>
  </si>
  <si>
    <t>04-06-2024</t>
  </si>
  <si>
    <t>01-04-2024</t>
  </si>
  <si>
    <t>27/01/2025</t>
  </si>
  <si>
    <t>30/01/2024</t>
  </si>
  <si>
    <t>29/09/2024</t>
  </si>
  <si>
    <t>2024-07-02</t>
  </si>
  <si>
    <t>09-20-2024</t>
  </si>
  <si>
    <t>04-04-2024</t>
  </si>
  <si>
    <t>14/06/2024</t>
  </si>
  <si>
    <t>30/05/2024</t>
  </si>
  <si>
    <t>08-08-2024</t>
  </si>
  <si>
    <t>14/08/2024</t>
  </si>
  <si>
    <t>06-24-2024</t>
  </si>
  <si>
    <t>2024-06-09</t>
  </si>
  <si>
    <t>18/04/2025</t>
  </si>
  <si>
    <t>26/03/2024</t>
  </si>
  <si>
    <t>09-15-2024</t>
  </si>
  <si>
    <t>24/01/2025</t>
  </si>
  <si>
    <t>05-26-2024</t>
  </si>
  <si>
    <t>05-19-2024</t>
  </si>
  <si>
    <t>2025-03-12</t>
  </si>
  <si>
    <t>01-12-2025</t>
  </si>
  <si>
    <t>19/03/2024</t>
  </si>
  <si>
    <t>23/04/2024</t>
  </si>
  <si>
    <t>23/07/2024</t>
  </si>
  <si>
    <t>2024-09-24</t>
  </si>
  <si>
    <t>07-12-2024</t>
  </si>
  <si>
    <t>12-04-2024</t>
  </si>
  <si>
    <t>20/08/2024</t>
  </si>
  <si>
    <t>05-18-2025</t>
  </si>
  <si>
    <t>2024-12-08</t>
  </si>
  <si>
    <t>2025-03-27</t>
  </si>
  <si>
    <t>07-09-2024</t>
  </si>
  <si>
    <t>08/04/2025</t>
  </si>
  <si>
    <t>11-28-2024</t>
  </si>
  <si>
    <t>29/06/2024</t>
  </si>
  <si>
    <t>06-11-2024</t>
  </si>
  <si>
    <t>18/05/2024</t>
  </si>
  <si>
    <t>2025-04-02</t>
  </si>
  <si>
    <t>2025-05-13</t>
  </si>
  <si>
    <t>04-18-2024</t>
  </si>
  <si>
    <t>03-12-2024</t>
  </si>
  <si>
    <t>04-03-2025</t>
  </si>
  <si>
    <t>2024-01-28</t>
  </si>
  <si>
    <t>09/10/2024</t>
  </si>
  <si>
    <t>04-30-2024</t>
  </si>
  <si>
    <t>12-31-2024</t>
  </si>
  <si>
    <t>21/01/2025</t>
  </si>
  <si>
    <t>25/09/2024</t>
  </si>
  <si>
    <t>04/04/2025</t>
  </si>
  <si>
    <t>12/10/2024</t>
  </si>
  <si>
    <t>01/03/2024</t>
  </si>
  <si>
    <t>10-30-2024</t>
  </si>
  <si>
    <t>2024-06-24</t>
  </si>
  <si>
    <t>17/02/2025</t>
  </si>
  <si>
    <t>11-14-2024</t>
  </si>
  <si>
    <t>2024-01-24</t>
  </si>
  <si>
    <t>15/03/2024</t>
  </si>
  <si>
    <t>2025-02-23</t>
  </si>
  <si>
    <t>30/05/2025</t>
  </si>
  <si>
    <t>16/11/2024</t>
  </si>
  <si>
    <t>27/08/2024</t>
  </si>
  <si>
    <t>2025-04-12</t>
  </si>
  <si>
    <t>02-22-2025</t>
  </si>
  <si>
    <t>01-28-2025</t>
  </si>
  <si>
    <t>08-19-2024</t>
  </si>
  <si>
    <t>12-21-2024</t>
  </si>
  <si>
    <t>06-26-2024</t>
  </si>
  <si>
    <t>05-19-2025</t>
  </si>
  <si>
    <t>01/12/2024</t>
  </si>
  <si>
    <t>2024-09-12</t>
  </si>
  <si>
    <t>25/03/2025</t>
  </si>
  <si>
    <t>21/06/2024</t>
  </si>
  <si>
    <t>02-25-2025</t>
  </si>
  <si>
    <t>17/12/2024</t>
  </si>
  <si>
    <t>2024-09-01</t>
  </si>
  <si>
    <t>12/08/2024</t>
  </si>
  <si>
    <t>31/07/2024</t>
  </si>
  <si>
    <t>17/04/2024</t>
  </si>
  <si>
    <t>14/05/2024</t>
  </si>
  <si>
    <t>08/08/2024</t>
  </si>
  <si>
    <t>04-14-2025</t>
  </si>
  <si>
    <t>2024-03-16</t>
  </si>
  <si>
    <t>11/05/2025</t>
  </si>
  <si>
    <t>2024-07-17</t>
  </si>
  <si>
    <t>07-17-2024</t>
  </si>
  <si>
    <t>10-15-2024</t>
  </si>
  <si>
    <t>04-21-2024</t>
  </si>
  <si>
    <t>20/04/2024</t>
  </si>
  <si>
    <t>02-17-2024</t>
  </si>
  <si>
    <t>03-06-2024</t>
  </si>
  <si>
    <t>25/02/2025</t>
  </si>
  <si>
    <t>03-13-2025</t>
  </si>
  <si>
    <t>06-05-2024</t>
  </si>
  <si>
    <t>2024-06-16</t>
  </si>
  <si>
    <t>2024-12-09</t>
  </si>
  <si>
    <t>2025-03-07</t>
  </si>
  <si>
    <t>2024-05-16</t>
  </si>
  <si>
    <t>09-09-2024</t>
  </si>
  <si>
    <t>2024-02-09</t>
  </si>
  <si>
    <t>07-20-2024</t>
  </si>
  <si>
    <t>2024-10-06</t>
  </si>
  <si>
    <t>27/04/2024</t>
  </si>
  <si>
    <t>03-29-2024</t>
  </si>
  <si>
    <t>10-06-2024</t>
  </si>
  <si>
    <t>2025-05-11</t>
  </si>
  <si>
    <t>03-04-2025</t>
  </si>
  <si>
    <t>02-19-2024</t>
  </si>
  <si>
    <t>23/10/2024</t>
  </si>
  <si>
    <t>2025-04-20</t>
  </si>
  <si>
    <t>09-25-2024</t>
  </si>
  <si>
    <t>10/12/2024</t>
  </si>
  <si>
    <t>05-30-2025</t>
  </si>
  <si>
    <t>2024-12-10</t>
  </si>
  <si>
    <t>2024-12-29</t>
  </si>
  <si>
    <t>2024-04-11</t>
  </si>
  <si>
    <t>05-01-2025</t>
  </si>
  <si>
    <t>08-07-2024</t>
  </si>
  <si>
    <t>26/11/2024</t>
  </si>
  <si>
    <t>23/03/2025</t>
  </si>
  <si>
    <t>11/02/2025</t>
  </si>
  <si>
    <t>04/10/2024</t>
  </si>
  <si>
    <t>2025-02-18</t>
  </si>
  <si>
    <t>2024-09-03</t>
  </si>
  <si>
    <t>2024-10-25</t>
  </si>
  <si>
    <t>12-19-2024</t>
  </si>
  <si>
    <t>2024-02-10</t>
  </si>
  <si>
    <t>22/10/2024</t>
  </si>
  <si>
    <t>2025-05-01</t>
  </si>
  <si>
    <t>2024-05-03</t>
  </si>
  <si>
    <t>2024-01-23</t>
  </si>
  <si>
    <t>01/02/2025</t>
  </si>
  <si>
    <t>2024-04-24</t>
  </si>
  <si>
    <t>06-25-2024</t>
  </si>
  <si>
    <t>09/08/2024</t>
  </si>
  <si>
    <t>07-10-2024</t>
  </si>
  <si>
    <t>03/08/2024</t>
  </si>
  <si>
    <t>2024-03-23</t>
  </si>
  <si>
    <t>2025-01-14</t>
  </si>
  <si>
    <t>06-10-2024</t>
  </si>
  <si>
    <t>06-06-2024</t>
  </si>
  <si>
    <t>2025-01-09</t>
  </si>
  <si>
    <t>25/02/2024</t>
  </si>
  <si>
    <t>23/03/2024</t>
  </si>
  <si>
    <t>2024-04-13</t>
  </si>
  <si>
    <t>07-14-2024</t>
  </si>
  <si>
    <t>2024-12-25</t>
  </si>
  <si>
    <t>2024-06-12</t>
  </si>
  <si>
    <t>23/06/2024</t>
  </si>
  <si>
    <t>2025-01-02</t>
  </si>
  <si>
    <t>04-09-2025</t>
  </si>
  <si>
    <t>2024-08-18</t>
  </si>
  <si>
    <t>02-16-2024</t>
  </si>
  <si>
    <t>10-19-2024</t>
  </si>
  <si>
    <t>10/05/2024</t>
  </si>
  <si>
    <t>2024-09-30</t>
  </si>
  <si>
    <t>04-21-2025</t>
  </si>
  <si>
    <t>04/06/2024</t>
  </si>
  <si>
    <t>12/03/2024</t>
  </si>
  <si>
    <t>13/03/2025</t>
  </si>
  <si>
    <t>06-20-2025</t>
  </si>
  <si>
    <t>09-21-2024</t>
  </si>
  <si>
    <t>14/04/2025</t>
  </si>
  <si>
    <t>01-29-2025</t>
  </si>
  <si>
    <t>08-28-2024</t>
  </si>
  <si>
    <t>12-29-2024</t>
  </si>
  <si>
    <t>12-25-2024</t>
  </si>
  <si>
    <t>16/09/2024</t>
  </si>
  <si>
    <t>06/09/2024</t>
  </si>
  <si>
    <t>08-24-2024</t>
  </si>
  <si>
    <t>12/05/2024</t>
  </si>
  <si>
    <t>03-26-2024</t>
  </si>
  <si>
    <t>10-31-2024</t>
  </si>
  <si>
    <t>05-22-2024</t>
  </si>
  <si>
    <t>2024-04-29</t>
  </si>
  <si>
    <t>21/12/2024</t>
  </si>
  <si>
    <t>02/04/2025</t>
  </si>
  <si>
    <t>05-17-2024</t>
  </si>
  <si>
    <t>14/10/2024</t>
  </si>
  <si>
    <t>2024-08-22</t>
  </si>
  <si>
    <t>05-11-2024</t>
  </si>
  <si>
    <t>2024-02-25</t>
  </si>
  <si>
    <t>07-18-2024</t>
  </si>
  <si>
    <t>2025-05-23</t>
  </si>
  <si>
    <t>28/09/2024</t>
  </si>
  <si>
    <t>26/12/2024</t>
  </si>
  <si>
    <t>26/09/2024</t>
  </si>
  <si>
    <t>08-12-2024</t>
  </si>
  <si>
    <t>09/12/2024</t>
  </si>
  <si>
    <t>05/06/2025</t>
  </si>
  <si>
    <t>15/09/2024</t>
  </si>
  <si>
    <t>12-15-2024</t>
  </si>
  <si>
    <t>2024-02-13</t>
  </si>
  <si>
    <t>2024-09-05</t>
  </si>
  <si>
    <t>04-22-2024</t>
  </si>
  <si>
    <t>06/02/2025</t>
  </si>
  <si>
    <t>2024-07-13</t>
  </si>
  <si>
    <t>03-21-2024</t>
  </si>
  <si>
    <t>2024-04-26</t>
  </si>
  <si>
    <t>2024-07-26</t>
  </si>
  <si>
    <t>08-06-2024</t>
  </si>
  <si>
    <t>12-28-2024</t>
  </si>
  <si>
    <t>2024-09-07</t>
  </si>
  <si>
    <t>09/02/2024</t>
  </si>
  <si>
    <t>12-11-2024</t>
  </si>
  <si>
    <t>20/11/2024</t>
  </si>
  <si>
    <t>20/05/2025</t>
  </si>
  <si>
    <t>06/12/2024</t>
  </si>
  <si>
    <t>2024-07-05</t>
  </si>
  <si>
    <t>02-23-2025</t>
  </si>
  <si>
    <t>15/04/2024</t>
  </si>
  <si>
    <t>2025-03-10</t>
  </si>
  <si>
    <t>11/07/2025</t>
  </si>
  <si>
    <t>08/05/2025</t>
  </si>
  <si>
    <t>25/01/2025</t>
  </si>
  <si>
    <t>2025-06-25</t>
  </si>
  <si>
    <t>08-30-2024</t>
  </si>
  <si>
    <t>2024-05-23</t>
  </si>
  <si>
    <t>2024-08-11</t>
  </si>
  <si>
    <t>2024-11-21</t>
  </si>
  <si>
    <t>10-26-2024</t>
  </si>
  <si>
    <t>09-03-2024</t>
  </si>
  <si>
    <t>11-12-2024</t>
  </si>
  <si>
    <t>11-01-2024</t>
  </si>
  <si>
    <t>03/05/2025</t>
  </si>
  <si>
    <t>09/01/2025</t>
  </si>
  <si>
    <t>2025-01-01</t>
  </si>
  <si>
    <t>Interviewed</t>
  </si>
  <si>
    <t>Applied</t>
  </si>
  <si>
    <t>Withdrawn</t>
  </si>
  <si>
    <t>Offered</t>
  </si>
  <si>
    <t>Rejected</t>
  </si>
  <si>
    <t>Hired</t>
  </si>
  <si>
    <t>Mark</t>
  </si>
  <si>
    <t>Rebecca</t>
  </si>
  <si>
    <t>Anna</t>
  </si>
  <si>
    <t>Helen</t>
  </si>
  <si>
    <t>Joe</t>
  </si>
  <si>
    <t>Female</t>
  </si>
  <si>
    <t>Male</t>
  </si>
  <si>
    <t>Prefer not to say</t>
  </si>
  <si>
    <t>Excel Technical Assessment — Recruitment Data Analyst</t>
  </si>
  <si>
    <t>Candidate Instructions</t>
  </si>
  <si>
    <t>Thank you for taking the time to complete this assessment.</t>
  </si>
  <si>
    <t>This exercise is designed to assess your ability to work with data in Excel in a practical business setting. We are interested in understanding how you approach data cleaning, analysis, interpretation, and presentation.</t>
  </si>
  <si>
    <t>You have been provided with a dataset containing recruitment and hiring activity across several UK regions and departments.</t>
  </si>
  <si>
    <t>The dataset reflects information exported from a recruitment tracking system and may contain inconsistencies or incomplete records.</t>
  </si>
  <si>
    <t>Your Task</t>
  </si>
  <si>
    <t>Using the provided dataset, review the recruitment activity and prepare an analysis for the Head of Recruitment.</t>
  </si>
  <si>
    <t>Your work should help answer the following business questions.</t>
  </si>
  <si>
    <t>Section A — Data Preparation</t>
  </si>
  <si>
    <t>Review the dataset and prepare it for analysis.</t>
  </si>
  <si>
    <t>Please identify and resolve any data quality issues you believe could affect reporting accuracy.</t>
  </si>
  <si>
    <t>Examples may include inconsistent formatting, duplicate records, incomplete information, or anything else you feel requires attention.</t>
  </si>
  <si>
    <t>Please work from the raw data provided.</t>
  </si>
  <si>
    <t>Section B — Recruitment Analysis</t>
  </si>
  <si>
    <t>Using the dataset, provide analysis on the following:</t>
  </si>
  <si>
    <t>1. Application Volume</t>
  </si>
  <si>
    <t>How many applications have been received overall?</t>
  </si>
  <si>
    <t>How has application volume changed over time?</t>
  </si>
  <si>
    <t>Are there any noticeable trends by month?</t>
  </si>
  <si>
    <t>2. Regional Performance</t>
  </si>
  <si>
    <t>Which region received the highest number of applications?</t>
  </si>
  <si>
    <t>Which region achieved the highest number of hires?</t>
  </si>
  <si>
    <t>Are there any regions performing below expectation?</t>
  </si>
  <si>
    <t>3. Hiring Funnel Performance</t>
  </si>
  <si>
    <t>Review the movement of candidates through the recruitment process.</t>
  </si>
  <si>
    <t>Consider:</t>
  </si>
  <si>
    <t>applications received</t>
  </si>
  <si>
    <t>interviews completed</t>
  </si>
  <si>
    <t>offers made</t>
  </si>
  <si>
    <t>hires completed</t>
  </si>
  <si>
    <t>rejected candidates</t>
  </si>
  <si>
    <t>withdrawn candidates</t>
  </si>
  <si>
    <t>Please identify where the biggest drop-off occurs.</t>
  </si>
  <si>
    <t>4. Recruitment Source Performance</t>
  </si>
  <si>
    <t>Evaluate the effectiveness of the recruitment channels used.</t>
  </si>
  <si>
    <t>Examples may include:</t>
  </si>
  <si>
    <t>Referrals</t>
  </si>
  <si>
    <t>Please identify:</t>
  </si>
  <si>
    <t>which channels generate the most applications</t>
  </si>
  <si>
    <t>which channels generate the strongest hiring outcomes</t>
  </si>
  <si>
    <t>5. Salary Analysis</t>
  </si>
  <si>
    <t>Review salary expectations and offers made to candidates.</t>
  </si>
  <si>
    <t>Please comment on:</t>
  </si>
  <si>
    <t>average salary expectations by role</t>
  </si>
  <si>
    <t>average salaries offered</t>
  </si>
  <si>
    <t>any noticeable gaps or trends</t>
  </si>
  <si>
    <t>6. Hiring Efficiency</t>
  </si>
  <si>
    <t>Assess the efficiency of the hiring process.</t>
  </si>
  <si>
    <t>average time taken to hire candidates</t>
  </si>
  <si>
    <t>roles taking longest to fill</t>
  </si>
  <si>
    <t>departments hiring most efficiently</t>
  </si>
  <si>
    <t>Section C — Management Summary</t>
  </si>
  <si>
    <t>Prepare a short summary for senior leadership outlining your findings.</t>
  </si>
  <si>
    <t>Please include:</t>
  </si>
  <si>
    <t>Key findings</t>
  </si>
  <si>
    <t>What stands out from the data?</t>
  </si>
  <si>
    <t>Risks / concerns</t>
  </si>
  <si>
    <t>Are there any recruitment challenges the business should be aware of?</t>
  </si>
  <si>
    <t>Recommendations</t>
  </si>
  <si>
    <t>What actions would you recommend the recruitment team take based on your analysis?</t>
  </si>
  <si>
    <t>Deliverable</t>
  </si>
  <si>
    <t>Please submit:</t>
  </si>
  <si>
    <t>1. Cleaned dataset</t>
  </si>
  <si>
    <t>A version of the dataset suitable for reporting.</t>
  </si>
  <si>
    <t>2. Analysis workbook</t>
  </si>
  <si>
    <t>Include any supporting analysis used.</t>
  </si>
  <si>
    <t>3. Dashboard or summary view</t>
  </si>
  <si>
    <t>Present your findings in a way suitable for a non-technical stakeholder.</t>
  </si>
  <si>
    <t>4. Written summary</t>
  </si>
  <si>
    <t>A concise summary (approx. 3–5 key points) of your findings and recommendations.</t>
  </si>
  <si>
    <t>What we are assessing</t>
  </si>
  <si>
    <t>We will review:</t>
  </si>
  <si>
    <t>accuracy of analysis</t>
  </si>
  <si>
    <t>approach to data quality</t>
  </si>
  <si>
    <t>attention to detail</t>
  </si>
  <si>
    <t>ability to structure information clearly</t>
  </si>
  <si>
    <t>interpretation of findings</t>
  </si>
  <si>
    <t>ability to communicate insights to stakeholders</t>
  </si>
  <si>
    <t>presentation and usability of your workbook</t>
  </si>
  <si>
    <t>Suggested time</t>
  </si>
  <si>
    <t>Allow approximately:</t>
  </si>
  <si>
    <t>60–90 minutes</t>
  </si>
  <si>
    <t>Treat this as if you’re presenting to a Head of Recruitment or hiring manager who wants clear business insight, not just numbers.</t>
  </si>
  <si>
    <t>Once you’ve completed it, send me:</t>
  </si>
  <si>
    <t>your workbook,</t>
  </si>
  <si>
    <t>screenshots,</t>
  </si>
  <si>
    <t>or summary,</t>
  </si>
  <si>
    <t>and I’ll review it with you like an interviewer would.</t>
  </si>
  <si>
    <t>first_name</t>
  </si>
  <si>
    <t>last_name</t>
  </si>
  <si>
    <t>full_name</t>
  </si>
  <si>
    <t>role_applied</t>
  </si>
  <si>
    <t>department</t>
  </si>
  <si>
    <t>region</t>
  </si>
  <si>
    <t>source_channel</t>
  </si>
  <si>
    <t>application_date_helper</t>
  </si>
  <si>
    <t>application_date_clean</t>
  </si>
  <si>
    <t>application_date</t>
  </si>
  <si>
    <t>role_applied_clean</t>
  </si>
  <si>
    <t>department_clean</t>
  </si>
  <si>
    <t>region_clean</t>
  </si>
  <si>
    <t>source_channel_clean</t>
  </si>
  <si>
    <t>offer_date_helper</t>
  </si>
  <si>
    <t>offer_date_clean</t>
  </si>
  <si>
    <t>hire_date_helper</t>
  </si>
  <si>
    <t>hire_date_clean</t>
  </si>
  <si>
    <t>candidate_status_helper</t>
  </si>
  <si>
    <t>recruiter_helper</t>
  </si>
  <si>
    <t>Guy Owen Rogers</t>
  </si>
  <si>
    <t>Guy</t>
  </si>
  <si>
    <t>Rogers</t>
  </si>
  <si>
    <t>Midlands</t>
  </si>
  <si>
    <t>Linkedln</t>
  </si>
  <si>
    <t>Alexandra</t>
  </si>
  <si>
    <t>Thomas</t>
  </si>
  <si>
    <t>Catherine Ford Barker</t>
  </si>
  <si>
    <t>Catherine</t>
  </si>
  <si>
    <t>Barker</t>
  </si>
  <si>
    <t>Mohammad Morris</t>
  </si>
  <si>
    <t>Mohammad</t>
  </si>
  <si>
    <t>Morris</t>
  </si>
  <si>
    <t>Toby</t>
  </si>
  <si>
    <t>Adams</t>
  </si>
  <si>
    <t>Kieran</t>
  </si>
  <si>
    <t>Brown</t>
  </si>
  <si>
    <t>Jacob</t>
  </si>
  <si>
    <t>Palmer</t>
  </si>
  <si>
    <t>Philip</t>
  </si>
  <si>
    <t>Murray</t>
  </si>
  <si>
    <t>Hilary</t>
  </si>
  <si>
    <t>Harrison</t>
  </si>
  <si>
    <t>Shane Young</t>
  </si>
  <si>
    <t>Shane</t>
  </si>
  <si>
    <t>Young</t>
  </si>
  <si>
    <t>Chloe</t>
  </si>
  <si>
    <t>Bishop</t>
  </si>
  <si>
    <t>Dorothy Stevens Peacock</t>
  </si>
  <si>
    <t>Dorothy</t>
  </si>
  <si>
    <t>Peacock</t>
  </si>
  <si>
    <t>Rita</t>
  </si>
  <si>
    <t>Bates</t>
  </si>
  <si>
    <t>Ryan</t>
  </si>
  <si>
    <t>Atkinson</t>
  </si>
  <si>
    <t>Frances</t>
  </si>
  <si>
    <t>Anderson</t>
  </si>
  <si>
    <t>William</t>
  </si>
  <si>
    <t>Clarke</t>
  </si>
  <si>
    <t>Michelle Elliott</t>
  </si>
  <si>
    <t>Michelle</t>
  </si>
  <si>
    <t>Elliott</t>
  </si>
  <si>
    <t>Sally Stewart</t>
  </si>
  <si>
    <t>Sally</t>
  </si>
  <si>
    <t>Stewart</t>
  </si>
  <si>
    <t>Jacqueline Rahman</t>
  </si>
  <si>
    <t>Jacqueline</t>
  </si>
  <si>
    <t>Rahman</t>
  </si>
  <si>
    <t>Vanessa Patterson</t>
  </si>
  <si>
    <t>Vanessa</t>
  </si>
  <si>
    <t>Patterson</t>
  </si>
  <si>
    <t>Amy Carpenter</t>
  </si>
  <si>
    <t>Amy</t>
  </si>
  <si>
    <t>Carpenter</t>
  </si>
  <si>
    <t>Joshua Baker</t>
  </si>
  <si>
    <t>Joshua</t>
  </si>
  <si>
    <t>Baker</t>
  </si>
  <si>
    <t>Stanley</t>
  </si>
  <si>
    <t>Flynn</t>
  </si>
  <si>
    <t>Katherine Oliver</t>
  </si>
  <si>
    <t>Katherine</t>
  </si>
  <si>
    <t>Oliver</t>
  </si>
  <si>
    <t>Leah</t>
  </si>
  <si>
    <t>Simmons</t>
  </si>
  <si>
    <t>Martin</t>
  </si>
  <si>
    <t>Bowen</t>
  </si>
  <si>
    <t>Charlene</t>
  </si>
  <si>
    <t>Russell</t>
  </si>
  <si>
    <t>Frances Collins</t>
  </si>
  <si>
    <t>Collins</t>
  </si>
  <si>
    <t>Janice</t>
  </si>
  <si>
    <t>Bird</t>
  </si>
  <si>
    <t>Reid</t>
  </si>
  <si>
    <t>Carolyn</t>
  </si>
  <si>
    <t>Begum</t>
  </si>
  <si>
    <t>Barry</t>
  </si>
  <si>
    <t>Price</t>
  </si>
  <si>
    <t>Ricky</t>
  </si>
  <si>
    <t>Mason</t>
  </si>
  <si>
    <t>Holly</t>
  </si>
  <si>
    <t>Powell</t>
  </si>
  <si>
    <t>Lesley</t>
  </si>
  <si>
    <t>Beth</t>
  </si>
  <si>
    <t>Spencer</t>
  </si>
  <si>
    <t>Bryan</t>
  </si>
  <si>
    <t>Cunningham</t>
  </si>
  <si>
    <t>Jacqueline Bailey</t>
  </si>
  <si>
    <t>Bailey</t>
  </si>
  <si>
    <t>Rosie</t>
  </si>
  <si>
    <t>Lane</t>
  </si>
  <si>
    <t>Roy</t>
  </si>
  <si>
    <t>Jones</t>
  </si>
  <si>
    <t>Hudson</t>
  </si>
  <si>
    <t>Karen Sutton</t>
  </si>
  <si>
    <t>Karen</t>
  </si>
  <si>
    <t>Sutton</t>
  </si>
  <si>
    <t>Rebecca Andrews</t>
  </si>
  <si>
    <t>Andrews</t>
  </si>
  <si>
    <t>Lewis Reynolds</t>
  </si>
  <si>
    <t>Lewis</t>
  </si>
  <si>
    <t>Reynolds</t>
  </si>
  <si>
    <t>Rachel</t>
  </si>
  <si>
    <t>Ellis</t>
  </si>
  <si>
    <t>Anthony Whittaker Griffiths</t>
  </si>
  <si>
    <t>Anthony</t>
  </si>
  <si>
    <t>Griffiths</t>
  </si>
  <si>
    <t>Lynne</t>
  </si>
  <si>
    <t>Daniels</t>
  </si>
  <si>
    <t>Claire</t>
  </si>
  <si>
    <t>Cox</t>
  </si>
  <si>
    <t>Hugh Pearson</t>
  </si>
  <si>
    <t>Hugh</t>
  </si>
  <si>
    <t>Pearson</t>
  </si>
  <si>
    <t>Victoria</t>
  </si>
  <si>
    <t>Smith</t>
  </si>
  <si>
    <t>Max Johnson</t>
  </si>
  <si>
    <t>Max</t>
  </si>
  <si>
    <t>Johnson</t>
  </si>
  <si>
    <t>Kerry</t>
  </si>
  <si>
    <t>Pugh</t>
  </si>
  <si>
    <t>Kathryn Houghton</t>
  </si>
  <si>
    <t>Kathryn</t>
  </si>
  <si>
    <t>Houghton</t>
  </si>
  <si>
    <t>Charlie</t>
  </si>
  <si>
    <t>Bennett</t>
  </si>
  <si>
    <t>Declan</t>
  </si>
  <si>
    <t>Phillips</t>
  </si>
  <si>
    <t>Frances Ryan</t>
  </si>
  <si>
    <t>Shirley Russell Gill</t>
  </si>
  <si>
    <t>Shirley</t>
  </si>
  <si>
    <t>Gill</t>
  </si>
  <si>
    <t>Donna</t>
  </si>
  <si>
    <t>John</t>
  </si>
  <si>
    <t>Burke</t>
  </si>
  <si>
    <t>Barbara Tucker</t>
  </si>
  <si>
    <t>Barbara</t>
  </si>
  <si>
    <t>Tucker</t>
  </si>
  <si>
    <t>Susan Browne Jackson</t>
  </si>
  <si>
    <t>Susan</t>
  </si>
  <si>
    <t>Jackson</t>
  </si>
  <si>
    <t>Jeffrey Patterson</t>
  </si>
  <si>
    <t>Jeffrey</t>
  </si>
  <si>
    <t>Andrew</t>
  </si>
  <si>
    <t>Williams</t>
  </si>
  <si>
    <t>Jamie</t>
  </si>
  <si>
    <t>Carey</t>
  </si>
  <si>
    <t>Leonard</t>
  </si>
  <si>
    <t>Lloyd</t>
  </si>
  <si>
    <t>Ann</t>
  </si>
  <si>
    <t>Coleman</t>
  </si>
  <si>
    <t>Rachael</t>
  </si>
  <si>
    <t>George</t>
  </si>
  <si>
    <t>Barbara Bishop Green</t>
  </si>
  <si>
    <t>Green</t>
  </si>
  <si>
    <t>Nicole</t>
  </si>
  <si>
    <t>Andrea Richardson Dobson</t>
  </si>
  <si>
    <t>Andrea</t>
  </si>
  <si>
    <t>Dobson</t>
  </si>
  <si>
    <t>Michelle King</t>
  </si>
  <si>
    <t>King</t>
  </si>
  <si>
    <t>Lorraine</t>
  </si>
  <si>
    <t>Woods</t>
  </si>
  <si>
    <t>Katy</t>
  </si>
  <si>
    <t>Godfrey</t>
  </si>
  <si>
    <t>Elliot Smith Wilkinson</t>
  </si>
  <si>
    <t>Elliot</t>
  </si>
  <si>
    <t>Wilkinson</t>
  </si>
  <si>
    <t>Raymond</t>
  </si>
  <si>
    <t>Lauren</t>
  </si>
  <si>
    <t>Payne</t>
  </si>
  <si>
    <t>Geoffrey Wilson Kay</t>
  </si>
  <si>
    <t>Geoffrey</t>
  </si>
  <si>
    <t>Kay</t>
  </si>
  <si>
    <t>Conor</t>
  </si>
  <si>
    <t>Barnes</t>
  </si>
  <si>
    <t>Janet Turner</t>
  </si>
  <si>
    <t>Janet</t>
  </si>
  <si>
    <t>Turner</t>
  </si>
  <si>
    <t>Fiona</t>
  </si>
  <si>
    <t>Savage</t>
  </si>
  <si>
    <t>Marian</t>
  </si>
  <si>
    <t>Cook</t>
  </si>
  <si>
    <t>Paul</t>
  </si>
  <si>
    <t>Miller</t>
  </si>
  <si>
    <t>Caroline</t>
  </si>
  <si>
    <t>Louise</t>
  </si>
  <si>
    <t>Chadwick</t>
  </si>
  <si>
    <t>Christopher</t>
  </si>
  <si>
    <t>Taylor</t>
  </si>
  <si>
    <t>Paula</t>
  </si>
  <si>
    <t>Bethany</t>
  </si>
  <si>
    <t>Sally Hawkins Sanders</t>
  </si>
  <si>
    <t>Sanders</t>
  </si>
  <si>
    <t>Norman</t>
  </si>
  <si>
    <t>Harry</t>
  </si>
  <si>
    <t>Graham</t>
  </si>
  <si>
    <t>O'Connor</t>
  </si>
  <si>
    <t>Kyle Green</t>
  </si>
  <si>
    <t>Kyle</t>
  </si>
  <si>
    <t>Barry Thorpe</t>
  </si>
  <si>
    <t>Thorpe</t>
  </si>
  <si>
    <t>Martin Browne Patel</t>
  </si>
  <si>
    <t>Patel</t>
  </si>
  <si>
    <t>Lorraine Cooper</t>
  </si>
  <si>
    <t>Cooper</t>
  </si>
  <si>
    <t>Adrian</t>
  </si>
  <si>
    <t>Jay</t>
  </si>
  <si>
    <t>Dixon</t>
  </si>
  <si>
    <t>Elaine</t>
  </si>
  <si>
    <t>Melanie</t>
  </si>
  <si>
    <t>Wright</t>
  </si>
  <si>
    <t>Katherine Whittaker</t>
  </si>
  <si>
    <t>Whittaker</t>
  </si>
  <si>
    <t>Jacob Taylor</t>
  </si>
  <si>
    <t>Maurice Lee</t>
  </si>
  <si>
    <t>Maurice</t>
  </si>
  <si>
    <t>Lee</t>
  </si>
  <si>
    <t>Adam</t>
  </si>
  <si>
    <t>Hussain</t>
  </si>
  <si>
    <t>Gary</t>
  </si>
  <si>
    <t>Mohamed</t>
  </si>
  <si>
    <t>Moss</t>
  </si>
  <si>
    <t>Lynn</t>
  </si>
  <si>
    <t>Davey</t>
  </si>
  <si>
    <t>Ruth</t>
  </si>
  <si>
    <t>Natasha</t>
  </si>
  <si>
    <t>Harding</t>
  </si>
  <si>
    <t>Peter Smith</t>
  </si>
  <si>
    <t>Peter</t>
  </si>
  <si>
    <t>Marcus Jones</t>
  </si>
  <si>
    <t>Marcus</t>
  </si>
  <si>
    <t>Dale</t>
  </si>
  <si>
    <t>Mary Thompson</t>
  </si>
  <si>
    <t>Mary</t>
  </si>
  <si>
    <t>Thompson</t>
  </si>
  <si>
    <t>Jason Tomlinson</t>
  </si>
  <si>
    <t>Jason</t>
  </si>
  <si>
    <t>Tomlinson</t>
  </si>
  <si>
    <t>Valerie</t>
  </si>
  <si>
    <t>Carter</t>
  </si>
  <si>
    <t>Julia</t>
  </si>
  <si>
    <t>Summers</t>
  </si>
  <si>
    <t>Rosie Robertson</t>
  </si>
  <si>
    <t>Robertson</t>
  </si>
  <si>
    <t>Marie Powell</t>
  </si>
  <si>
    <t>Marie</t>
  </si>
  <si>
    <t>Ball</t>
  </si>
  <si>
    <t>Matthew Willis</t>
  </si>
  <si>
    <t>Matthew</t>
  </si>
  <si>
    <t>Willis</t>
  </si>
  <si>
    <t>Richard Stanley</t>
  </si>
  <si>
    <t>Richard</t>
  </si>
  <si>
    <t>Francesca Barton Rowe</t>
  </si>
  <si>
    <t>Francesca</t>
  </si>
  <si>
    <t>Rowe</t>
  </si>
  <si>
    <t>Terence</t>
  </si>
  <si>
    <t>Simpson</t>
  </si>
  <si>
    <t>Callum King</t>
  </si>
  <si>
    <t>Callum</t>
  </si>
  <si>
    <t>Bryant</t>
  </si>
  <si>
    <t>Henry</t>
  </si>
  <si>
    <t>Knight</t>
  </si>
  <si>
    <t>John Blake</t>
  </si>
  <si>
    <t>Blake</t>
  </si>
  <si>
    <t>Reece O'Brien Hawkins</t>
  </si>
  <si>
    <t>Reece</t>
  </si>
  <si>
    <t>Hawkins</t>
  </si>
  <si>
    <t>Sean Dunn</t>
  </si>
  <si>
    <t>Sean</t>
  </si>
  <si>
    <t>Dunn</t>
  </si>
  <si>
    <t>Sam Rees</t>
  </si>
  <si>
    <t>Sam</t>
  </si>
  <si>
    <t>Rees</t>
  </si>
  <si>
    <t>Coles</t>
  </si>
  <si>
    <t>Marian Mccarthy</t>
  </si>
  <si>
    <t>Mccarthy</t>
  </si>
  <si>
    <t>Tracey</t>
  </si>
  <si>
    <t>Gordon</t>
  </si>
  <si>
    <t>Jemma Anderson Woods</t>
  </si>
  <si>
    <t>Jemma</t>
  </si>
  <si>
    <t>Brian Brown Sanders</t>
  </si>
  <si>
    <t>Brian</t>
  </si>
  <si>
    <t>Amelia</t>
  </si>
  <si>
    <t>Joseph Bradshaw Lewis</t>
  </si>
  <si>
    <t>Joseph</t>
  </si>
  <si>
    <t>Francesca Bolton</t>
  </si>
  <si>
    <t>Bolton</t>
  </si>
  <si>
    <t>Kirsty Scott</t>
  </si>
  <si>
    <t>Kirsty</t>
  </si>
  <si>
    <t>Scott</t>
  </si>
  <si>
    <t>Joseph Watson</t>
  </si>
  <si>
    <t>Watson</t>
  </si>
  <si>
    <t>Robin Foster</t>
  </si>
  <si>
    <t>Robin</t>
  </si>
  <si>
    <t>Foster</t>
  </si>
  <si>
    <t>Gareth</t>
  </si>
  <si>
    <t>Elliot Williams</t>
  </si>
  <si>
    <t>Sheila</t>
  </si>
  <si>
    <t>Daniel Gray</t>
  </si>
  <si>
    <t>Daniel</t>
  </si>
  <si>
    <t>Gray</t>
  </si>
  <si>
    <t>Dickinson</t>
  </si>
  <si>
    <t>Chamberlain</t>
  </si>
  <si>
    <t>Russell Brown</t>
  </si>
  <si>
    <t>Lee Gilbert Williams</t>
  </si>
  <si>
    <t>Roger King</t>
  </si>
  <si>
    <t>Roger</t>
  </si>
  <si>
    <t>Martyn Collins Elliott</t>
  </si>
  <si>
    <t>Martyn</t>
  </si>
  <si>
    <t>James Barber</t>
  </si>
  <si>
    <t>James</t>
  </si>
  <si>
    <t>Barber</t>
  </si>
  <si>
    <t>Amy Miah Robinson</t>
  </si>
  <si>
    <t>Robinson</t>
  </si>
  <si>
    <t>Davies</t>
  </si>
  <si>
    <t>Naomi</t>
  </si>
  <si>
    <t>Kirk</t>
  </si>
  <si>
    <t>Katie Smith</t>
  </si>
  <si>
    <t>Katie</t>
  </si>
  <si>
    <t>Ross</t>
  </si>
  <si>
    <t>Khan</t>
  </si>
  <si>
    <t>Fuller</t>
  </si>
  <si>
    <t>Douglas</t>
  </si>
  <si>
    <t>Jasmine</t>
  </si>
  <si>
    <t>Campbell</t>
  </si>
  <si>
    <t>Evans</t>
  </si>
  <si>
    <t>Beverley</t>
  </si>
  <si>
    <t>Hale</t>
  </si>
  <si>
    <t>Jordan</t>
  </si>
  <si>
    <t>Lindsey Coles Simmons</t>
  </si>
  <si>
    <t>Lindsey</t>
  </si>
  <si>
    <t>Barry Akhtar Greenwood</t>
  </si>
  <si>
    <t>Greenwood</t>
  </si>
  <si>
    <t>Declan Allen</t>
  </si>
  <si>
    <t>Allen</t>
  </si>
  <si>
    <t>Rice</t>
  </si>
  <si>
    <t>Alexander Davis Weston</t>
  </si>
  <si>
    <t>Alexander</t>
  </si>
  <si>
    <t>Weston</t>
  </si>
  <si>
    <t>Pauline Wilson Bryant</t>
  </si>
  <si>
    <t>Pauline</t>
  </si>
  <si>
    <t>Jay Dixon Atkins</t>
  </si>
  <si>
    <t>Atkins</t>
  </si>
  <si>
    <t>Warner</t>
  </si>
  <si>
    <t>Alex</t>
  </si>
  <si>
    <t>Gail Elliott</t>
  </si>
  <si>
    <t>Gail</t>
  </si>
  <si>
    <t>Charles</t>
  </si>
  <si>
    <t>May</t>
  </si>
  <si>
    <t>Lisa</t>
  </si>
  <si>
    <t>Callum Roberts</t>
  </si>
  <si>
    <t>Roberts</t>
  </si>
  <si>
    <t>Danny</t>
  </si>
  <si>
    <t>Williamson</t>
  </si>
  <si>
    <t>Sian Cooper Knight</t>
  </si>
  <si>
    <t>Sian</t>
  </si>
  <si>
    <t>Aaron</t>
  </si>
  <si>
    <t>Grace</t>
  </si>
  <si>
    <t>Osborne</t>
  </si>
  <si>
    <t>Justin</t>
  </si>
  <si>
    <t>Hill</t>
  </si>
  <si>
    <t>Carole</t>
  </si>
  <si>
    <t>Christine James Williams</t>
  </si>
  <si>
    <t>Christine</t>
  </si>
  <si>
    <t>Arthur</t>
  </si>
  <si>
    <t>Parker</t>
  </si>
  <si>
    <t>Melissa Cooper Wilkinson</t>
  </si>
  <si>
    <t>Melissa</t>
  </si>
  <si>
    <t>Rosemary Mason</t>
  </si>
  <si>
    <t>Rosemary</t>
  </si>
  <si>
    <t>Janet Lynch</t>
  </si>
  <si>
    <t>Lynch</t>
  </si>
  <si>
    <t>Kieran Bell Moran</t>
  </si>
  <si>
    <t>Moran</t>
  </si>
  <si>
    <t>Duncan</t>
  </si>
  <si>
    <t>Eleanor Johnson</t>
  </si>
  <si>
    <t>Eleanor</t>
  </si>
  <si>
    <t>Anna Blake</t>
  </si>
  <si>
    <t>Charlene Shah</t>
  </si>
  <si>
    <t>Shah</t>
  </si>
  <si>
    <t>Natalie Evans</t>
  </si>
  <si>
    <t>Natalie</t>
  </si>
  <si>
    <t>Bethany Potter Davison</t>
  </si>
  <si>
    <t>Davison</t>
  </si>
  <si>
    <t>Morley</t>
  </si>
  <si>
    <t>Sally Norris Webb</t>
  </si>
  <si>
    <t>Webb</t>
  </si>
  <si>
    <t>Iain</t>
  </si>
  <si>
    <t>Murphy</t>
  </si>
  <si>
    <t>Mathew Clarke</t>
  </si>
  <si>
    <t>Mathew</t>
  </si>
  <si>
    <t>Jenna</t>
  </si>
  <si>
    <t>Hayley</t>
  </si>
  <si>
    <t>Gould</t>
  </si>
  <si>
    <t>Tina</t>
  </si>
  <si>
    <t>Marc</t>
  </si>
  <si>
    <t>Clare Scott</t>
  </si>
  <si>
    <t>Clare</t>
  </si>
  <si>
    <t>Jake Vincent Patel</t>
  </si>
  <si>
    <t>Jake</t>
  </si>
  <si>
    <t>Lydia</t>
  </si>
  <si>
    <t>Gail Robinson Dixon</t>
  </si>
  <si>
    <t>Duncan Mitchell</t>
  </si>
  <si>
    <t>Mitchell</t>
  </si>
  <si>
    <t>Norman Jackson</t>
  </si>
  <si>
    <t>Nigel</t>
  </si>
  <si>
    <t>Diane</t>
  </si>
  <si>
    <t>Ward</t>
  </si>
  <si>
    <t>Leanne Whitehead Clark</t>
  </si>
  <si>
    <t>Leanne</t>
  </si>
  <si>
    <t>Clark</t>
  </si>
  <si>
    <t>Elliot Curtis</t>
  </si>
  <si>
    <t>Curtis</t>
  </si>
  <si>
    <t>Samuel</t>
  </si>
  <si>
    <t>Ronald</t>
  </si>
  <si>
    <t>Frost</t>
  </si>
  <si>
    <t>Kevin Hall Davies</t>
  </si>
  <si>
    <t>Kevin</t>
  </si>
  <si>
    <t>Welch</t>
  </si>
  <si>
    <t>Jasmine Cook Vincent</t>
  </si>
  <si>
    <t>Vincent</t>
  </si>
  <si>
    <t>Mohammed Bevan</t>
  </si>
  <si>
    <t>Mohammed</t>
  </si>
  <si>
    <t>Bevan</t>
  </si>
  <si>
    <t>Owen Hanson</t>
  </si>
  <si>
    <t>Owen</t>
  </si>
  <si>
    <t>Hanson</t>
  </si>
  <si>
    <t>Sharon Payne</t>
  </si>
  <si>
    <t>Sharon</t>
  </si>
  <si>
    <t>Stuart Nixon</t>
  </si>
  <si>
    <t>Stuart</t>
  </si>
  <si>
    <t>Nixon</t>
  </si>
  <si>
    <t>Carolyn Brown</t>
  </si>
  <si>
    <t>Kaur</t>
  </si>
  <si>
    <t>Elliot Butler</t>
  </si>
  <si>
    <t>Butler</t>
  </si>
  <si>
    <t>Teresa Walker</t>
  </si>
  <si>
    <t>Teresa</t>
  </si>
  <si>
    <t>Walker</t>
  </si>
  <si>
    <t>Hollie</t>
  </si>
  <si>
    <t>Wilson</t>
  </si>
  <si>
    <t>Howard Graham</t>
  </si>
  <si>
    <t>Howard</t>
  </si>
  <si>
    <t>Steele</t>
  </si>
  <si>
    <t>Olivia King Barnes</t>
  </si>
  <si>
    <t>Olivia</t>
  </si>
  <si>
    <t>Freeman</t>
  </si>
  <si>
    <t>Jennifer</t>
  </si>
  <si>
    <t>Benjamin</t>
  </si>
  <si>
    <t>Robert</t>
  </si>
  <si>
    <t>Todd</t>
  </si>
  <si>
    <t>Denis Leach Carter</t>
  </si>
  <si>
    <t>Denis</t>
  </si>
  <si>
    <t>Robin Bishop Clark</t>
  </si>
  <si>
    <t>Eleanor Webb</t>
  </si>
  <si>
    <t>Dylan</t>
  </si>
  <si>
    <t>Douglas Leonard Bennett</t>
  </si>
  <si>
    <t>Jeffrey Wade</t>
  </si>
  <si>
    <t>Wade</t>
  </si>
  <si>
    <t>Wendy</t>
  </si>
  <si>
    <t>Moore</t>
  </si>
  <si>
    <t>Howe</t>
  </si>
  <si>
    <t>Sara</t>
  </si>
  <si>
    <t>Terry</t>
  </si>
  <si>
    <t>Jessica Brown Ford</t>
  </si>
  <si>
    <t>Jessica</t>
  </si>
  <si>
    <t>Ford</t>
  </si>
  <si>
    <t>Stone</t>
  </si>
  <si>
    <t>Potts</t>
  </si>
  <si>
    <t>Griffin</t>
  </si>
  <si>
    <t>Denise</t>
  </si>
  <si>
    <t>Bradley</t>
  </si>
  <si>
    <t>Robin Wilkinson Smith</t>
  </si>
  <si>
    <t>Barbara Cooke</t>
  </si>
  <si>
    <t>Cooke</t>
  </si>
  <si>
    <t>Justin Bishop</t>
  </si>
  <si>
    <t>Margaret Elliott Taylor</t>
  </si>
  <si>
    <t>Margaret</t>
  </si>
  <si>
    <t>Owen Brown</t>
  </si>
  <si>
    <t>Dean Ross Robinson</t>
  </si>
  <si>
    <t>Dean</t>
  </si>
  <si>
    <t>Megan</t>
  </si>
  <si>
    <t>Daly</t>
  </si>
  <si>
    <t>Sian Elliott</t>
  </si>
  <si>
    <t>Dominic Knight</t>
  </si>
  <si>
    <t>Dominic</t>
  </si>
  <si>
    <t>Billy</t>
  </si>
  <si>
    <t>Rhys Hall</t>
  </si>
  <si>
    <t>Rhys</t>
  </si>
  <si>
    <t>Hall</t>
  </si>
  <si>
    <t>Edward Sanderson Harris</t>
  </si>
  <si>
    <t>Edward</t>
  </si>
  <si>
    <t>Harris</t>
  </si>
  <si>
    <t>Lesley Pope Hughes</t>
  </si>
  <si>
    <t>Hughes</t>
  </si>
  <si>
    <t>Paige</t>
  </si>
  <si>
    <t>Butcher</t>
  </si>
  <si>
    <t>Chelsea</t>
  </si>
  <si>
    <t>Shepherd</t>
  </si>
  <si>
    <t>Declan Hyde</t>
  </si>
  <si>
    <t>Hyde</t>
  </si>
  <si>
    <t>Sylvia Gilbert</t>
  </si>
  <si>
    <t>Sylvia</t>
  </si>
  <si>
    <t>Gilbert</t>
  </si>
  <si>
    <t>Gregory</t>
  </si>
  <si>
    <t>Sophie</t>
  </si>
  <si>
    <t>Harry Read</t>
  </si>
  <si>
    <t>Read</t>
  </si>
  <si>
    <t>Gavin</t>
  </si>
  <si>
    <t>Kate</t>
  </si>
  <si>
    <t>Chapman</t>
  </si>
  <si>
    <t>Mark Allen Lewis</t>
  </si>
  <si>
    <t>Jamie Kent Morris</t>
  </si>
  <si>
    <t>Ben</t>
  </si>
  <si>
    <t>Kelly</t>
  </si>
  <si>
    <t>Harriet Potter</t>
  </si>
  <si>
    <t>Harriet</t>
  </si>
  <si>
    <t>Potter</t>
  </si>
  <si>
    <t>Tracey Phillips</t>
  </si>
  <si>
    <t>Guy Brown</t>
  </si>
  <si>
    <t>Sylvia Stephens</t>
  </si>
  <si>
    <t>Stephens</t>
  </si>
  <si>
    <t>Parry</t>
  </si>
  <si>
    <t>Nathan Martin Cross</t>
  </si>
  <si>
    <t>Nathan</t>
  </si>
  <si>
    <t>Cross</t>
  </si>
  <si>
    <t>Jordan Ross</t>
  </si>
  <si>
    <t>David Walker</t>
  </si>
  <si>
    <t>David</t>
  </si>
  <si>
    <t>Tony</t>
  </si>
  <si>
    <t>O'Neill</t>
  </si>
  <si>
    <t>Irene Read</t>
  </si>
  <si>
    <t>Irene</t>
  </si>
  <si>
    <t>Ellie Law Perry</t>
  </si>
  <si>
    <t>Ellie</t>
  </si>
  <si>
    <t>Perry</t>
  </si>
  <si>
    <t>Christian</t>
  </si>
  <si>
    <t>Rowley</t>
  </si>
  <si>
    <t>Sophie Foster</t>
  </si>
  <si>
    <t>Annette Williams</t>
  </si>
  <si>
    <t>Annette</t>
  </si>
  <si>
    <t>Lesley Ali</t>
  </si>
  <si>
    <t>Ali</t>
  </si>
  <si>
    <t>Annette Jordan</t>
  </si>
  <si>
    <t>Kimberley</t>
  </si>
  <si>
    <t>Eileen</t>
  </si>
  <si>
    <t>Margaret Smith</t>
  </si>
  <si>
    <t>Michelle Evans</t>
  </si>
  <si>
    <t>Brenda Russell Baker</t>
  </si>
  <si>
    <t>Brenda</t>
  </si>
  <si>
    <t>Lauren Gray</t>
  </si>
  <si>
    <t>Kyle Patel Fisher</t>
  </si>
  <si>
    <t>Fisher</t>
  </si>
  <si>
    <t>Rosie John</t>
  </si>
  <si>
    <t>Linda</t>
  </si>
  <si>
    <t>Leslie Brooks Burrows</t>
  </si>
  <si>
    <t>Leslie</t>
  </si>
  <si>
    <t>Burrows</t>
  </si>
  <si>
    <t>Gemma</t>
  </si>
  <si>
    <t>Ian</t>
  </si>
  <si>
    <t>Anna Smith</t>
  </si>
  <si>
    <t>Darren</t>
  </si>
  <si>
    <t>Jane Fox Quinn</t>
  </si>
  <si>
    <t>Jane</t>
  </si>
  <si>
    <t>Quinn</t>
  </si>
  <si>
    <t>Bernard Weston</t>
  </si>
  <si>
    <t>Bernard</t>
  </si>
  <si>
    <t>Janice Robinson</t>
  </si>
  <si>
    <t>Amanda Moore Knight</t>
  </si>
  <si>
    <t>Amanda</t>
  </si>
  <si>
    <t>Joanna Harrison</t>
  </si>
  <si>
    <t>Joanna</t>
  </si>
  <si>
    <t>Francesca Hodgson</t>
  </si>
  <si>
    <t>Hodgson</t>
  </si>
  <si>
    <t>Deborah</t>
  </si>
  <si>
    <t>Albert Hanson Robinson</t>
  </si>
  <si>
    <t>Albert</t>
  </si>
  <si>
    <t>Nicola Wilson</t>
  </si>
  <si>
    <t>Nicola</t>
  </si>
  <si>
    <t>Wyatt</t>
  </si>
  <si>
    <t>Sarah Palmer</t>
  </si>
  <si>
    <t>Sarah</t>
  </si>
  <si>
    <t>Conway</t>
  </si>
  <si>
    <t>Trevor</t>
  </si>
  <si>
    <t>Hooper</t>
  </si>
  <si>
    <t>Reece Humphries</t>
  </si>
  <si>
    <t>Humphries</t>
  </si>
  <si>
    <t>Alexandra Gill Boyle</t>
  </si>
  <si>
    <t>Boyle</t>
  </si>
  <si>
    <t>Kimberley Williams Stephens</t>
  </si>
  <si>
    <t>Peters</t>
  </si>
  <si>
    <t>June Wilkinson</t>
  </si>
  <si>
    <t>June</t>
  </si>
  <si>
    <t>Sally Davies</t>
  </si>
  <si>
    <t>Ricky Turner</t>
  </si>
  <si>
    <t>Adam Barnett</t>
  </si>
  <si>
    <t>Barnett</t>
  </si>
  <si>
    <t>Nash</t>
  </si>
  <si>
    <t>Geraldine</t>
  </si>
  <si>
    <t>Kelly Sanderson Thomson</t>
  </si>
  <si>
    <t>Thomson</t>
  </si>
  <si>
    <t>Oliver Thomson</t>
  </si>
  <si>
    <t>Lawrence</t>
  </si>
  <si>
    <t>Roger Sutton</t>
  </si>
  <si>
    <t>Bond</t>
  </si>
  <si>
    <t>Damien</t>
  </si>
  <si>
    <t>Kathryn Newman Davies</t>
  </si>
  <si>
    <t>Kate Lee</t>
  </si>
  <si>
    <t>Abdul</t>
  </si>
  <si>
    <t>Alex Smith</t>
  </si>
  <si>
    <t>Bethan Begum</t>
  </si>
  <si>
    <t>Bethan</t>
  </si>
  <si>
    <t/>
  </si>
  <si>
    <t>offer_date</t>
  </si>
  <si>
    <t>hire_date</t>
  </si>
  <si>
    <t>Grand Total</t>
  </si>
  <si>
    <t>2024</t>
  </si>
  <si>
    <t>2025</t>
  </si>
  <si>
    <t>Jan</t>
  </si>
  <si>
    <t>Feb</t>
  </si>
  <si>
    <t>Mar</t>
  </si>
  <si>
    <t>Apr</t>
  </si>
  <si>
    <t>Jun</t>
  </si>
  <si>
    <t>Jul</t>
  </si>
  <si>
    <t>Aug</t>
  </si>
  <si>
    <t>Sep</t>
  </si>
  <si>
    <t>Oct</t>
  </si>
  <si>
    <t>Nov</t>
  </si>
  <si>
    <t>Dec</t>
  </si>
  <si>
    <t>Month Year</t>
  </si>
  <si>
    <t>Total Appilcations</t>
  </si>
  <si>
    <t>hire_flag</t>
  </si>
  <si>
    <t>interview_flag</t>
  </si>
  <si>
    <t>application_flag</t>
  </si>
  <si>
    <t>withdrawn_flag</t>
  </si>
  <si>
    <t>rejected_flag</t>
  </si>
  <si>
    <t>offer_flag</t>
  </si>
  <si>
    <t>Applications received</t>
  </si>
  <si>
    <t>Candidates hired</t>
  </si>
  <si>
    <t>Source channel</t>
  </si>
  <si>
    <t>application_month_year</t>
  </si>
  <si>
    <t>Interview_date_helper</t>
  </si>
  <si>
    <t>Interview_date_clean</t>
  </si>
  <si>
    <t>Interview_date</t>
  </si>
  <si>
    <t>time_to_hire</t>
  </si>
  <si>
    <t>Candidates Hired</t>
  </si>
  <si>
    <t>Candidates Interviewed</t>
  </si>
  <si>
    <t>Role</t>
  </si>
  <si>
    <t>Avg. Expected Salary</t>
  </si>
  <si>
    <t>Avg. Offered Salary</t>
  </si>
  <si>
    <t>Applications Received</t>
  </si>
  <si>
    <t>Average time to hire</t>
  </si>
  <si>
    <t>application_year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</si>
</sst>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mmm\,\ yyyy"/>
    <numFmt numFmtId="165" formatCode="###,###\ &quot;days&quot;"/>
    <numFmt numFmtId="166" formatCode="###,###.##\ &quot;days&quot;"/>
    <numFmt numFmtId="167" formatCode="#,##0.00\ &quot;days&quot;"/>
  </numFmts>
  <fonts count="7" x14ac:knownFonts="1">
    <font>
      <sz val="11"/>
      <color theme="1"/>
      <name val="Calibri"/>
      <family val="2"/>
      <scheme val="minor"/>
    </font>
    <font>
      <b/>
      <sz val="11"/>
      <color theme="1"/>
      <name val="Calibri"/>
      <family val="2"/>
      <scheme val="minor"/>
    </font>
    <font>
      <b/>
      <i/>
      <sz val="12"/>
      <color theme="1"/>
      <name val="Arial"/>
      <family val="2"/>
    </font>
    <font>
      <b/>
      <sz val="24"/>
      <color theme="1"/>
      <name val="Calibri"/>
      <family val="2"/>
      <scheme val="minor"/>
    </font>
    <font>
      <b/>
      <sz val="13.5"/>
      <color theme="1"/>
      <name val="Calibri"/>
      <family val="2"/>
      <scheme val="minor"/>
    </font>
    <font>
      <b/>
      <sz val="18"/>
      <color theme="1"/>
      <name val="Calibri"/>
      <family val="2"/>
      <scheme val="minor"/>
    </font>
    <font>
      <b/>
      <i/>
      <sz val="12"/>
      <color rgb="FF000000"/>
      <name val="Arial"/>
      <family val="2"/>
    </font>
  </fonts>
  <fills count="5">
    <fill>
      <patternFill patternType="none"/>
    </fill>
    <fill>
      <patternFill patternType="gray125"/>
    </fill>
    <fill>
      <patternFill patternType="solid">
        <fgColor theme="3" tint="0.79998168889431442"/>
        <bgColor indexed="64"/>
      </patternFill>
    </fill>
    <fill>
      <patternFill patternType="solid">
        <fgColor rgb="FFC5D9F1"/>
        <bgColor rgb="FF000000"/>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top" wrapText="1"/>
    </xf>
    <xf numFmtId="0" fontId="2" fillId="2" borderId="0" xfId="0" applyFont="1" applyFill="1" applyAlignment="1">
      <alignment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5" fillId="0" borderId="0" xfId="0" applyFont="1" applyAlignment="1">
      <alignment vertical="center"/>
    </xf>
    <xf numFmtId="0" fontId="1" fillId="0" borderId="0" xfId="0" applyFont="1"/>
    <xf numFmtId="14" fontId="0" fillId="0" borderId="0" xfId="0" applyNumberFormat="1"/>
    <xf numFmtId="0" fontId="0" fillId="0" borderId="0" xfId="0" applyNumberFormat="1"/>
    <xf numFmtId="14" fontId="2" fillId="2" borderId="1" xfId="0" applyNumberFormat="1" applyFont="1" applyFill="1" applyBorder="1" applyAlignment="1">
      <alignment horizontal="center" vertical="top" wrapText="1"/>
    </xf>
    <xf numFmtId="0" fontId="2" fillId="2" borderId="1" xfId="0" applyNumberFormat="1" applyFont="1" applyFill="1" applyBorder="1" applyAlignment="1">
      <alignment horizontal="center" vertical="top" wrapText="1"/>
    </xf>
    <xf numFmtId="0" fontId="2" fillId="2" borderId="0" xfId="0" applyFont="1" applyFill="1" applyBorder="1" applyAlignment="1">
      <alignment horizontal="center" vertical="top" wrapText="1"/>
    </xf>
    <xf numFmtId="44" fontId="2" fillId="2" borderId="1" xfId="0" applyNumberFormat="1" applyFont="1" applyFill="1" applyBorder="1" applyAlignment="1">
      <alignment horizontal="center" vertical="top" wrapText="1"/>
    </xf>
    <xf numFmtId="44" fontId="0" fillId="0" borderId="0" xfId="0" applyNumberFormat="1"/>
    <xf numFmtId="2" fontId="2" fillId="2" borderId="1" xfId="0" applyNumberFormat="1" applyFont="1" applyFill="1" applyBorder="1" applyAlignment="1">
      <alignment horizontal="center" vertical="top" wrapText="1"/>
    </xf>
    <xf numFmtId="2" fontId="0" fillId="0" borderId="0" xfId="0" applyNumberFormat="1"/>
    <xf numFmtId="0" fontId="0" fillId="0" borderId="0" xfId="0" applyNumberFormat="1" applyAlignment="1">
      <alignment horizontal="center"/>
    </xf>
    <xf numFmtId="164" fontId="2" fillId="2" borderId="1" xfId="0" applyNumberFormat="1" applyFont="1" applyFill="1" applyBorder="1" applyAlignment="1">
      <alignment horizontal="center" vertical="top" wrapText="1"/>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6" fillId="3" borderId="1" xfId="0" applyFont="1" applyFill="1" applyBorder="1" applyAlignment="1">
      <alignment horizontal="center" vertical="top" wrapText="1"/>
    </xf>
    <xf numFmtId="165" fontId="2" fillId="2" borderId="1" xfId="0" applyNumberFormat="1" applyFont="1" applyFill="1" applyBorder="1" applyAlignment="1">
      <alignment horizontal="center" vertical="top" wrapText="1"/>
    </xf>
    <xf numFmtId="165" fontId="0" fillId="0" borderId="0" xfId="0" applyNumberFormat="1"/>
    <xf numFmtId="166" fontId="0" fillId="0" borderId="0" xfId="0" applyNumberFormat="1" applyAlignment="1">
      <alignment horizontal="center"/>
    </xf>
    <xf numFmtId="167" fontId="0" fillId="0" borderId="0" xfId="0" applyNumberFormat="1"/>
    <xf numFmtId="0" fontId="0" fillId="4" borderId="0" xfId="0" applyFill="1" applyAlignment="1">
      <alignment horizontal="left" vertical="center" indent="1"/>
    </xf>
    <xf numFmtId="0" fontId="0" fillId="4" borderId="0" xfId="0" applyFill="1"/>
    <xf numFmtId="0" fontId="0" fillId="0" borderId="0" xfId="0" applyFill="1" applyAlignment="1">
      <alignment horizontal="left" vertical="center" indent="1"/>
    </xf>
    <xf numFmtId="0" fontId="0" fillId="0" borderId="0" xfId="0" applyFill="1"/>
  </cellXfs>
  <cellStyles count="1">
    <cellStyle name="Normal" xfId="0" builtinId="0"/>
  </cellStyles>
  <dxfs count="25">
    <dxf>
      <numFmt numFmtId="166" formatCode="###,###.##\ &quot;days&quot;"/>
    </dxf>
    <dxf>
      <alignment horizontal="center"/>
    </dxf>
    <dxf>
      <numFmt numFmtId="166" formatCode="###,###.##\ &quot;days&quot;"/>
    </dxf>
    <dxf>
      <alignment horizontal="center"/>
    </dxf>
    <dxf>
      <numFmt numFmtId="166" formatCode="###,###.##\ &quot;days&quot;"/>
    </dxf>
    <dxf>
      <alignment horizontal="center"/>
    </dxf>
    <dxf>
      <numFmt numFmtId="166" formatCode="###,###.##\ &quot;days&quot;"/>
    </dxf>
    <dxf>
      <alignment horizontal="center"/>
    </dxf>
    <dxf>
      <numFmt numFmtId="166" formatCode="###,###.##\ &quot;days&quot;"/>
    </dxf>
    <dxf>
      <alignment horizontal="center"/>
    </dxf>
    <dxf>
      <numFmt numFmtId="166" formatCode="###,###.##\ &quot;days&quot;"/>
    </dxf>
    <dxf>
      <alignment horizontal="center"/>
    </dxf>
    <dxf>
      <numFmt numFmtId="166" formatCode="###,###.##\ &quot;days&quot;"/>
    </dxf>
    <dxf>
      <alignment horizontal="center"/>
    </dxf>
    <dxf>
      <numFmt numFmtId="166" formatCode="###,###.##\ &quot;days&quot;"/>
    </dxf>
    <dxf>
      <alignment horizontal="center"/>
    </dxf>
    <dxf>
      <numFmt numFmtId="166" formatCode="###,###.##\ &quot;days&quot;"/>
    </dxf>
    <dxf>
      <alignment horizontal="center"/>
    </dxf>
    <dxf>
      <numFmt numFmtId="166" formatCode="###,###.##\ &quot;days&quot;"/>
    </dxf>
    <dxf>
      <alignment horizontal="center"/>
    </dxf>
    <dxf>
      <font>
        <color rgb="FF9C0006"/>
      </font>
      <fill>
        <patternFill>
          <bgColor rgb="FFFFC7CE"/>
        </patternFill>
      </fill>
    </dxf>
    <dxf>
      <font>
        <color rgb="FF9C0006"/>
      </font>
      <fill>
        <patternFill>
          <bgColor rgb="FFFFC7CE"/>
        </patternFill>
      </fill>
    </dxf>
    <dxf>
      <alignment horizontal="center"/>
    </dxf>
    <dxf>
      <numFmt numFmtId="166" formatCode="###,###.##\ &quot;days&quot;"/>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Pivot!recruiting channel</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Recruiting channel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&amp; Pivot'!$C$66</c:f>
              <c:strCache>
                <c:ptCount val="1"/>
                <c:pt idx="0">
                  <c:v>Applications received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Pivot'!$B$67:$B$72</c:f>
              <c:strCache>
                <c:ptCount val="5"/>
                <c:pt idx="0">
                  <c:v>Linkedln</c:v>
                </c:pt>
                <c:pt idx="1">
                  <c:v>Reed</c:v>
                </c:pt>
                <c:pt idx="2">
                  <c:v>Indeed</c:v>
                </c:pt>
                <c:pt idx="3">
                  <c:v>Referral</c:v>
                </c:pt>
                <c:pt idx="4">
                  <c:v>CV Library</c:v>
                </c:pt>
              </c:strCache>
            </c:strRef>
          </c:cat>
          <c:val>
            <c:numRef>
              <c:f>'Analysis &amp; Pivot'!$C$67:$C$72</c:f>
              <c:numCache>
                <c:formatCode>General</c:formatCode>
                <c:ptCount val="5"/>
                <c:pt idx="0">
                  <c:v>182</c:v>
                </c:pt>
                <c:pt idx="1">
                  <c:v>61</c:v>
                </c:pt>
                <c:pt idx="2">
                  <c:v>55</c:v>
                </c:pt>
                <c:pt idx="3">
                  <c:v>53</c:v>
                </c:pt>
                <c:pt idx="4">
                  <c:v>49</c:v>
                </c:pt>
              </c:numCache>
            </c:numRef>
          </c:val>
          <c:extLst>
            <c:ext xmlns:c16="http://schemas.microsoft.com/office/drawing/2014/chart" uri="{C3380CC4-5D6E-409C-BE32-E72D297353CC}">
              <c16:uniqueId val="{00000000-79B3-4C1D-9303-1FD8E8B272DA}"/>
            </c:ext>
          </c:extLst>
        </c:ser>
        <c:ser>
          <c:idx val="1"/>
          <c:order val="1"/>
          <c:tx>
            <c:strRef>
              <c:f>'Analysis &amp; Pivot'!$D$66</c:f>
              <c:strCache>
                <c:ptCount val="1"/>
                <c:pt idx="0">
                  <c:v>Candidates hired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Pivot'!$B$67:$B$72</c:f>
              <c:strCache>
                <c:ptCount val="5"/>
                <c:pt idx="0">
                  <c:v>Linkedln</c:v>
                </c:pt>
                <c:pt idx="1">
                  <c:v>Reed</c:v>
                </c:pt>
                <c:pt idx="2">
                  <c:v>Indeed</c:v>
                </c:pt>
                <c:pt idx="3">
                  <c:v>Referral</c:v>
                </c:pt>
                <c:pt idx="4">
                  <c:v>CV Library</c:v>
                </c:pt>
              </c:strCache>
            </c:strRef>
          </c:cat>
          <c:val>
            <c:numRef>
              <c:f>'Analysis &amp; Pivot'!$D$67:$D$72</c:f>
              <c:numCache>
                <c:formatCode>General</c:formatCode>
                <c:ptCount val="5"/>
                <c:pt idx="0">
                  <c:v>23</c:v>
                </c:pt>
                <c:pt idx="1">
                  <c:v>5</c:v>
                </c:pt>
                <c:pt idx="2">
                  <c:v>8</c:v>
                </c:pt>
                <c:pt idx="3">
                  <c:v>3</c:v>
                </c:pt>
                <c:pt idx="4">
                  <c:v>6</c:v>
                </c:pt>
              </c:numCache>
            </c:numRef>
          </c:val>
          <c:extLst>
            <c:ext xmlns:c16="http://schemas.microsoft.com/office/drawing/2014/chart" uri="{C3380CC4-5D6E-409C-BE32-E72D297353CC}">
              <c16:uniqueId val="{00000001-79B3-4C1D-9303-1FD8E8B272DA}"/>
            </c:ext>
          </c:extLst>
        </c:ser>
        <c:dLbls>
          <c:showLegendKey val="0"/>
          <c:showVal val="1"/>
          <c:showCatName val="0"/>
          <c:showSerName val="0"/>
          <c:showPercent val="0"/>
          <c:showBubbleSize val="0"/>
        </c:dLbls>
        <c:gapWidth val="150"/>
        <c:axId val="1122576352"/>
        <c:axId val="1119602416"/>
      </c:barChart>
      <c:catAx>
        <c:axId val="1122576352"/>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02416"/>
        <c:crosses val="autoZero"/>
        <c:auto val="1"/>
        <c:lblAlgn val="ctr"/>
        <c:lblOffset val="100"/>
        <c:noMultiLvlLbl val="0"/>
      </c:catAx>
      <c:valAx>
        <c:axId val="1119602416"/>
        <c:scaling>
          <c:orientation val="minMax"/>
        </c:scaling>
        <c:delete val="1"/>
        <c:axPos val="b"/>
        <c:majorGridlines>
          <c:spPr>
            <a:ln w="9525" cap="flat" cmpd="sng" algn="ctr">
              <a:solidFill>
                <a:schemeClr val="bg1">
                  <a:lumMod val="95000"/>
                  <a:alpha val="65000"/>
                </a:schemeClr>
              </a:solidFill>
              <a:round/>
            </a:ln>
            <a:effectLst/>
          </c:spPr>
        </c:majorGridlines>
        <c:numFmt formatCode="General" sourceLinked="1"/>
        <c:majorTickMark val="none"/>
        <c:minorTickMark val="none"/>
        <c:tickLblPos val="nextTo"/>
        <c:crossAx val="1122576352"/>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Pivot!monthly recruitment</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Monthly Recruitment Activity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7171296296296296"/>
          <c:w val="0.70115441819772528"/>
          <c:h val="0.61999270924467775"/>
        </c:manualLayout>
      </c:layout>
      <c:lineChart>
        <c:grouping val="standard"/>
        <c:varyColors val="0"/>
        <c:ser>
          <c:idx val="0"/>
          <c:order val="0"/>
          <c:tx>
            <c:strRef>
              <c:f>'Analysis &amp; Pivot'!$C$8</c:f>
              <c:strCache>
                <c:ptCount val="1"/>
                <c:pt idx="0">
                  <c:v>Applications Received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Pivot'!$C$9:$C$28</c:f>
              <c:numCache>
                <c:formatCode>General</c:formatCode>
                <c:ptCount val="17"/>
                <c:pt idx="0">
                  <c:v>23</c:v>
                </c:pt>
                <c:pt idx="1">
                  <c:v>22</c:v>
                </c:pt>
                <c:pt idx="2">
                  <c:v>24</c:v>
                </c:pt>
                <c:pt idx="3">
                  <c:v>18</c:v>
                </c:pt>
                <c:pt idx="4">
                  <c:v>27</c:v>
                </c:pt>
                <c:pt idx="5">
                  <c:v>28</c:v>
                </c:pt>
                <c:pt idx="6">
                  <c:v>27</c:v>
                </c:pt>
                <c:pt idx="7">
                  <c:v>20</c:v>
                </c:pt>
                <c:pt idx="8">
                  <c:v>21</c:v>
                </c:pt>
                <c:pt idx="9">
                  <c:v>22</c:v>
                </c:pt>
                <c:pt idx="10">
                  <c:v>25</c:v>
                </c:pt>
                <c:pt idx="11">
                  <c:v>16</c:v>
                </c:pt>
                <c:pt idx="12">
                  <c:v>27</c:v>
                </c:pt>
                <c:pt idx="13">
                  <c:v>31</c:v>
                </c:pt>
                <c:pt idx="14">
                  <c:v>30</c:v>
                </c:pt>
                <c:pt idx="15">
                  <c:v>28</c:v>
                </c:pt>
                <c:pt idx="16">
                  <c:v>11</c:v>
                </c:pt>
              </c:numCache>
            </c:numRef>
          </c:val>
          <c:smooth val="0"/>
          <c:extLst>
            <c:ext xmlns:c16="http://schemas.microsoft.com/office/drawing/2014/chart" uri="{C3380CC4-5D6E-409C-BE32-E72D297353CC}">
              <c16:uniqueId val="{00000000-210F-4AA9-AD7D-F7040FAA6C55}"/>
            </c:ext>
          </c:extLst>
        </c:ser>
        <c:ser>
          <c:idx val="1"/>
          <c:order val="1"/>
          <c:tx>
            <c:strRef>
              <c:f>'Analysis &amp; Pivot'!$D$8</c:f>
              <c:strCache>
                <c:ptCount val="1"/>
                <c:pt idx="0">
                  <c:v>Candidates Interviewed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Pivot'!$D$9:$D$28</c:f>
              <c:numCache>
                <c:formatCode>General</c:formatCode>
                <c:ptCount val="17"/>
                <c:pt idx="0">
                  <c:v>7</c:v>
                </c:pt>
                <c:pt idx="1">
                  <c:v>8</c:v>
                </c:pt>
                <c:pt idx="2">
                  <c:v>9</c:v>
                </c:pt>
                <c:pt idx="3">
                  <c:v>11</c:v>
                </c:pt>
                <c:pt idx="4">
                  <c:v>12</c:v>
                </c:pt>
                <c:pt idx="5">
                  <c:v>14</c:v>
                </c:pt>
                <c:pt idx="6">
                  <c:v>12</c:v>
                </c:pt>
                <c:pt idx="7">
                  <c:v>7</c:v>
                </c:pt>
                <c:pt idx="8">
                  <c:v>13</c:v>
                </c:pt>
                <c:pt idx="9">
                  <c:v>10</c:v>
                </c:pt>
                <c:pt idx="10">
                  <c:v>10</c:v>
                </c:pt>
                <c:pt idx="11">
                  <c:v>10</c:v>
                </c:pt>
                <c:pt idx="12">
                  <c:v>10</c:v>
                </c:pt>
                <c:pt idx="13">
                  <c:v>13</c:v>
                </c:pt>
                <c:pt idx="14">
                  <c:v>13</c:v>
                </c:pt>
                <c:pt idx="15">
                  <c:v>9</c:v>
                </c:pt>
                <c:pt idx="16">
                  <c:v>3</c:v>
                </c:pt>
              </c:numCache>
            </c:numRef>
          </c:val>
          <c:smooth val="0"/>
          <c:extLst>
            <c:ext xmlns:c16="http://schemas.microsoft.com/office/drawing/2014/chart" uri="{C3380CC4-5D6E-409C-BE32-E72D297353CC}">
              <c16:uniqueId val="{00000001-210F-4AA9-AD7D-F7040FAA6C55}"/>
            </c:ext>
          </c:extLst>
        </c:ser>
        <c:ser>
          <c:idx val="2"/>
          <c:order val="2"/>
          <c:tx>
            <c:strRef>
              <c:f>'Analysis &amp; Pivot'!$E$8</c:f>
              <c:strCache>
                <c:ptCount val="1"/>
                <c:pt idx="0">
                  <c:v>Candidates Hired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Pivot'!$E$9:$E$28</c:f>
              <c:numCache>
                <c:formatCode>General</c:formatCode>
                <c:ptCount val="17"/>
                <c:pt idx="0">
                  <c:v>1</c:v>
                </c:pt>
                <c:pt idx="1">
                  <c:v>2</c:v>
                </c:pt>
                <c:pt idx="2">
                  <c:v>2</c:v>
                </c:pt>
                <c:pt idx="3">
                  <c:v>4</c:v>
                </c:pt>
                <c:pt idx="4">
                  <c:v>3</c:v>
                </c:pt>
                <c:pt idx="5">
                  <c:v>5</c:v>
                </c:pt>
                <c:pt idx="6">
                  <c:v>5</c:v>
                </c:pt>
                <c:pt idx="7">
                  <c:v>2</c:v>
                </c:pt>
                <c:pt idx="8">
                  <c:v>4</c:v>
                </c:pt>
                <c:pt idx="9">
                  <c:v>4</c:v>
                </c:pt>
                <c:pt idx="10">
                  <c:v>3</c:v>
                </c:pt>
                <c:pt idx="11">
                  <c:v>3</c:v>
                </c:pt>
                <c:pt idx="12">
                  <c:v>0</c:v>
                </c:pt>
                <c:pt idx="13">
                  <c:v>2</c:v>
                </c:pt>
                <c:pt idx="14">
                  <c:v>2</c:v>
                </c:pt>
                <c:pt idx="15">
                  <c:v>2</c:v>
                </c:pt>
                <c:pt idx="16">
                  <c:v>1</c:v>
                </c:pt>
              </c:numCache>
            </c:numRef>
          </c:val>
          <c:smooth val="0"/>
          <c:extLst>
            <c:ext xmlns:c16="http://schemas.microsoft.com/office/drawing/2014/chart" uri="{C3380CC4-5D6E-409C-BE32-E72D297353CC}">
              <c16:uniqueId val="{00000002-210F-4AA9-AD7D-F7040FAA6C55}"/>
            </c:ext>
          </c:extLst>
        </c:ser>
        <c:dLbls>
          <c:showLegendKey val="0"/>
          <c:showVal val="0"/>
          <c:showCatName val="0"/>
          <c:showSerName val="0"/>
          <c:showPercent val="0"/>
          <c:showBubbleSize val="0"/>
        </c:dLbls>
        <c:marker val="1"/>
        <c:smooth val="0"/>
        <c:axId val="1796214399"/>
        <c:axId val="1796211519"/>
      </c:lineChart>
      <c:catAx>
        <c:axId val="179621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11519"/>
        <c:crosses val="autoZero"/>
        <c:auto val="1"/>
        <c:lblAlgn val="ctr"/>
        <c:lblOffset val="100"/>
        <c:noMultiLvlLbl val="0"/>
      </c:catAx>
      <c:valAx>
        <c:axId val="1796211519"/>
        <c:scaling>
          <c:orientation val="minMax"/>
        </c:scaling>
        <c:delete val="0"/>
        <c:axPos val="l"/>
        <c:majorGridlines>
          <c:spPr>
            <a:ln w="9525" cap="flat" cmpd="sng" algn="ctr">
              <a:solidFill>
                <a:schemeClr val="bg1">
                  <a:lumMod val="95000"/>
                  <a:alpha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14399"/>
        <c:crosses val="autoZero"/>
        <c:crossBetween val="between"/>
      </c:valAx>
      <c:spPr>
        <a:noFill/>
        <a:ln>
          <a:noFill/>
        </a:ln>
        <a:effectLst/>
      </c:spPr>
    </c:plotArea>
    <c:legend>
      <c:legendPos val="r"/>
      <c:layout>
        <c:manualLayout>
          <c:xMode val="edge"/>
          <c:yMode val="edge"/>
          <c:x val="0.78163580903738383"/>
          <c:y val="0.42591358059041207"/>
          <c:w val="0.19891979199065812"/>
          <c:h val="0.372038618847555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Pivot!regional recruitment</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Regional Recruitment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37559438148759"/>
          <c:y val="0.12078703703703704"/>
          <c:w val="0.63488161617045957"/>
          <c:h val="0.82828703703703699"/>
        </c:manualLayout>
      </c:layout>
      <c:barChart>
        <c:barDir val="bar"/>
        <c:grouping val="clustered"/>
        <c:varyColors val="0"/>
        <c:ser>
          <c:idx val="0"/>
          <c:order val="0"/>
          <c:tx>
            <c:strRef>
              <c:f>'Analysis &amp; Pivot'!$C$35</c:f>
              <c:strCache>
                <c:ptCount val="1"/>
                <c:pt idx="0">
                  <c:v>Applications Received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Pivot'!$B$36:$B$43</c:f>
              <c:strCache>
                <c:ptCount val="7"/>
                <c:pt idx="0">
                  <c:v>East Midlands</c:v>
                </c:pt>
                <c:pt idx="1">
                  <c:v>Midlands</c:v>
                </c:pt>
                <c:pt idx="2">
                  <c:v>Scotland</c:v>
                </c:pt>
                <c:pt idx="3">
                  <c:v>North West</c:v>
                </c:pt>
                <c:pt idx="4">
                  <c:v>South East</c:v>
                </c:pt>
                <c:pt idx="5">
                  <c:v>London</c:v>
                </c:pt>
                <c:pt idx="6">
                  <c:v>Yorkshire</c:v>
                </c:pt>
              </c:strCache>
            </c:strRef>
          </c:cat>
          <c:val>
            <c:numRef>
              <c:f>'Analysis &amp; Pivot'!$C$36:$C$43</c:f>
              <c:numCache>
                <c:formatCode>General</c:formatCode>
                <c:ptCount val="7"/>
                <c:pt idx="0">
                  <c:v>110</c:v>
                </c:pt>
                <c:pt idx="1">
                  <c:v>58</c:v>
                </c:pt>
                <c:pt idx="2">
                  <c:v>54</c:v>
                </c:pt>
                <c:pt idx="3">
                  <c:v>50</c:v>
                </c:pt>
                <c:pt idx="4">
                  <c:v>48</c:v>
                </c:pt>
                <c:pt idx="5">
                  <c:v>41</c:v>
                </c:pt>
                <c:pt idx="6">
                  <c:v>39</c:v>
                </c:pt>
              </c:numCache>
            </c:numRef>
          </c:val>
          <c:extLst>
            <c:ext xmlns:c16="http://schemas.microsoft.com/office/drawing/2014/chart" uri="{C3380CC4-5D6E-409C-BE32-E72D297353CC}">
              <c16:uniqueId val="{00000000-5405-403F-8745-7A388C4145CE}"/>
            </c:ext>
          </c:extLst>
        </c:ser>
        <c:ser>
          <c:idx val="1"/>
          <c:order val="1"/>
          <c:tx>
            <c:strRef>
              <c:f>'Analysis &amp; Pivot'!$D$35</c:f>
              <c:strCache>
                <c:ptCount val="1"/>
                <c:pt idx="0">
                  <c:v>Candidates Hired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Pivot'!$B$36:$B$43</c:f>
              <c:strCache>
                <c:ptCount val="7"/>
                <c:pt idx="0">
                  <c:v>East Midlands</c:v>
                </c:pt>
                <c:pt idx="1">
                  <c:v>Midlands</c:v>
                </c:pt>
                <c:pt idx="2">
                  <c:v>Scotland</c:v>
                </c:pt>
                <c:pt idx="3">
                  <c:v>North West</c:v>
                </c:pt>
                <c:pt idx="4">
                  <c:v>South East</c:v>
                </c:pt>
                <c:pt idx="5">
                  <c:v>London</c:v>
                </c:pt>
                <c:pt idx="6">
                  <c:v>Yorkshire</c:v>
                </c:pt>
              </c:strCache>
            </c:strRef>
          </c:cat>
          <c:val>
            <c:numRef>
              <c:f>'Analysis &amp; Pivot'!$D$36:$D$43</c:f>
              <c:numCache>
                <c:formatCode>General</c:formatCode>
                <c:ptCount val="7"/>
                <c:pt idx="0">
                  <c:v>9</c:v>
                </c:pt>
                <c:pt idx="1">
                  <c:v>6</c:v>
                </c:pt>
                <c:pt idx="2">
                  <c:v>8</c:v>
                </c:pt>
                <c:pt idx="3">
                  <c:v>2</c:v>
                </c:pt>
                <c:pt idx="4">
                  <c:v>11</c:v>
                </c:pt>
                <c:pt idx="5">
                  <c:v>3</c:v>
                </c:pt>
                <c:pt idx="6">
                  <c:v>6</c:v>
                </c:pt>
              </c:numCache>
            </c:numRef>
          </c:val>
          <c:extLst>
            <c:ext xmlns:c16="http://schemas.microsoft.com/office/drawing/2014/chart" uri="{C3380CC4-5D6E-409C-BE32-E72D297353CC}">
              <c16:uniqueId val="{00000001-5405-403F-8745-7A388C4145CE}"/>
            </c:ext>
          </c:extLst>
        </c:ser>
        <c:dLbls>
          <c:showLegendKey val="0"/>
          <c:showVal val="1"/>
          <c:showCatName val="0"/>
          <c:showSerName val="0"/>
          <c:showPercent val="0"/>
          <c:showBubbleSize val="0"/>
        </c:dLbls>
        <c:gapWidth val="150"/>
        <c:axId val="1828736255"/>
        <c:axId val="1828746815"/>
      </c:barChart>
      <c:catAx>
        <c:axId val="1828736255"/>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46815"/>
        <c:crosses val="autoZero"/>
        <c:auto val="1"/>
        <c:lblAlgn val="ctr"/>
        <c:lblOffset val="100"/>
        <c:noMultiLvlLbl val="0"/>
      </c:catAx>
      <c:valAx>
        <c:axId val="1828746815"/>
        <c:scaling>
          <c:orientation val="minMax"/>
        </c:scaling>
        <c:delete val="1"/>
        <c:axPos val="b"/>
        <c:majorGridlines>
          <c:spPr>
            <a:ln w="9525" cap="flat" cmpd="sng" algn="ctr">
              <a:solidFill>
                <a:schemeClr val="bg1">
                  <a:lumMod val="95000"/>
                  <a:alpha val="65000"/>
                </a:schemeClr>
              </a:solidFill>
              <a:round/>
            </a:ln>
            <a:effectLst/>
          </c:spPr>
        </c:majorGridlines>
        <c:numFmt formatCode="General" sourceLinked="1"/>
        <c:majorTickMark val="none"/>
        <c:minorTickMark val="none"/>
        <c:tickLblPos val="nextTo"/>
        <c:crossAx val="1828736255"/>
        <c:crosses val="max"/>
        <c:crossBetween val="between"/>
      </c:valAx>
      <c:spPr>
        <a:noFill/>
        <a:ln>
          <a:noFill/>
        </a:ln>
        <a:effectLst/>
      </c:spPr>
    </c:plotArea>
    <c:legend>
      <c:legendPos val="r"/>
      <c:layout>
        <c:manualLayout>
          <c:xMode val="edge"/>
          <c:yMode val="edge"/>
          <c:x val="0.78768042111483805"/>
          <c:y val="0.39893445610965289"/>
          <c:w val="0.20120074636257679"/>
          <c:h val="0.248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Pivot!salary comparism</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Salary Expectations vs Offers by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Pivot'!$C$87</c:f>
              <c:strCache>
                <c:ptCount val="1"/>
                <c:pt idx="0">
                  <c:v>Avg. Expected Salary</c:v>
                </c:pt>
              </c:strCache>
            </c:strRef>
          </c:tx>
          <c:spPr>
            <a:solidFill>
              <a:schemeClr val="accent1"/>
            </a:solidFill>
            <a:ln>
              <a:noFill/>
            </a:ln>
            <a:effectLst/>
          </c:spPr>
          <c:invertIfNegative val="0"/>
          <c:cat>
            <c:strRef>
              <c:f>'Analysis &amp; Pivot'!$B$88:$B$94</c:f>
              <c:strCache>
                <c:ptCount val="6"/>
                <c:pt idx="0">
                  <c:v>HR Analyst</c:v>
                </c:pt>
                <c:pt idx="1">
                  <c:v>Finance Analyst</c:v>
                </c:pt>
                <c:pt idx="2">
                  <c:v>Reporting Analyst</c:v>
                </c:pt>
                <c:pt idx="3">
                  <c:v>BI Analyst</c:v>
                </c:pt>
                <c:pt idx="4">
                  <c:v>Data Analyst</c:v>
                </c:pt>
                <c:pt idx="5">
                  <c:v>Business Analyst</c:v>
                </c:pt>
              </c:strCache>
            </c:strRef>
          </c:cat>
          <c:val>
            <c:numRef>
              <c:f>'Analysis &amp; Pivot'!$C$88:$C$94</c:f>
              <c:numCache>
                <c:formatCode>_("£"* #,##0.00_);_("£"* \(#,##0.00\);_("£"* "-"??_);_(@_)</c:formatCode>
                <c:ptCount val="6"/>
                <c:pt idx="0">
                  <c:v>41486.642857142855</c:v>
                </c:pt>
                <c:pt idx="1">
                  <c:v>41071.455696202531</c:v>
                </c:pt>
                <c:pt idx="2">
                  <c:v>40234.542857142857</c:v>
                </c:pt>
                <c:pt idx="3">
                  <c:v>40126.803571428572</c:v>
                </c:pt>
                <c:pt idx="4">
                  <c:v>39889.203125</c:v>
                </c:pt>
                <c:pt idx="5">
                  <c:v>39704.754098360652</c:v>
                </c:pt>
              </c:numCache>
            </c:numRef>
          </c:val>
          <c:extLst>
            <c:ext xmlns:c16="http://schemas.microsoft.com/office/drawing/2014/chart" uri="{C3380CC4-5D6E-409C-BE32-E72D297353CC}">
              <c16:uniqueId val="{00000000-BABE-4550-96E1-208DB6169E80}"/>
            </c:ext>
          </c:extLst>
        </c:ser>
        <c:ser>
          <c:idx val="1"/>
          <c:order val="1"/>
          <c:tx>
            <c:strRef>
              <c:f>'Analysis &amp; Pivot'!$D$87</c:f>
              <c:strCache>
                <c:ptCount val="1"/>
                <c:pt idx="0">
                  <c:v>Avg. Offered Salary</c:v>
                </c:pt>
              </c:strCache>
            </c:strRef>
          </c:tx>
          <c:spPr>
            <a:solidFill>
              <a:schemeClr val="accent2"/>
            </a:solidFill>
            <a:ln>
              <a:noFill/>
            </a:ln>
            <a:effectLst/>
          </c:spPr>
          <c:invertIfNegative val="0"/>
          <c:cat>
            <c:strRef>
              <c:f>'Analysis &amp; Pivot'!$B$88:$B$94</c:f>
              <c:strCache>
                <c:ptCount val="6"/>
                <c:pt idx="0">
                  <c:v>HR Analyst</c:v>
                </c:pt>
                <c:pt idx="1">
                  <c:v>Finance Analyst</c:v>
                </c:pt>
                <c:pt idx="2">
                  <c:v>Reporting Analyst</c:v>
                </c:pt>
                <c:pt idx="3">
                  <c:v>BI Analyst</c:v>
                </c:pt>
                <c:pt idx="4">
                  <c:v>Data Analyst</c:v>
                </c:pt>
                <c:pt idx="5">
                  <c:v>Business Analyst</c:v>
                </c:pt>
              </c:strCache>
            </c:strRef>
          </c:cat>
          <c:val>
            <c:numRef>
              <c:f>'Analysis &amp; Pivot'!$D$88:$D$94</c:f>
              <c:numCache>
                <c:formatCode>_("£"* #,##0.00_);_("£"* \(#,##0.00\);_("£"* "-"??_);_(@_)</c:formatCode>
                <c:ptCount val="6"/>
                <c:pt idx="0">
                  <c:v>42468.083333333336</c:v>
                </c:pt>
                <c:pt idx="1">
                  <c:v>40475.777777777781</c:v>
                </c:pt>
                <c:pt idx="2">
                  <c:v>39072</c:v>
                </c:pt>
                <c:pt idx="3">
                  <c:v>41265.461538461539</c:v>
                </c:pt>
                <c:pt idx="4">
                  <c:v>41447</c:v>
                </c:pt>
                <c:pt idx="5">
                  <c:v>40899.866666666669</c:v>
                </c:pt>
              </c:numCache>
            </c:numRef>
          </c:val>
          <c:extLst>
            <c:ext xmlns:c16="http://schemas.microsoft.com/office/drawing/2014/chart" uri="{C3380CC4-5D6E-409C-BE32-E72D297353CC}">
              <c16:uniqueId val="{00000001-BABE-4550-96E1-208DB6169E80}"/>
            </c:ext>
          </c:extLst>
        </c:ser>
        <c:dLbls>
          <c:showLegendKey val="0"/>
          <c:showVal val="0"/>
          <c:showCatName val="0"/>
          <c:showSerName val="0"/>
          <c:showPercent val="0"/>
          <c:showBubbleSize val="0"/>
        </c:dLbls>
        <c:gapWidth val="150"/>
        <c:axId val="1828758335"/>
        <c:axId val="1828758815"/>
      </c:barChart>
      <c:catAx>
        <c:axId val="1828758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8815"/>
        <c:crosses val="autoZero"/>
        <c:auto val="1"/>
        <c:lblAlgn val="ctr"/>
        <c:lblOffset val="100"/>
        <c:noMultiLvlLbl val="0"/>
      </c:catAx>
      <c:valAx>
        <c:axId val="1828758815"/>
        <c:scaling>
          <c:orientation val="minMax"/>
        </c:scaling>
        <c:delete val="0"/>
        <c:axPos val="l"/>
        <c:majorGridlines>
          <c:spPr>
            <a:ln w="9525" cap="flat" cmpd="sng" algn="ctr">
              <a:solidFill>
                <a:schemeClr val="bg1">
                  <a:lumMod val="95000"/>
                  <a:alpha val="70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Pivot!average hiretime by role</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Time to hire by Role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Pivot'!$C$115</c:f>
              <c:strCache>
                <c:ptCount val="1"/>
                <c:pt idx="0">
                  <c:v>Total</c:v>
                </c:pt>
              </c:strCache>
            </c:strRef>
          </c:tx>
          <c:spPr>
            <a:solidFill>
              <a:schemeClr val="accent1"/>
            </a:solidFill>
            <a:ln>
              <a:noFill/>
            </a:ln>
            <a:effectLst/>
          </c:spPr>
          <c:invertIfNegative val="0"/>
          <c:cat>
            <c:strRef>
              <c:f>'Analysis &amp; Pivot'!$B$116:$B$122</c:f>
              <c:strCache>
                <c:ptCount val="6"/>
                <c:pt idx="0">
                  <c:v>Data Analyst</c:v>
                </c:pt>
                <c:pt idx="1">
                  <c:v>Reporting Analyst</c:v>
                </c:pt>
                <c:pt idx="2">
                  <c:v>BI Analyst</c:v>
                </c:pt>
                <c:pt idx="3">
                  <c:v>Business Analyst</c:v>
                </c:pt>
                <c:pt idx="4">
                  <c:v>HR Analyst</c:v>
                </c:pt>
                <c:pt idx="5">
                  <c:v>Finance Analyst</c:v>
                </c:pt>
              </c:strCache>
            </c:strRef>
          </c:cat>
          <c:val>
            <c:numRef>
              <c:f>'Analysis &amp; Pivot'!$C$116:$C$122</c:f>
              <c:numCache>
                <c:formatCode>#,##0.00\ "days"</c:formatCode>
                <c:ptCount val="6"/>
                <c:pt idx="0">
                  <c:v>60.5</c:v>
                </c:pt>
                <c:pt idx="1">
                  <c:v>56.1</c:v>
                </c:pt>
                <c:pt idx="2">
                  <c:v>50.571428571428569</c:v>
                </c:pt>
                <c:pt idx="3">
                  <c:v>49.125</c:v>
                </c:pt>
                <c:pt idx="4">
                  <c:v>48.285714285714285</c:v>
                </c:pt>
                <c:pt idx="5">
                  <c:v>43.142857142857146</c:v>
                </c:pt>
              </c:numCache>
            </c:numRef>
          </c:val>
          <c:extLst>
            <c:ext xmlns:c16="http://schemas.microsoft.com/office/drawing/2014/chart" uri="{C3380CC4-5D6E-409C-BE32-E72D297353CC}">
              <c16:uniqueId val="{00000000-762C-40BB-AB27-321F01427D0A}"/>
            </c:ext>
          </c:extLst>
        </c:ser>
        <c:dLbls>
          <c:showLegendKey val="0"/>
          <c:showVal val="0"/>
          <c:showCatName val="0"/>
          <c:showSerName val="0"/>
          <c:showPercent val="0"/>
          <c:showBubbleSize val="0"/>
        </c:dLbls>
        <c:gapWidth val="219"/>
        <c:overlap val="-27"/>
        <c:axId val="1828754015"/>
        <c:axId val="1828754975"/>
      </c:barChart>
      <c:catAx>
        <c:axId val="182875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4975"/>
        <c:crosses val="autoZero"/>
        <c:auto val="1"/>
        <c:lblAlgn val="ctr"/>
        <c:lblOffset val="100"/>
        <c:noMultiLvlLbl val="0"/>
      </c:catAx>
      <c:valAx>
        <c:axId val="1828754975"/>
        <c:scaling>
          <c:orientation val="minMax"/>
        </c:scaling>
        <c:delete val="0"/>
        <c:axPos val="l"/>
        <c:majorGridlines>
          <c:spPr>
            <a:ln w="9525" cap="flat" cmpd="sng" algn="ctr">
              <a:solidFill>
                <a:schemeClr val="bg1">
                  <a:lumMod val="95000"/>
                  <a:alpha val="70000"/>
                </a:schemeClr>
              </a:solidFill>
              <a:round/>
            </a:ln>
            <a:effectLst/>
          </c:spPr>
        </c:majorGridlines>
        <c:numFmt formatCode="#,##0\ &quot;days&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Pivot!monthly recruitment</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Monthly Recruitment Activity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7171296296296296"/>
          <c:w val="0.70115441819772528"/>
          <c:h val="0.61999270924467775"/>
        </c:manualLayout>
      </c:layout>
      <c:lineChart>
        <c:grouping val="standard"/>
        <c:varyColors val="0"/>
        <c:ser>
          <c:idx val="0"/>
          <c:order val="0"/>
          <c:tx>
            <c:strRef>
              <c:f>'Analysis &amp; Pivot'!$C$8</c:f>
              <c:strCache>
                <c:ptCount val="1"/>
                <c:pt idx="0">
                  <c:v>Applications Received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Pivot'!$C$9:$C$28</c:f>
              <c:numCache>
                <c:formatCode>General</c:formatCode>
                <c:ptCount val="17"/>
                <c:pt idx="0">
                  <c:v>23</c:v>
                </c:pt>
                <c:pt idx="1">
                  <c:v>22</c:v>
                </c:pt>
                <c:pt idx="2">
                  <c:v>24</c:v>
                </c:pt>
                <c:pt idx="3">
                  <c:v>18</c:v>
                </c:pt>
                <c:pt idx="4">
                  <c:v>27</c:v>
                </c:pt>
                <c:pt idx="5">
                  <c:v>28</c:v>
                </c:pt>
                <c:pt idx="6">
                  <c:v>27</c:v>
                </c:pt>
                <c:pt idx="7">
                  <c:v>20</c:v>
                </c:pt>
                <c:pt idx="8">
                  <c:v>21</c:v>
                </c:pt>
                <c:pt idx="9">
                  <c:v>22</c:v>
                </c:pt>
                <c:pt idx="10">
                  <c:v>25</c:v>
                </c:pt>
                <c:pt idx="11">
                  <c:v>16</c:v>
                </c:pt>
                <c:pt idx="12">
                  <c:v>27</c:v>
                </c:pt>
                <c:pt idx="13">
                  <c:v>31</c:v>
                </c:pt>
                <c:pt idx="14">
                  <c:v>30</c:v>
                </c:pt>
                <c:pt idx="15">
                  <c:v>28</c:v>
                </c:pt>
                <c:pt idx="16">
                  <c:v>11</c:v>
                </c:pt>
              </c:numCache>
            </c:numRef>
          </c:val>
          <c:smooth val="0"/>
          <c:extLst>
            <c:ext xmlns:c16="http://schemas.microsoft.com/office/drawing/2014/chart" uri="{C3380CC4-5D6E-409C-BE32-E72D297353CC}">
              <c16:uniqueId val="{00000000-8FFB-4918-871C-EF332D35C3F8}"/>
            </c:ext>
          </c:extLst>
        </c:ser>
        <c:ser>
          <c:idx val="1"/>
          <c:order val="1"/>
          <c:tx>
            <c:strRef>
              <c:f>'Analysis &amp; Pivot'!$D$8</c:f>
              <c:strCache>
                <c:ptCount val="1"/>
                <c:pt idx="0">
                  <c:v>Candidates Interviewed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Pivot'!$D$9:$D$28</c:f>
              <c:numCache>
                <c:formatCode>General</c:formatCode>
                <c:ptCount val="17"/>
                <c:pt idx="0">
                  <c:v>7</c:v>
                </c:pt>
                <c:pt idx="1">
                  <c:v>8</c:v>
                </c:pt>
                <c:pt idx="2">
                  <c:v>9</c:v>
                </c:pt>
                <c:pt idx="3">
                  <c:v>11</c:v>
                </c:pt>
                <c:pt idx="4">
                  <c:v>12</c:v>
                </c:pt>
                <c:pt idx="5">
                  <c:v>14</c:v>
                </c:pt>
                <c:pt idx="6">
                  <c:v>12</c:v>
                </c:pt>
                <c:pt idx="7">
                  <c:v>7</c:v>
                </c:pt>
                <c:pt idx="8">
                  <c:v>13</c:v>
                </c:pt>
                <c:pt idx="9">
                  <c:v>10</c:v>
                </c:pt>
                <c:pt idx="10">
                  <c:v>10</c:v>
                </c:pt>
                <c:pt idx="11">
                  <c:v>10</c:v>
                </c:pt>
                <c:pt idx="12">
                  <c:v>10</c:v>
                </c:pt>
                <c:pt idx="13">
                  <c:v>13</c:v>
                </c:pt>
                <c:pt idx="14">
                  <c:v>13</c:v>
                </c:pt>
                <c:pt idx="15">
                  <c:v>9</c:v>
                </c:pt>
                <c:pt idx="16">
                  <c:v>3</c:v>
                </c:pt>
              </c:numCache>
            </c:numRef>
          </c:val>
          <c:smooth val="0"/>
          <c:extLst>
            <c:ext xmlns:c16="http://schemas.microsoft.com/office/drawing/2014/chart" uri="{C3380CC4-5D6E-409C-BE32-E72D297353CC}">
              <c16:uniqueId val="{00000001-8FFB-4918-871C-EF332D35C3F8}"/>
            </c:ext>
          </c:extLst>
        </c:ser>
        <c:ser>
          <c:idx val="2"/>
          <c:order val="2"/>
          <c:tx>
            <c:strRef>
              <c:f>'Analysis &amp; Pivot'!$E$8</c:f>
              <c:strCache>
                <c:ptCount val="1"/>
                <c:pt idx="0">
                  <c:v>Candidates Hired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Pivot'!$E$9:$E$28</c:f>
              <c:numCache>
                <c:formatCode>General</c:formatCode>
                <c:ptCount val="17"/>
                <c:pt idx="0">
                  <c:v>1</c:v>
                </c:pt>
                <c:pt idx="1">
                  <c:v>2</c:v>
                </c:pt>
                <c:pt idx="2">
                  <c:v>2</c:v>
                </c:pt>
                <c:pt idx="3">
                  <c:v>4</c:v>
                </c:pt>
                <c:pt idx="4">
                  <c:v>3</c:v>
                </c:pt>
                <c:pt idx="5">
                  <c:v>5</c:v>
                </c:pt>
                <c:pt idx="6">
                  <c:v>5</c:v>
                </c:pt>
                <c:pt idx="7">
                  <c:v>2</c:v>
                </c:pt>
                <c:pt idx="8">
                  <c:v>4</c:v>
                </c:pt>
                <c:pt idx="9">
                  <c:v>4</c:v>
                </c:pt>
                <c:pt idx="10">
                  <c:v>3</c:v>
                </c:pt>
                <c:pt idx="11">
                  <c:v>3</c:v>
                </c:pt>
                <c:pt idx="12">
                  <c:v>0</c:v>
                </c:pt>
                <c:pt idx="13">
                  <c:v>2</c:v>
                </c:pt>
                <c:pt idx="14">
                  <c:v>2</c:v>
                </c:pt>
                <c:pt idx="15">
                  <c:v>2</c:v>
                </c:pt>
                <c:pt idx="16">
                  <c:v>1</c:v>
                </c:pt>
              </c:numCache>
            </c:numRef>
          </c:val>
          <c:smooth val="0"/>
          <c:extLst>
            <c:ext xmlns:c16="http://schemas.microsoft.com/office/drawing/2014/chart" uri="{C3380CC4-5D6E-409C-BE32-E72D297353CC}">
              <c16:uniqueId val="{00000002-8FFB-4918-871C-EF332D35C3F8}"/>
            </c:ext>
          </c:extLst>
        </c:ser>
        <c:dLbls>
          <c:showLegendKey val="0"/>
          <c:showVal val="0"/>
          <c:showCatName val="0"/>
          <c:showSerName val="0"/>
          <c:showPercent val="0"/>
          <c:showBubbleSize val="0"/>
        </c:dLbls>
        <c:marker val="1"/>
        <c:smooth val="0"/>
        <c:axId val="1796214399"/>
        <c:axId val="1796211519"/>
      </c:lineChart>
      <c:catAx>
        <c:axId val="179621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11519"/>
        <c:crosses val="autoZero"/>
        <c:auto val="1"/>
        <c:lblAlgn val="ctr"/>
        <c:lblOffset val="100"/>
        <c:noMultiLvlLbl val="0"/>
      </c:catAx>
      <c:valAx>
        <c:axId val="1796211519"/>
        <c:scaling>
          <c:orientation val="minMax"/>
        </c:scaling>
        <c:delete val="0"/>
        <c:axPos val="l"/>
        <c:majorGridlines>
          <c:spPr>
            <a:ln w="9525" cap="flat" cmpd="sng" algn="ctr">
              <a:solidFill>
                <a:schemeClr val="bg1">
                  <a:lumMod val="95000"/>
                  <a:alpha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14399"/>
        <c:crosses val="autoZero"/>
        <c:crossBetween val="between"/>
      </c:valAx>
      <c:spPr>
        <a:noFill/>
        <a:ln>
          <a:noFill/>
        </a:ln>
        <a:effectLst/>
      </c:spPr>
    </c:plotArea>
    <c:legend>
      <c:legendPos val="r"/>
      <c:layout>
        <c:manualLayout>
          <c:xMode val="edge"/>
          <c:yMode val="edge"/>
          <c:x val="0.78163591491362083"/>
          <c:y val="0.29613379439968612"/>
          <c:w val="0.19891979199065812"/>
          <c:h val="0.585248309778195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Pivot!salary comparism</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Salary Expectations vs Offers by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3328367737817"/>
          <c:y val="0.1719119351100811"/>
          <c:w val="0.60530006384337098"/>
          <c:h val="0.52249194806616728"/>
        </c:manualLayout>
      </c:layout>
      <c:barChart>
        <c:barDir val="col"/>
        <c:grouping val="clustered"/>
        <c:varyColors val="0"/>
        <c:ser>
          <c:idx val="0"/>
          <c:order val="0"/>
          <c:tx>
            <c:strRef>
              <c:f>'Analysis &amp; Pivot'!$C$87</c:f>
              <c:strCache>
                <c:ptCount val="1"/>
                <c:pt idx="0">
                  <c:v>Avg. Expected Salary</c:v>
                </c:pt>
              </c:strCache>
            </c:strRef>
          </c:tx>
          <c:spPr>
            <a:solidFill>
              <a:schemeClr val="accent1"/>
            </a:solidFill>
            <a:ln>
              <a:noFill/>
            </a:ln>
            <a:effectLst/>
          </c:spPr>
          <c:invertIfNegative val="0"/>
          <c:cat>
            <c:strRef>
              <c:f>'Analysis &amp; Pivot'!$B$88:$B$94</c:f>
              <c:strCache>
                <c:ptCount val="6"/>
                <c:pt idx="0">
                  <c:v>HR Analyst</c:v>
                </c:pt>
                <c:pt idx="1">
                  <c:v>Finance Analyst</c:v>
                </c:pt>
                <c:pt idx="2">
                  <c:v>Reporting Analyst</c:v>
                </c:pt>
                <c:pt idx="3">
                  <c:v>BI Analyst</c:v>
                </c:pt>
                <c:pt idx="4">
                  <c:v>Data Analyst</c:v>
                </c:pt>
                <c:pt idx="5">
                  <c:v>Business Analyst</c:v>
                </c:pt>
              </c:strCache>
            </c:strRef>
          </c:cat>
          <c:val>
            <c:numRef>
              <c:f>'Analysis &amp; Pivot'!$C$88:$C$94</c:f>
              <c:numCache>
                <c:formatCode>_("£"* #,##0.00_);_("£"* \(#,##0.00\);_("£"* "-"??_);_(@_)</c:formatCode>
                <c:ptCount val="6"/>
                <c:pt idx="0">
                  <c:v>41486.642857142855</c:v>
                </c:pt>
                <c:pt idx="1">
                  <c:v>41071.455696202531</c:v>
                </c:pt>
                <c:pt idx="2">
                  <c:v>40234.542857142857</c:v>
                </c:pt>
                <c:pt idx="3">
                  <c:v>40126.803571428572</c:v>
                </c:pt>
                <c:pt idx="4">
                  <c:v>39889.203125</c:v>
                </c:pt>
                <c:pt idx="5">
                  <c:v>39704.754098360652</c:v>
                </c:pt>
              </c:numCache>
            </c:numRef>
          </c:val>
          <c:extLst>
            <c:ext xmlns:c16="http://schemas.microsoft.com/office/drawing/2014/chart" uri="{C3380CC4-5D6E-409C-BE32-E72D297353CC}">
              <c16:uniqueId val="{00000000-1F5D-4CE1-8F49-0A7471079035}"/>
            </c:ext>
          </c:extLst>
        </c:ser>
        <c:ser>
          <c:idx val="1"/>
          <c:order val="1"/>
          <c:tx>
            <c:strRef>
              <c:f>'Analysis &amp; Pivot'!$D$87</c:f>
              <c:strCache>
                <c:ptCount val="1"/>
                <c:pt idx="0">
                  <c:v>Avg. Offered Salary</c:v>
                </c:pt>
              </c:strCache>
            </c:strRef>
          </c:tx>
          <c:spPr>
            <a:solidFill>
              <a:schemeClr val="accent2"/>
            </a:solidFill>
            <a:ln>
              <a:noFill/>
            </a:ln>
            <a:effectLst/>
          </c:spPr>
          <c:invertIfNegative val="0"/>
          <c:cat>
            <c:strRef>
              <c:f>'Analysis &amp; Pivot'!$B$88:$B$94</c:f>
              <c:strCache>
                <c:ptCount val="6"/>
                <c:pt idx="0">
                  <c:v>HR Analyst</c:v>
                </c:pt>
                <c:pt idx="1">
                  <c:v>Finance Analyst</c:v>
                </c:pt>
                <c:pt idx="2">
                  <c:v>Reporting Analyst</c:v>
                </c:pt>
                <c:pt idx="3">
                  <c:v>BI Analyst</c:v>
                </c:pt>
                <c:pt idx="4">
                  <c:v>Data Analyst</c:v>
                </c:pt>
                <c:pt idx="5">
                  <c:v>Business Analyst</c:v>
                </c:pt>
              </c:strCache>
            </c:strRef>
          </c:cat>
          <c:val>
            <c:numRef>
              <c:f>'Analysis &amp; Pivot'!$D$88:$D$94</c:f>
              <c:numCache>
                <c:formatCode>_("£"* #,##0.00_);_("£"* \(#,##0.00\);_("£"* "-"??_);_(@_)</c:formatCode>
                <c:ptCount val="6"/>
                <c:pt idx="0">
                  <c:v>42468.083333333336</c:v>
                </c:pt>
                <c:pt idx="1">
                  <c:v>40475.777777777781</c:v>
                </c:pt>
                <c:pt idx="2">
                  <c:v>39072</c:v>
                </c:pt>
                <c:pt idx="3">
                  <c:v>41265.461538461539</c:v>
                </c:pt>
                <c:pt idx="4">
                  <c:v>41447</c:v>
                </c:pt>
                <c:pt idx="5">
                  <c:v>40899.866666666669</c:v>
                </c:pt>
              </c:numCache>
            </c:numRef>
          </c:val>
          <c:extLst>
            <c:ext xmlns:c16="http://schemas.microsoft.com/office/drawing/2014/chart" uri="{C3380CC4-5D6E-409C-BE32-E72D297353CC}">
              <c16:uniqueId val="{00000001-1F5D-4CE1-8F49-0A7471079035}"/>
            </c:ext>
          </c:extLst>
        </c:ser>
        <c:dLbls>
          <c:showLegendKey val="0"/>
          <c:showVal val="0"/>
          <c:showCatName val="0"/>
          <c:showSerName val="0"/>
          <c:showPercent val="0"/>
          <c:showBubbleSize val="0"/>
        </c:dLbls>
        <c:gapWidth val="150"/>
        <c:axId val="1828758335"/>
        <c:axId val="1828758815"/>
      </c:barChart>
      <c:catAx>
        <c:axId val="1828758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8815"/>
        <c:crosses val="autoZero"/>
        <c:auto val="1"/>
        <c:lblAlgn val="ctr"/>
        <c:lblOffset val="100"/>
        <c:noMultiLvlLbl val="0"/>
      </c:catAx>
      <c:valAx>
        <c:axId val="1828758815"/>
        <c:scaling>
          <c:orientation val="minMax"/>
        </c:scaling>
        <c:delete val="0"/>
        <c:axPos val="l"/>
        <c:majorGridlines>
          <c:spPr>
            <a:ln w="9525" cap="flat" cmpd="sng" algn="ctr">
              <a:solidFill>
                <a:schemeClr val="bg1">
                  <a:lumMod val="95000"/>
                  <a:alpha val="70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8335"/>
        <c:crosses val="autoZero"/>
        <c:crossBetween val="between"/>
      </c:valAx>
      <c:spPr>
        <a:noFill/>
        <a:ln>
          <a:noFill/>
        </a:ln>
        <a:effectLst/>
      </c:spPr>
    </c:plotArea>
    <c:legend>
      <c:legendPos val="r"/>
      <c:layout>
        <c:manualLayout>
          <c:xMode val="edge"/>
          <c:yMode val="edge"/>
          <c:x val="0.76923334752074912"/>
          <c:y val="0.30148265070574176"/>
          <c:w val="0.21049638220898065"/>
          <c:h val="0.337196923385735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Pivot!regional recruitment</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Regional Recruitment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37559438148759"/>
          <c:y val="0.12078703703703704"/>
          <c:w val="0.63488161617045957"/>
          <c:h val="0.82828703703703699"/>
        </c:manualLayout>
      </c:layout>
      <c:barChart>
        <c:barDir val="bar"/>
        <c:grouping val="clustered"/>
        <c:varyColors val="0"/>
        <c:ser>
          <c:idx val="0"/>
          <c:order val="0"/>
          <c:tx>
            <c:strRef>
              <c:f>'Analysis &amp; Pivot'!$C$35</c:f>
              <c:strCache>
                <c:ptCount val="1"/>
                <c:pt idx="0">
                  <c:v>Applications Received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Pivot'!$B$36:$B$43</c:f>
              <c:strCache>
                <c:ptCount val="7"/>
                <c:pt idx="0">
                  <c:v>East Midlands</c:v>
                </c:pt>
                <c:pt idx="1">
                  <c:v>Midlands</c:v>
                </c:pt>
                <c:pt idx="2">
                  <c:v>Scotland</c:v>
                </c:pt>
                <c:pt idx="3">
                  <c:v>North West</c:v>
                </c:pt>
                <c:pt idx="4">
                  <c:v>South East</c:v>
                </c:pt>
                <c:pt idx="5">
                  <c:v>London</c:v>
                </c:pt>
                <c:pt idx="6">
                  <c:v>Yorkshire</c:v>
                </c:pt>
              </c:strCache>
            </c:strRef>
          </c:cat>
          <c:val>
            <c:numRef>
              <c:f>'Analysis &amp; Pivot'!$C$36:$C$43</c:f>
              <c:numCache>
                <c:formatCode>General</c:formatCode>
                <c:ptCount val="7"/>
                <c:pt idx="0">
                  <c:v>110</c:v>
                </c:pt>
                <c:pt idx="1">
                  <c:v>58</c:v>
                </c:pt>
                <c:pt idx="2">
                  <c:v>54</c:v>
                </c:pt>
                <c:pt idx="3">
                  <c:v>50</c:v>
                </c:pt>
                <c:pt idx="4">
                  <c:v>48</c:v>
                </c:pt>
                <c:pt idx="5">
                  <c:v>41</c:v>
                </c:pt>
                <c:pt idx="6">
                  <c:v>39</c:v>
                </c:pt>
              </c:numCache>
            </c:numRef>
          </c:val>
          <c:extLst>
            <c:ext xmlns:c16="http://schemas.microsoft.com/office/drawing/2014/chart" uri="{C3380CC4-5D6E-409C-BE32-E72D297353CC}">
              <c16:uniqueId val="{00000000-B87B-4FDF-85AF-F535870F73DB}"/>
            </c:ext>
          </c:extLst>
        </c:ser>
        <c:ser>
          <c:idx val="1"/>
          <c:order val="1"/>
          <c:tx>
            <c:strRef>
              <c:f>'Analysis &amp; Pivot'!$D$35</c:f>
              <c:strCache>
                <c:ptCount val="1"/>
                <c:pt idx="0">
                  <c:v>Candidates Hired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Pivot'!$B$36:$B$43</c:f>
              <c:strCache>
                <c:ptCount val="7"/>
                <c:pt idx="0">
                  <c:v>East Midlands</c:v>
                </c:pt>
                <c:pt idx="1">
                  <c:v>Midlands</c:v>
                </c:pt>
                <c:pt idx="2">
                  <c:v>Scotland</c:v>
                </c:pt>
                <c:pt idx="3">
                  <c:v>North West</c:v>
                </c:pt>
                <c:pt idx="4">
                  <c:v>South East</c:v>
                </c:pt>
                <c:pt idx="5">
                  <c:v>London</c:v>
                </c:pt>
                <c:pt idx="6">
                  <c:v>Yorkshire</c:v>
                </c:pt>
              </c:strCache>
            </c:strRef>
          </c:cat>
          <c:val>
            <c:numRef>
              <c:f>'Analysis &amp; Pivot'!$D$36:$D$43</c:f>
              <c:numCache>
                <c:formatCode>General</c:formatCode>
                <c:ptCount val="7"/>
                <c:pt idx="0">
                  <c:v>9</c:v>
                </c:pt>
                <c:pt idx="1">
                  <c:v>6</c:v>
                </c:pt>
                <c:pt idx="2">
                  <c:v>8</c:v>
                </c:pt>
                <c:pt idx="3">
                  <c:v>2</c:v>
                </c:pt>
                <c:pt idx="4">
                  <c:v>11</c:v>
                </c:pt>
                <c:pt idx="5">
                  <c:v>3</c:v>
                </c:pt>
                <c:pt idx="6">
                  <c:v>6</c:v>
                </c:pt>
              </c:numCache>
            </c:numRef>
          </c:val>
          <c:extLst>
            <c:ext xmlns:c16="http://schemas.microsoft.com/office/drawing/2014/chart" uri="{C3380CC4-5D6E-409C-BE32-E72D297353CC}">
              <c16:uniqueId val="{00000001-B87B-4FDF-85AF-F535870F73DB}"/>
            </c:ext>
          </c:extLst>
        </c:ser>
        <c:dLbls>
          <c:showLegendKey val="0"/>
          <c:showVal val="1"/>
          <c:showCatName val="0"/>
          <c:showSerName val="0"/>
          <c:showPercent val="0"/>
          <c:showBubbleSize val="0"/>
        </c:dLbls>
        <c:gapWidth val="150"/>
        <c:axId val="1828736255"/>
        <c:axId val="1828746815"/>
      </c:barChart>
      <c:catAx>
        <c:axId val="1828736255"/>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46815"/>
        <c:crosses val="autoZero"/>
        <c:auto val="1"/>
        <c:lblAlgn val="ctr"/>
        <c:lblOffset val="100"/>
        <c:noMultiLvlLbl val="0"/>
      </c:catAx>
      <c:valAx>
        <c:axId val="1828746815"/>
        <c:scaling>
          <c:orientation val="minMax"/>
        </c:scaling>
        <c:delete val="1"/>
        <c:axPos val="b"/>
        <c:numFmt formatCode="General" sourceLinked="1"/>
        <c:majorTickMark val="none"/>
        <c:minorTickMark val="none"/>
        <c:tickLblPos val="nextTo"/>
        <c:crossAx val="1828736255"/>
        <c:crosses val="max"/>
        <c:crossBetween val="between"/>
      </c:valAx>
      <c:spPr>
        <a:noFill/>
        <a:ln>
          <a:noFill/>
        </a:ln>
        <a:effectLst/>
      </c:spPr>
    </c:plotArea>
    <c:legend>
      <c:legendPos val="r"/>
      <c:layout>
        <c:manualLayout>
          <c:xMode val="edge"/>
          <c:yMode val="edge"/>
          <c:x val="0.78768042111483805"/>
          <c:y val="0.39893445610965289"/>
          <c:w val="0.20120074636257679"/>
          <c:h val="0.2488436862058909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Pivot!recruiting channel</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Recruiting channel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3980752405948"/>
          <c:y val="0.17171296296296296"/>
          <c:w val="0.57324795034453802"/>
          <c:h val="0.77736111111111106"/>
        </c:manualLayout>
      </c:layout>
      <c:barChart>
        <c:barDir val="bar"/>
        <c:grouping val="clustered"/>
        <c:varyColors val="0"/>
        <c:ser>
          <c:idx val="0"/>
          <c:order val="0"/>
          <c:tx>
            <c:strRef>
              <c:f>'Analysis &amp; Pivot'!$C$66</c:f>
              <c:strCache>
                <c:ptCount val="1"/>
                <c:pt idx="0">
                  <c:v>Applications received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Pivot'!$B$67:$B$72</c:f>
              <c:strCache>
                <c:ptCount val="5"/>
                <c:pt idx="0">
                  <c:v>Linkedln</c:v>
                </c:pt>
                <c:pt idx="1">
                  <c:v>Reed</c:v>
                </c:pt>
                <c:pt idx="2">
                  <c:v>Indeed</c:v>
                </c:pt>
                <c:pt idx="3">
                  <c:v>Referral</c:v>
                </c:pt>
                <c:pt idx="4">
                  <c:v>CV Library</c:v>
                </c:pt>
              </c:strCache>
            </c:strRef>
          </c:cat>
          <c:val>
            <c:numRef>
              <c:f>'Analysis &amp; Pivot'!$C$67:$C$72</c:f>
              <c:numCache>
                <c:formatCode>General</c:formatCode>
                <c:ptCount val="5"/>
                <c:pt idx="0">
                  <c:v>182</c:v>
                </c:pt>
                <c:pt idx="1">
                  <c:v>61</c:v>
                </c:pt>
                <c:pt idx="2">
                  <c:v>55</c:v>
                </c:pt>
                <c:pt idx="3">
                  <c:v>53</c:v>
                </c:pt>
                <c:pt idx="4">
                  <c:v>49</c:v>
                </c:pt>
              </c:numCache>
            </c:numRef>
          </c:val>
          <c:extLst>
            <c:ext xmlns:c16="http://schemas.microsoft.com/office/drawing/2014/chart" uri="{C3380CC4-5D6E-409C-BE32-E72D297353CC}">
              <c16:uniqueId val="{00000000-E899-41EA-A9A0-3FA3778B047A}"/>
            </c:ext>
          </c:extLst>
        </c:ser>
        <c:ser>
          <c:idx val="1"/>
          <c:order val="1"/>
          <c:tx>
            <c:strRef>
              <c:f>'Analysis &amp; Pivot'!$D$66</c:f>
              <c:strCache>
                <c:ptCount val="1"/>
                <c:pt idx="0">
                  <c:v>Candidates hired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Pivot'!$B$67:$B$72</c:f>
              <c:strCache>
                <c:ptCount val="5"/>
                <c:pt idx="0">
                  <c:v>Linkedln</c:v>
                </c:pt>
                <c:pt idx="1">
                  <c:v>Reed</c:v>
                </c:pt>
                <c:pt idx="2">
                  <c:v>Indeed</c:v>
                </c:pt>
                <c:pt idx="3">
                  <c:v>Referral</c:v>
                </c:pt>
                <c:pt idx="4">
                  <c:v>CV Library</c:v>
                </c:pt>
              </c:strCache>
            </c:strRef>
          </c:cat>
          <c:val>
            <c:numRef>
              <c:f>'Analysis &amp; Pivot'!$D$67:$D$72</c:f>
              <c:numCache>
                <c:formatCode>General</c:formatCode>
                <c:ptCount val="5"/>
                <c:pt idx="0">
                  <c:v>23</c:v>
                </c:pt>
                <c:pt idx="1">
                  <c:v>5</c:v>
                </c:pt>
                <c:pt idx="2">
                  <c:v>8</c:v>
                </c:pt>
                <c:pt idx="3">
                  <c:v>3</c:v>
                </c:pt>
                <c:pt idx="4">
                  <c:v>6</c:v>
                </c:pt>
              </c:numCache>
            </c:numRef>
          </c:val>
          <c:extLst>
            <c:ext xmlns:c16="http://schemas.microsoft.com/office/drawing/2014/chart" uri="{C3380CC4-5D6E-409C-BE32-E72D297353CC}">
              <c16:uniqueId val="{00000001-E899-41EA-A9A0-3FA3778B047A}"/>
            </c:ext>
          </c:extLst>
        </c:ser>
        <c:dLbls>
          <c:showLegendKey val="0"/>
          <c:showVal val="1"/>
          <c:showCatName val="0"/>
          <c:showSerName val="0"/>
          <c:showPercent val="0"/>
          <c:showBubbleSize val="0"/>
        </c:dLbls>
        <c:gapWidth val="150"/>
        <c:axId val="1122576352"/>
        <c:axId val="1119602416"/>
      </c:barChart>
      <c:catAx>
        <c:axId val="1122576352"/>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02416"/>
        <c:crosses val="autoZero"/>
        <c:auto val="1"/>
        <c:lblAlgn val="ctr"/>
        <c:lblOffset val="100"/>
        <c:noMultiLvlLbl val="0"/>
      </c:catAx>
      <c:valAx>
        <c:axId val="1119602416"/>
        <c:scaling>
          <c:orientation val="minMax"/>
        </c:scaling>
        <c:delete val="1"/>
        <c:axPos val="b"/>
        <c:numFmt formatCode="General" sourceLinked="1"/>
        <c:majorTickMark val="none"/>
        <c:minorTickMark val="none"/>
        <c:tickLblPos val="nextTo"/>
        <c:crossAx val="1122576352"/>
        <c:crosses val="max"/>
        <c:crossBetween val="between"/>
      </c:valAx>
      <c:spPr>
        <a:noFill/>
        <a:ln>
          <a:noFill/>
        </a:ln>
        <a:effectLst/>
      </c:spPr>
    </c:plotArea>
    <c:legend>
      <c:legendPos val="r"/>
      <c:layout>
        <c:manualLayout>
          <c:xMode val="edge"/>
          <c:yMode val="edge"/>
          <c:x val="0.78900856508511952"/>
          <c:y val="0.33874927092446772"/>
          <c:w val="0.19432478137156323"/>
          <c:h val="0.299769612131816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Pivot!average hiretime by role</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Time to hire by Role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Pivot'!$C$115</c:f>
              <c:strCache>
                <c:ptCount val="1"/>
                <c:pt idx="0">
                  <c:v>Total</c:v>
                </c:pt>
              </c:strCache>
            </c:strRef>
          </c:tx>
          <c:spPr>
            <a:solidFill>
              <a:schemeClr val="accent1"/>
            </a:solidFill>
            <a:ln>
              <a:noFill/>
            </a:ln>
            <a:effectLst/>
          </c:spPr>
          <c:invertIfNegative val="0"/>
          <c:cat>
            <c:strRef>
              <c:f>'Analysis &amp; Pivot'!$B$116:$B$122</c:f>
              <c:strCache>
                <c:ptCount val="6"/>
                <c:pt idx="0">
                  <c:v>Data Analyst</c:v>
                </c:pt>
                <c:pt idx="1">
                  <c:v>Reporting Analyst</c:v>
                </c:pt>
                <c:pt idx="2">
                  <c:v>BI Analyst</c:v>
                </c:pt>
                <c:pt idx="3">
                  <c:v>Business Analyst</c:v>
                </c:pt>
                <c:pt idx="4">
                  <c:v>HR Analyst</c:v>
                </c:pt>
                <c:pt idx="5">
                  <c:v>Finance Analyst</c:v>
                </c:pt>
              </c:strCache>
            </c:strRef>
          </c:cat>
          <c:val>
            <c:numRef>
              <c:f>'Analysis &amp; Pivot'!$C$116:$C$122</c:f>
              <c:numCache>
                <c:formatCode>#,##0.00\ "days"</c:formatCode>
                <c:ptCount val="6"/>
                <c:pt idx="0">
                  <c:v>60.5</c:v>
                </c:pt>
                <c:pt idx="1">
                  <c:v>56.1</c:v>
                </c:pt>
                <c:pt idx="2">
                  <c:v>50.571428571428569</c:v>
                </c:pt>
                <c:pt idx="3">
                  <c:v>49.125</c:v>
                </c:pt>
                <c:pt idx="4">
                  <c:v>48.285714285714285</c:v>
                </c:pt>
                <c:pt idx="5">
                  <c:v>43.142857142857146</c:v>
                </c:pt>
              </c:numCache>
            </c:numRef>
          </c:val>
          <c:extLst>
            <c:ext xmlns:c16="http://schemas.microsoft.com/office/drawing/2014/chart" uri="{C3380CC4-5D6E-409C-BE32-E72D297353CC}">
              <c16:uniqueId val="{00000000-CBFB-474B-A7F4-56F6AA8365D0}"/>
            </c:ext>
          </c:extLst>
        </c:ser>
        <c:dLbls>
          <c:showLegendKey val="0"/>
          <c:showVal val="0"/>
          <c:showCatName val="0"/>
          <c:showSerName val="0"/>
          <c:showPercent val="0"/>
          <c:showBubbleSize val="0"/>
        </c:dLbls>
        <c:gapWidth val="219"/>
        <c:overlap val="-27"/>
        <c:axId val="1828754015"/>
        <c:axId val="1828754975"/>
      </c:barChart>
      <c:catAx>
        <c:axId val="182875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4975"/>
        <c:crosses val="autoZero"/>
        <c:auto val="1"/>
        <c:lblAlgn val="ctr"/>
        <c:lblOffset val="100"/>
        <c:noMultiLvlLbl val="0"/>
      </c:catAx>
      <c:valAx>
        <c:axId val="1828754975"/>
        <c:scaling>
          <c:orientation val="minMax"/>
        </c:scaling>
        <c:delete val="0"/>
        <c:axPos val="l"/>
        <c:majorGridlines>
          <c:spPr>
            <a:ln w="9525" cap="flat" cmpd="sng" algn="ctr">
              <a:solidFill>
                <a:schemeClr val="bg1">
                  <a:lumMod val="95000"/>
                  <a:alpha val="70000"/>
                </a:schemeClr>
              </a:solidFill>
              <a:round/>
            </a:ln>
            <a:effectLst/>
          </c:spPr>
        </c:majorGridlines>
        <c:numFmt formatCode="#,##0\ &quot;days&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111125</xdr:colOff>
      <xdr:row>64</xdr:row>
      <xdr:rowOff>150812</xdr:rowOff>
    </xdr:from>
    <xdr:to>
      <xdr:col>10</xdr:col>
      <xdr:colOff>234950</xdr:colOff>
      <xdr:row>79</xdr:row>
      <xdr:rowOff>173037</xdr:rowOff>
    </xdr:to>
    <xdr:graphicFrame macro="">
      <xdr:nvGraphicFramePr>
        <xdr:cNvPr id="10" name="Chart 9">
          <a:extLst>
            <a:ext uri="{FF2B5EF4-FFF2-40B4-BE49-F238E27FC236}">
              <a16:creationId xmlns:a16="http://schemas.microsoft.com/office/drawing/2014/main" id="{E5119BCF-0B2D-0F68-09CE-8ECCA9E01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107950</xdr:colOff>
      <xdr:row>9</xdr:row>
      <xdr:rowOff>44450</xdr:rowOff>
    </xdr:from>
    <xdr:to>
      <xdr:col>12</xdr:col>
      <xdr:colOff>95250</xdr:colOff>
      <xdr:row>24</xdr:row>
      <xdr:rowOff>25400</xdr:rowOff>
    </xdr:to>
    <xdr:graphicFrame macro="">
      <xdr:nvGraphicFramePr>
        <xdr:cNvPr id="12" name="Chart 11">
          <a:extLst>
            <a:ext uri="{FF2B5EF4-FFF2-40B4-BE49-F238E27FC236}">
              <a16:creationId xmlns:a16="http://schemas.microsoft.com/office/drawing/2014/main" id="{22F90653-3CF8-EED3-5045-78A80D9A4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952500</xdr:colOff>
      <xdr:row>33</xdr:row>
      <xdr:rowOff>176212</xdr:rowOff>
    </xdr:from>
    <xdr:to>
      <xdr:col>10</xdr:col>
      <xdr:colOff>66675</xdr:colOff>
      <xdr:row>49</xdr:row>
      <xdr:rowOff>23812</xdr:rowOff>
    </xdr:to>
    <xdr:graphicFrame macro="">
      <xdr:nvGraphicFramePr>
        <xdr:cNvPr id="13" name="Chart 12">
          <a:extLst>
            <a:ext uri="{FF2B5EF4-FFF2-40B4-BE49-F238E27FC236}">
              <a16:creationId xmlns:a16="http://schemas.microsoft.com/office/drawing/2014/main" id="{36E41B9B-86A5-1FDA-0D6C-25156F1B5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66675</xdr:colOff>
      <xdr:row>86</xdr:row>
      <xdr:rowOff>30162</xdr:rowOff>
    </xdr:from>
    <xdr:to>
      <xdr:col>9</xdr:col>
      <xdr:colOff>600075</xdr:colOff>
      <xdr:row>101</xdr:row>
      <xdr:rowOff>58737</xdr:rowOff>
    </xdr:to>
    <xdr:graphicFrame macro="">
      <xdr:nvGraphicFramePr>
        <xdr:cNvPr id="14" name="Chart 13">
          <a:extLst>
            <a:ext uri="{FF2B5EF4-FFF2-40B4-BE49-F238E27FC236}">
              <a16:creationId xmlns:a16="http://schemas.microsoft.com/office/drawing/2014/main" id="{E144DC90-F8B5-1197-3D64-21D44DFF4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113</xdr:row>
      <xdr:rowOff>163512</xdr:rowOff>
    </xdr:from>
    <xdr:to>
      <xdr:col>7</xdr:col>
      <xdr:colOff>114300</xdr:colOff>
      <xdr:row>129</xdr:row>
      <xdr:rowOff>11112</xdr:rowOff>
    </xdr:to>
    <xdr:graphicFrame macro="">
      <xdr:nvGraphicFramePr>
        <xdr:cNvPr id="15" name="Chart 14">
          <a:extLst>
            <a:ext uri="{FF2B5EF4-FFF2-40B4-BE49-F238E27FC236}">
              <a16:creationId xmlns:a16="http://schemas.microsoft.com/office/drawing/2014/main" id="{46030DDC-31DE-1973-EF2B-17EE2901A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139700</xdr:colOff>
      <xdr:row>3</xdr:row>
      <xdr:rowOff>114300</xdr:rowOff>
    </xdr:from>
    <xdr:to>
      <xdr:col>19</xdr:col>
      <xdr:colOff>609599</xdr:colOff>
      <xdr:row>6</xdr:row>
      <xdr:rowOff>133350</xdr:rowOff>
    </xdr:to>
    <xdr:sp macro="" textlink="">
      <xdr:nvSpPr>
        <xdr:cNvPr id="34" name="Rectangle: Rounded Corners 33">
          <a:extLst>
            <a:ext uri="{FF2B5EF4-FFF2-40B4-BE49-F238E27FC236}">
              <a16:creationId xmlns:a16="http://schemas.microsoft.com/office/drawing/2014/main" id="{AE6088F3-C092-0FB5-30B6-87F69544FC58}"/>
            </a:ext>
          </a:extLst>
        </xdr:cNvPr>
        <xdr:cNvSpPr/>
      </xdr:nvSpPr>
      <xdr:spPr>
        <a:xfrm>
          <a:off x="1358900" y="657225"/>
          <a:ext cx="10833099" cy="5619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9524</xdr:colOff>
      <xdr:row>3</xdr:row>
      <xdr:rowOff>114301</xdr:rowOff>
    </xdr:from>
    <xdr:to>
      <xdr:col>2</xdr:col>
      <xdr:colOff>101599</xdr:colOff>
      <xdr:row>37</xdr:row>
      <xdr:rowOff>133351</xdr:rowOff>
    </xdr:to>
    <xdr:sp macro="" textlink="">
      <xdr:nvSpPr>
        <xdr:cNvPr id="32" name="Rectangle: Rounded Corners 31">
          <a:extLst>
            <a:ext uri="{FF2B5EF4-FFF2-40B4-BE49-F238E27FC236}">
              <a16:creationId xmlns:a16="http://schemas.microsoft.com/office/drawing/2014/main" id="{9B4237EF-D639-EB03-4BA3-E85F74A470E0}"/>
            </a:ext>
          </a:extLst>
        </xdr:cNvPr>
        <xdr:cNvSpPr/>
      </xdr:nvSpPr>
      <xdr:spPr>
        <a:xfrm>
          <a:off x="9524" y="657226"/>
          <a:ext cx="1311275" cy="61722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xdr:colOff>
      <xdr:row>0</xdr:row>
      <xdr:rowOff>1</xdr:rowOff>
    </xdr:from>
    <xdr:to>
      <xdr:col>20</xdr:col>
      <xdr:colOff>9525</xdr:colOff>
      <xdr:row>3</xdr:row>
      <xdr:rowOff>63500</xdr:rowOff>
    </xdr:to>
    <xdr:sp macro="" textlink="">
      <xdr:nvSpPr>
        <xdr:cNvPr id="4" name="Rectangle: Rounded Corners 3">
          <a:extLst>
            <a:ext uri="{FF2B5EF4-FFF2-40B4-BE49-F238E27FC236}">
              <a16:creationId xmlns:a16="http://schemas.microsoft.com/office/drawing/2014/main" id="{AB19E527-8603-4B45-8910-3ECB569737AF}"/>
            </a:ext>
          </a:extLst>
        </xdr:cNvPr>
        <xdr:cNvSpPr/>
      </xdr:nvSpPr>
      <xdr:spPr>
        <a:xfrm>
          <a:off x="1" y="1"/>
          <a:ext cx="12201524" cy="606424"/>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400" b="1"/>
            <a:t>HR RECRUITMENT DASHBOARD</a:t>
          </a:r>
        </a:p>
      </xdr:txBody>
    </xdr:sp>
    <xdr:clientData/>
  </xdr:twoCellAnchor>
  <xdr:twoCellAnchor>
    <xdr:from>
      <xdr:col>2</xdr:col>
      <xdr:colOff>158750</xdr:colOff>
      <xdr:row>22</xdr:row>
      <xdr:rowOff>63501</xdr:rowOff>
    </xdr:from>
    <xdr:to>
      <xdr:col>11</xdr:col>
      <xdr:colOff>361949</xdr:colOff>
      <xdr:row>37</xdr:row>
      <xdr:rowOff>104776</xdr:rowOff>
    </xdr:to>
    <xdr:graphicFrame macro="">
      <xdr:nvGraphicFramePr>
        <xdr:cNvPr id="10" name="Chart 9">
          <a:extLst>
            <a:ext uri="{FF2B5EF4-FFF2-40B4-BE49-F238E27FC236}">
              <a16:creationId xmlns:a16="http://schemas.microsoft.com/office/drawing/2014/main" id="{E634FD88-9616-42B7-B7F4-63B0EAD9C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406400</xdr:colOff>
      <xdr:row>22</xdr:row>
      <xdr:rowOff>66675</xdr:rowOff>
    </xdr:from>
    <xdr:to>
      <xdr:col>20</xdr:col>
      <xdr:colOff>76200</xdr:colOff>
      <xdr:row>37</xdr:row>
      <xdr:rowOff>101601</xdr:rowOff>
    </xdr:to>
    <xdr:graphicFrame macro="">
      <xdr:nvGraphicFramePr>
        <xdr:cNvPr id="13" name="Chart 12">
          <a:extLst>
            <a:ext uri="{FF2B5EF4-FFF2-40B4-BE49-F238E27FC236}">
              <a16:creationId xmlns:a16="http://schemas.microsoft.com/office/drawing/2014/main" id="{A8DED0BE-6F88-4286-8F5E-CCBB2CCA0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152398</xdr:colOff>
      <xdr:row>6</xdr:row>
      <xdr:rowOff>171451</xdr:rowOff>
    </xdr:from>
    <xdr:to>
      <xdr:col>8</xdr:col>
      <xdr:colOff>19049</xdr:colOff>
      <xdr:row>22</xdr:row>
      <xdr:rowOff>38101</xdr:rowOff>
    </xdr:to>
    <xdr:graphicFrame macro="">
      <xdr:nvGraphicFramePr>
        <xdr:cNvPr id="11" name="Chart 10">
          <a:extLst>
            <a:ext uri="{FF2B5EF4-FFF2-40B4-BE49-F238E27FC236}">
              <a16:creationId xmlns:a16="http://schemas.microsoft.com/office/drawing/2014/main" id="{979F6E6E-8E29-4DC3-B382-3B33D8C64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49213</xdr:colOff>
      <xdr:row>6</xdr:row>
      <xdr:rowOff>171440</xdr:rowOff>
    </xdr:from>
    <xdr:to>
      <xdr:col>14</xdr:col>
      <xdr:colOff>65087</xdr:colOff>
      <xdr:row>22</xdr:row>
      <xdr:rowOff>38100</xdr:rowOff>
    </xdr:to>
    <xdr:graphicFrame macro="">
      <xdr:nvGraphicFramePr>
        <xdr:cNvPr id="12" name="Chart 11">
          <a:extLst>
            <a:ext uri="{FF2B5EF4-FFF2-40B4-BE49-F238E27FC236}">
              <a16:creationId xmlns:a16="http://schemas.microsoft.com/office/drawing/2014/main" id="{B1AC5A00-5F21-4397-96C7-DC14640D7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95250</xdr:colOff>
      <xdr:row>7</xdr:row>
      <xdr:rowOff>0</xdr:rowOff>
    </xdr:from>
    <xdr:to>
      <xdr:col>20</xdr:col>
      <xdr:colOff>57150</xdr:colOff>
      <xdr:row>22</xdr:row>
      <xdr:rowOff>38100</xdr:rowOff>
    </xdr:to>
    <xdr:graphicFrame macro="">
      <xdr:nvGraphicFramePr>
        <xdr:cNvPr id="14" name="Chart 13">
          <a:extLst>
            <a:ext uri="{FF2B5EF4-FFF2-40B4-BE49-F238E27FC236}">
              <a16:creationId xmlns:a16="http://schemas.microsoft.com/office/drawing/2014/main" id="{F793C2B1-3176-4B05-9D62-C1485F000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6351</xdr:colOff>
      <xdr:row>3</xdr:row>
      <xdr:rowOff>133350</xdr:rowOff>
    </xdr:from>
    <xdr:to>
      <xdr:col>6</xdr:col>
      <xdr:colOff>301625</xdr:colOff>
      <xdr:row>6</xdr:row>
      <xdr:rowOff>120650</xdr:rowOff>
    </xdr:to>
    <xdr:sp macro="" textlink="'Analysis &amp; Pivot'!B58">
      <xdr:nvSpPr>
        <xdr:cNvPr id="17" name="Rectangle: Rounded Corners 16">
          <a:extLst>
            <a:ext uri="{FF2B5EF4-FFF2-40B4-BE49-F238E27FC236}">
              <a16:creationId xmlns:a16="http://schemas.microsoft.com/office/drawing/2014/main" id="{D1241CFD-3066-CF7A-87A0-6E0BEB754690}"/>
            </a:ext>
          </a:extLst>
        </xdr:cNvPr>
        <xdr:cNvSpPr/>
      </xdr:nvSpPr>
      <xdr:spPr>
        <a:xfrm>
          <a:off x="1835151" y="676275"/>
          <a:ext cx="2124074" cy="530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A749033-00E7-43C1-820A-FDA27F0CBF35}" type="TxLink">
            <a:rPr lang="en-US" sz="1200" b="1" i="0" u="none" strike="noStrike">
              <a:solidFill>
                <a:srgbClr val="000000"/>
              </a:solidFill>
              <a:latin typeface="Calibri"/>
              <a:ea typeface="Calibri"/>
              <a:cs typeface="Calibri"/>
            </a:rPr>
            <a:pPr algn="ctr"/>
            <a:t>APPLICATIONS RECEIVED: 
400</a:t>
          </a:fld>
          <a:endParaRPr lang="en-GB" sz="1200" b="1"/>
        </a:p>
      </xdr:txBody>
    </xdr:sp>
    <xdr:clientData/>
  </xdr:twoCellAnchor>
  <xdr:twoCellAnchor>
    <xdr:from>
      <xdr:col>7</xdr:col>
      <xdr:colOff>170388</xdr:colOff>
      <xdr:row>3</xdr:row>
      <xdr:rowOff>133350</xdr:rowOff>
    </xdr:from>
    <xdr:to>
      <xdr:col>10</xdr:col>
      <xdr:colOff>465667</xdr:colOff>
      <xdr:row>6</xdr:row>
      <xdr:rowOff>123427</xdr:rowOff>
    </xdr:to>
    <xdr:sp macro="" textlink="'Analysis &amp; Pivot'!B59">
      <xdr:nvSpPr>
        <xdr:cNvPr id="18" name="Rectangle: Rounded Corners 17">
          <a:extLst>
            <a:ext uri="{FF2B5EF4-FFF2-40B4-BE49-F238E27FC236}">
              <a16:creationId xmlns:a16="http://schemas.microsoft.com/office/drawing/2014/main" id="{85FB17B7-66F0-8782-8430-2C13BAAD0DC7}"/>
            </a:ext>
          </a:extLst>
        </xdr:cNvPr>
        <xdr:cNvSpPr/>
      </xdr:nvSpPr>
      <xdr:spPr>
        <a:xfrm>
          <a:off x="4437588" y="676275"/>
          <a:ext cx="2124079" cy="5330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16A9D8-1DFD-4825-A870-45E4C5F90ED5}" type="TxLink">
            <a:rPr lang="en-US" sz="1200" b="1" i="0" u="none" strike="noStrike">
              <a:solidFill>
                <a:srgbClr val="000000"/>
              </a:solidFill>
              <a:latin typeface="Calibri"/>
              <a:ea typeface="Calibri"/>
              <a:cs typeface="Calibri"/>
            </a:rPr>
            <a:pPr algn="ctr"/>
            <a:t>INTERVIEWS COMPLETED: 
171</a:t>
          </a:fld>
          <a:endParaRPr lang="en-GB" sz="1200" b="1"/>
        </a:p>
      </xdr:txBody>
    </xdr:sp>
    <xdr:clientData/>
  </xdr:twoCellAnchor>
  <xdr:twoCellAnchor>
    <xdr:from>
      <xdr:col>11</xdr:col>
      <xdr:colOff>334434</xdr:colOff>
      <xdr:row>3</xdr:row>
      <xdr:rowOff>133350</xdr:rowOff>
    </xdr:from>
    <xdr:to>
      <xdr:col>15</xdr:col>
      <xdr:colOff>10584</xdr:colOff>
      <xdr:row>6</xdr:row>
      <xdr:rowOff>126711</xdr:rowOff>
    </xdr:to>
    <xdr:sp macro="" textlink="'Analysis &amp; Pivot'!B60">
      <xdr:nvSpPr>
        <xdr:cNvPr id="19" name="Rectangle: Rounded Corners 18">
          <a:extLst>
            <a:ext uri="{FF2B5EF4-FFF2-40B4-BE49-F238E27FC236}">
              <a16:creationId xmlns:a16="http://schemas.microsoft.com/office/drawing/2014/main" id="{7FFC7611-02C0-89ED-B142-8201C94965F8}"/>
            </a:ext>
          </a:extLst>
        </xdr:cNvPr>
        <xdr:cNvSpPr/>
      </xdr:nvSpPr>
      <xdr:spPr>
        <a:xfrm>
          <a:off x="7040034" y="676275"/>
          <a:ext cx="2114550" cy="5362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191C2D-FDD6-4288-BCCF-E3819D92C01B}" type="TxLink">
            <a:rPr lang="en-US" sz="1200" b="1" i="0" u="none" strike="noStrike">
              <a:solidFill>
                <a:srgbClr val="000000"/>
              </a:solidFill>
              <a:latin typeface="Calibri"/>
              <a:ea typeface="Calibri"/>
              <a:cs typeface="Calibri"/>
            </a:rPr>
            <a:pPr algn="ctr"/>
            <a:t>CANDIDATES HIRED: 
45</a:t>
          </a:fld>
          <a:endParaRPr lang="en-GB" sz="1200" b="1"/>
        </a:p>
      </xdr:txBody>
    </xdr:sp>
    <xdr:clientData/>
  </xdr:twoCellAnchor>
  <xdr:twoCellAnchor>
    <xdr:from>
      <xdr:col>15</xdr:col>
      <xdr:colOff>495304</xdr:colOff>
      <xdr:row>3</xdr:row>
      <xdr:rowOff>123824</xdr:rowOff>
    </xdr:from>
    <xdr:to>
      <xdr:col>19</xdr:col>
      <xdr:colOff>161925</xdr:colOff>
      <xdr:row>6</xdr:row>
      <xdr:rowOff>123750</xdr:rowOff>
    </xdr:to>
    <xdr:sp macro="" textlink="'Analysis &amp; Pivot'!B111">
      <xdr:nvSpPr>
        <xdr:cNvPr id="20" name="Rectangle: Rounded Corners 19">
          <a:extLst>
            <a:ext uri="{FF2B5EF4-FFF2-40B4-BE49-F238E27FC236}">
              <a16:creationId xmlns:a16="http://schemas.microsoft.com/office/drawing/2014/main" id="{E4E7F703-6067-70AD-8ED8-58ADB3ACA00F}"/>
            </a:ext>
          </a:extLst>
        </xdr:cNvPr>
        <xdr:cNvSpPr/>
      </xdr:nvSpPr>
      <xdr:spPr>
        <a:xfrm>
          <a:off x="9639304" y="666749"/>
          <a:ext cx="2105021" cy="5428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8B0552-8281-4408-A1B2-0AC0CE2F8FB2}" type="TxLink">
            <a:rPr lang="en-US" sz="1200" b="1" i="0" u="none" strike="noStrike">
              <a:solidFill>
                <a:srgbClr val="000000"/>
              </a:solidFill>
              <a:latin typeface="Calibri"/>
              <a:ea typeface="Calibri"/>
              <a:cs typeface="Calibri"/>
            </a:rPr>
            <a:pPr algn="ctr"/>
            <a:t>AVERAGE TIME TO HIRE: 
51 days</a:t>
          </a:fld>
          <a:endParaRPr lang="en-GB" sz="1200" b="1"/>
        </a:p>
      </xdr:txBody>
    </xdr:sp>
    <xdr:clientData/>
  </xdr:twoCellAnchor>
  <xdr:twoCellAnchor>
    <xdr:from>
      <xdr:col>0</xdr:col>
      <xdr:colOff>41274</xdr:colOff>
      <xdr:row>27</xdr:row>
      <xdr:rowOff>44450</xdr:rowOff>
    </xdr:from>
    <xdr:to>
      <xdr:col>2</xdr:col>
      <xdr:colOff>92075</xdr:colOff>
      <xdr:row>36</xdr:row>
      <xdr:rowOff>133350</xdr:rowOff>
    </xdr:to>
    <mc:AlternateContent xmlns:mc="http://schemas.openxmlformats.org/markup-compatibility/2006" xmlns:a14="http://schemas.microsoft.com/office/drawing/2010/main">
      <mc:Choice Requires="a14">
        <xdr:graphicFrame macro="">
          <xdr:nvGraphicFramePr>
            <xdr:cNvPr id="26" name="department">
              <a:extLst>
                <a:ext uri="{FF2B5EF4-FFF2-40B4-BE49-F238E27FC236}">
                  <a16:creationId xmlns:a16="http://schemas.microsoft.com/office/drawing/2014/main" id="{49C80D9B-0554-951D-2E5B-DCE9986B771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1274" y="4933950"/>
              <a:ext cx="1270001" cy="1714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42853</xdr:colOff>
      <xdr:row>17</xdr:row>
      <xdr:rowOff>26459</xdr:rowOff>
    </xdr:from>
    <xdr:to>
      <xdr:col>2</xdr:col>
      <xdr:colOff>90495</xdr:colOff>
      <xdr:row>26</xdr:row>
      <xdr:rowOff>150284</xdr:rowOff>
    </xdr:to>
    <mc:AlternateContent xmlns:mc="http://schemas.openxmlformats.org/markup-compatibility/2006" xmlns:a14="http://schemas.microsoft.com/office/drawing/2010/main">
      <mc:Choice Requires="a14">
        <xdr:graphicFrame macro="">
          <xdr:nvGraphicFramePr>
            <xdr:cNvPr id="28" name="Recruiter">
              <a:extLst>
                <a:ext uri="{FF2B5EF4-FFF2-40B4-BE49-F238E27FC236}">
                  <a16:creationId xmlns:a16="http://schemas.microsoft.com/office/drawing/2014/main" id="{B848ADA6-DD17-EB7B-9B15-651D8CB6228F}"/>
                </a:ext>
              </a:extLst>
            </xdr:cNvPr>
            <xdr:cNvGraphicFramePr/>
          </xdr:nvGraphicFramePr>
          <xdr:xfrm>
            <a:off x="0" y="0"/>
            <a:ext cx="0" cy="0"/>
          </xdr:xfrm>
          <a:graphic>
            <a:graphicData uri="http://schemas.microsoft.com/office/drawing/2010/slicer">
              <sle:slicer xmlns:sle="http://schemas.microsoft.com/office/drawing/2010/slicer" name="Recruiter"/>
            </a:graphicData>
          </a:graphic>
        </xdr:graphicFrame>
      </mc:Choice>
      <mc:Fallback xmlns="">
        <xdr:sp macro="" textlink="">
          <xdr:nvSpPr>
            <xdr:cNvPr id="0" name=""/>
            <xdr:cNvSpPr>
              <a:spLocks noTextEdit="1"/>
            </xdr:cNvSpPr>
          </xdr:nvSpPr>
          <xdr:spPr>
            <a:xfrm>
              <a:off x="46028" y="3106209"/>
              <a:ext cx="1260492" cy="1749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60229</xdr:colOff>
      <xdr:row>10</xdr:row>
      <xdr:rowOff>2117</xdr:rowOff>
    </xdr:from>
    <xdr:to>
      <xdr:col>2</xdr:col>
      <xdr:colOff>73119</xdr:colOff>
      <xdr:row>16</xdr:row>
      <xdr:rowOff>122767</xdr:rowOff>
    </xdr:to>
    <mc:AlternateContent xmlns:mc="http://schemas.openxmlformats.org/markup-compatibility/2006" xmlns:a14="http://schemas.microsoft.com/office/drawing/2010/main">
      <mc:Choice Requires="a14">
        <xdr:graphicFrame macro="">
          <xdr:nvGraphicFramePr>
            <xdr:cNvPr id="29" name="Gender">
              <a:extLst>
                <a:ext uri="{FF2B5EF4-FFF2-40B4-BE49-F238E27FC236}">
                  <a16:creationId xmlns:a16="http://schemas.microsoft.com/office/drawing/2014/main" id="{D1C5C8BD-CC58-5921-F6B8-6B28C11A86E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229" y="1811867"/>
              <a:ext cx="1232090" cy="1209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58650</xdr:colOff>
      <xdr:row>4</xdr:row>
      <xdr:rowOff>101600</xdr:rowOff>
    </xdr:from>
    <xdr:to>
      <xdr:col>2</xdr:col>
      <xdr:colOff>74699</xdr:colOff>
      <xdr:row>9</xdr:row>
      <xdr:rowOff>101600</xdr:rowOff>
    </xdr:to>
    <mc:AlternateContent xmlns:mc="http://schemas.openxmlformats.org/markup-compatibility/2006" xmlns:a14="http://schemas.microsoft.com/office/drawing/2010/main">
      <mc:Choice Requires="a14">
        <xdr:graphicFrame macro="">
          <xdr:nvGraphicFramePr>
            <xdr:cNvPr id="31" name="application_year">
              <a:extLst>
                <a:ext uri="{FF2B5EF4-FFF2-40B4-BE49-F238E27FC236}">
                  <a16:creationId xmlns:a16="http://schemas.microsoft.com/office/drawing/2014/main" id="{F4CED419-B3CD-F007-BC7B-91CC2C2F81FB}"/>
                </a:ext>
              </a:extLst>
            </xdr:cNvPr>
            <xdr:cNvGraphicFramePr/>
          </xdr:nvGraphicFramePr>
          <xdr:xfrm>
            <a:off x="0" y="0"/>
            <a:ext cx="0" cy="0"/>
          </xdr:xfrm>
          <a:graphic>
            <a:graphicData uri="http://schemas.microsoft.com/office/drawing/2010/slicer">
              <sle:slicer xmlns:sle="http://schemas.microsoft.com/office/drawing/2010/slicer" name="application_year"/>
            </a:graphicData>
          </a:graphic>
        </xdr:graphicFrame>
      </mc:Choice>
      <mc:Fallback xmlns="">
        <xdr:sp macro="" textlink="">
          <xdr:nvSpPr>
            <xdr:cNvPr id="0" name=""/>
            <xdr:cNvSpPr>
              <a:spLocks noTextEdit="1"/>
            </xdr:cNvSpPr>
          </xdr:nvSpPr>
          <xdr:spPr>
            <a:xfrm>
              <a:off x="58650" y="828675"/>
              <a:ext cx="1235249" cy="904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nrewaju Oyenekan" refreshedDate="46187.48691446759" createdVersion="8" refreshedVersion="8" minRefreshableVersion="3" recordCount="400" xr:uid="{CD9CE712-2D89-4A11-B16A-81BFE10EF8BC}">
  <cacheSource type="worksheet">
    <worksheetSource ref="A1:AC401" sheet="clean_recruitment_data"/>
  </cacheSource>
  <cacheFields count="32">
    <cacheField name="Application_ID" numFmtId="0">
      <sharedItems/>
    </cacheField>
    <cacheField name="Candidate_ID" numFmtId="0">
      <sharedItems/>
    </cacheField>
    <cacheField name="full_name" numFmtId="0">
      <sharedItems/>
    </cacheField>
    <cacheField name="first_name" numFmtId="0">
      <sharedItems/>
    </cacheField>
    <cacheField name="last_name" numFmtId="0">
      <sharedItems/>
    </cacheField>
    <cacheField name="role_applied" numFmtId="0">
      <sharedItems count="6">
        <s v="Reporting Analyst"/>
        <s v="HR Analyst"/>
        <s v="Business Analyst"/>
        <s v="Finance Analyst"/>
        <s v="BI Analyst"/>
        <s v="Data Analyst"/>
      </sharedItems>
    </cacheField>
    <cacheField name="department" numFmtId="0">
      <sharedItems count="5">
        <s v="HR"/>
        <s v="Commercial"/>
        <s v="Finance"/>
        <s v="Technology"/>
        <s v="Operations"/>
      </sharedItems>
    </cacheField>
    <cacheField name="region" numFmtId="0">
      <sharedItems count="7">
        <s v="Midlands"/>
        <s v="Scotland"/>
        <s v="Yorkshire"/>
        <s v="London"/>
        <s v="East Midlands"/>
        <s v="South East"/>
        <s v="North West"/>
      </sharedItems>
    </cacheField>
    <cacheField name="Hiring_Manager" numFmtId="0">
      <sharedItems/>
    </cacheField>
    <cacheField name="source_channel" numFmtId="0">
      <sharedItems count="5">
        <s v="Linkedln"/>
        <s v="Referral"/>
        <s v="Indeed"/>
        <s v="Reed"/>
        <s v="CV Library"/>
      </sharedItems>
    </cacheField>
    <cacheField name="application_date" numFmtId="14">
      <sharedItems containsSemiMixedTypes="0" containsNonDate="0" containsDate="1" containsString="0" minDate="2024-01-04T00:00:00" maxDate="2025-05-15T00:00:00"/>
    </cacheField>
    <cacheField name="application_month_year" numFmtId="164">
      <sharedItems containsSemiMixedTypes="0" containsNonDate="0" containsDate="1" containsString="0" minDate="2024-01-01T00:00:00" maxDate="2025-05-02T00:00:00" count="17">
        <d v="2024-08-01T00:00:00"/>
        <d v="2024-07-01T00:00:00"/>
        <d v="2024-02-01T00:00:00"/>
        <d v="2024-03-01T00:00:00"/>
        <d v="2024-09-01T00:00:00"/>
        <d v="2024-05-01T00:00:00"/>
        <d v="2024-04-01T00:00:00"/>
        <d v="2024-11-01T00:00:00"/>
        <d v="2025-04-01T00:00:00"/>
        <d v="2024-01-01T00:00:00"/>
        <d v="2025-01-01T00:00:00"/>
        <d v="2025-02-01T00:00:00"/>
        <d v="2025-03-01T00:00:00"/>
        <d v="2024-06-01T00:00:00"/>
        <d v="2024-12-01T00:00:00"/>
        <d v="2024-10-01T00:00:00"/>
        <d v="2025-05-01T00:00:00"/>
      </sharedItems>
      <fieldGroup par="31"/>
    </cacheField>
    <cacheField name="application_year" numFmtId="0">
      <sharedItems containsSemiMixedTypes="0" containsString="0" containsNumber="1" containsInteger="1" minValue="2024" maxValue="2025" count="2">
        <n v="2024"/>
        <n v="2025"/>
      </sharedItems>
    </cacheField>
    <cacheField name="Interview_date" numFmtId="14">
      <sharedItems containsDate="1" containsMixedTypes="1" minDate="2024-01-23T00:00:00" maxDate="5461-10-16T00:00:00"/>
    </cacheField>
    <cacheField name="offer_date" numFmtId="14">
      <sharedItems containsDate="1" containsMixedTypes="1" minDate="2024-02-13T00:00:00" maxDate="2025-06-21T00:00:00"/>
    </cacheField>
    <cacheField name="hire_date" numFmtId="14">
      <sharedItems containsDate="1" containsMixedTypes="1" minDate="2024-02-09T00:00:00" maxDate="2025-07-12T00:00:00"/>
    </cacheField>
    <cacheField name="time_to_hire" numFmtId="165">
      <sharedItems containsMixedTypes="1" containsNumber="1" containsInteger="1" minValue="21" maxValue="75"/>
    </cacheField>
    <cacheField name="Candidate_Status" numFmtId="0">
      <sharedItems/>
    </cacheField>
    <cacheField name="Expected_Salary" numFmtId="44">
      <sharedItems containsSemiMixedTypes="0" containsString="0" containsNumber="1" containsInteger="1" minValue="28023" maxValue="51983"/>
    </cacheField>
    <cacheField name="Offered_Salary" numFmtId="44">
      <sharedItems containsString="0" containsBlank="1" containsNumber="1" containsInteger="1" minValue="25597" maxValue="54082"/>
    </cacheField>
    <cacheField name="Recruiter" numFmtId="0">
      <sharedItems count="5">
        <s v="Mark"/>
        <s v="Rebecca"/>
        <s v="Anna"/>
        <s v="Helen"/>
        <s v="Joe"/>
      </sharedItems>
    </cacheField>
    <cacheField name="Gender" numFmtId="0">
      <sharedItems count="3">
        <s v="Female"/>
        <s v="Male"/>
        <s v="Prefer not to say"/>
      </sharedItems>
    </cacheField>
    <cacheField name="Candidate_Score" numFmtId="2">
      <sharedItems containsString="0" containsBlank="1" containsNumber="1" minValue="2.1" maxValue="5"/>
    </cacheField>
    <cacheField name="application_flag" numFmtId="0">
      <sharedItems containsSemiMixedTypes="0" containsString="0" containsNumber="1" containsInteger="1" minValue="1" maxValue="1"/>
    </cacheField>
    <cacheField name="withdrawn_flag" numFmtId="0">
      <sharedItems containsSemiMixedTypes="0" containsString="0" containsNumber="1" containsInteger="1" minValue="0" maxValue="1"/>
    </cacheField>
    <cacheField name="rejected_flag" numFmtId="0">
      <sharedItems containsSemiMixedTypes="0" containsString="0" containsNumber="1" containsInteger="1" minValue="0" maxValue="1"/>
    </cacheField>
    <cacheField name="interview_flag" numFmtId="0">
      <sharedItems containsSemiMixedTypes="0" containsString="0" containsNumber="1" containsInteger="1" minValue="0" maxValue="1"/>
    </cacheField>
    <cacheField name="offer_flag" numFmtId="0">
      <sharedItems containsSemiMixedTypes="0" containsString="0" containsNumber="1" containsInteger="1" minValue="0" maxValue="1"/>
    </cacheField>
    <cacheField name="hire_flag" numFmtId="0">
      <sharedItems containsSemiMixedTypes="0" containsString="0" containsNumber="1" containsInteger="1" minValue="0" maxValue="1"/>
    </cacheField>
    <cacheField name="Months (application_month_year)" numFmtId="0" databaseField="0">
      <fieldGroup base="11">
        <rangePr groupBy="months" startDate="2024-01-01T00:00:00" endDate="2025-05-02T00:00:00"/>
        <groupItems count="14">
          <s v="&lt;01/01/2024"/>
          <s v="Jan"/>
          <s v="Feb"/>
          <s v="Mar"/>
          <s v="Apr"/>
          <s v="May"/>
          <s v="Jun"/>
          <s v="Jul"/>
          <s v="Aug"/>
          <s v="Sep"/>
          <s v="Oct"/>
          <s v="Nov"/>
          <s v="Dec"/>
          <s v="&gt;02/05/2025"/>
        </groupItems>
      </fieldGroup>
    </cacheField>
    <cacheField name="Quarters (application_month_year)" numFmtId="0" databaseField="0">
      <fieldGroup base="11">
        <rangePr groupBy="quarters" startDate="2024-01-01T00:00:00" endDate="2025-05-02T00:00:00"/>
        <groupItems count="6">
          <s v="&lt;01/01/2024"/>
          <s v="Qtr1"/>
          <s v="Qtr2"/>
          <s v="Qtr3"/>
          <s v="Qtr4"/>
          <s v="&gt;02/05/2025"/>
        </groupItems>
      </fieldGroup>
    </cacheField>
    <cacheField name="Years (application_month_year)" numFmtId="0" databaseField="0">
      <fieldGroup base="11">
        <rangePr groupBy="years" startDate="2024-01-01T00:00:00" endDate="2025-05-02T00:00:00"/>
        <groupItems count="4">
          <s v="&lt;01/01/2024"/>
          <s v="2024"/>
          <s v="2025"/>
          <s v="&gt;02/05/2025"/>
        </groupItems>
      </fieldGroup>
    </cacheField>
  </cacheFields>
  <extLst>
    <ext xmlns:x14="http://schemas.microsoft.com/office/spreadsheetml/2009/9/main" uri="{725AE2AE-9491-48be-B2B4-4EB974FC3084}">
      <x14:pivotCacheDefinition pivotCacheId="9932131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nrewaju Oyenekan" refreshedDate="46187.486915740737" createdVersion="8" refreshedVersion="8" minRefreshableVersion="3" recordCount="400" xr:uid="{B52760F1-FDB7-4CAF-8AD0-F3F9C0ABD2B7}">
  <cacheSource type="worksheet">
    <worksheetSource ref="A1:AA401" sheet="clean_recruitment_data"/>
  </cacheSource>
  <cacheFields count="30">
    <cacheField name="Application_ID" numFmtId="0">
      <sharedItems/>
    </cacheField>
    <cacheField name="Candidate_ID" numFmtId="0">
      <sharedItems/>
    </cacheField>
    <cacheField name="full_name" numFmtId="0">
      <sharedItems/>
    </cacheField>
    <cacheField name="first_name" numFmtId="0">
      <sharedItems/>
    </cacheField>
    <cacheField name="last_name" numFmtId="0">
      <sharedItems/>
    </cacheField>
    <cacheField name="role_applied" numFmtId="0">
      <sharedItems/>
    </cacheField>
    <cacheField name="department" numFmtId="0">
      <sharedItems/>
    </cacheField>
    <cacheField name="region" numFmtId="0">
      <sharedItems/>
    </cacheField>
    <cacheField name="Hiring_Manager" numFmtId="0">
      <sharedItems/>
    </cacheField>
    <cacheField name="source_channel" numFmtId="0">
      <sharedItems/>
    </cacheField>
    <cacheField name="application_date" numFmtId="14">
      <sharedItems containsSemiMixedTypes="0" containsNonDate="0" containsDate="1" containsString="0" minDate="2024-01-04T00:00:00" maxDate="2025-05-15T00:00:00"/>
    </cacheField>
    <cacheField name="application_month_year" numFmtId="164">
      <sharedItems containsSemiMixedTypes="0" containsNonDate="0" containsDate="1" containsString="0" minDate="2024-01-01T00:00:00" maxDate="2025-05-02T00:00:00" count="17">
        <d v="2024-08-01T00:00:00"/>
        <d v="2024-07-01T00:00:00"/>
        <d v="2024-02-01T00:00:00"/>
        <d v="2024-03-01T00:00:00"/>
        <d v="2024-09-01T00:00:00"/>
        <d v="2024-05-01T00:00:00"/>
        <d v="2024-04-01T00:00:00"/>
        <d v="2024-11-01T00:00:00"/>
        <d v="2025-04-01T00:00:00"/>
        <d v="2024-01-01T00:00:00"/>
        <d v="2025-01-01T00:00:00"/>
        <d v="2025-02-01T00:00:00"/>
        <d v="2025-03-01T00:00:00"/>
        <d v="2024-06-01T00:00:00"/>
        <d v="2024-12-01T00:00:00"/>
        <d v="2024-10-01T00:00:00"/>
        <d v="2025-05-01T00:00:00"/>
      </sharedItems>
      <fieldGroup par="29"/>
    </cacheField>
    <cacheField name="application_year" numFmtId="0">
      <sharedItems containsSemiMixedTypes="0" containsString="0" containsNumber="1" containsInteger="1" minValue="2024" maxValue="2025"/>
    </cacheField>
    <cacheField name="Interview_date" numFmtId="14">
      <sharedItems containsDate="1" containsMixedTypes="1" minDate="2024-01-23T00:00:00" maxDate="5461-10-16T00:00:00"/>
    </cacheField>
    <cacheField name="offer_date" numFmtId="14">
      <sharedItems containsDate="1" containsMixedTypes="1" minDate="2024-02-13T00:00:00" maxDate="2025-06-21T00:00:00"/>
    </cacheField>
    <cacheField name="hire_date" numFmtId="14">
      <sharedItems containsDate="1" containsMixedTypes="1" minDate="2024-02-09T00:00:00" maxDate="2025-07-12T00:00:00"/>
    </cacheField>
    <cacheField name="time_to_hire" numFmtId="165">
      <sharedItems containsMixedTypes="1" containsNumber="1" containsInteger="1" minValue="21" maxValue="75"/>
    </cacheField>
    <cacheField name="Candidate_Status" numFmtId="0">
      <sharedItems/>
    </cacheField>
    <cacheField name="Expected_Salary" numFmtId="44">
      <sharedItems containsSemiMixedTypes="0" containsString="0" containsNumber="1" containsInteger="1" minValue="28023" maxValue="51983"/>
    </cacheField>
    <cacheField name="Offered_Salary" numFmtId="44">
      <sharedItems containsString="0" containsBlank="1" containsNumber="1" containsInteger="1" minValue="25597" maxValue="54082"/>
    </cacheField>
    <cacheField name="Recruiter" numFmtId="0">
      <sharedItems/>
    </cacheField>
    <cacheField name="Gender" numFmtId="0">
      <sharedItems/>
    </cacheField>
    <cacheField name="Candidate_Score" numFmtId="2">
      <sharedItems containsString="0" containsBlank="1" containsNumber="1" minValue="2.1" maxValue="5"/>
    </cacheField>
    <cacheField name="application_flag" numFmtId="0">
      <sharedItems containsSemiMixedTypes="0" containsString="0" containsNumber="1" containsInteger="1" minValue="1" maxValue="1"/>
    </cacheField>
    <cacheField name="withdrawn_flag" numFmtId="0">
      <sharedItems containsSemiMixedTypes="0" containsString="0" containsNumber="1" containsInteger="1" minValue="0" maxValue="1"/>
    </cacheField>
    <cacheField name="rejected_flag" numFmtId="0">
      <sharedItems containsSemiMixedTypes="0" containsString="0" containsNumber="1" containsInteger="1" minValue="0" maxValue="1"/>
    </cacheField>
    <cacheField name="interview_flag" numFmtId="0">
      <sharedItems containsSemiMixedTypes="0" containsString="0" containsNumber="1" containsInteger="1" minValue="0" maxValue="1"/>
    </cacheField>
    <cacheField name="Months (application_month_year)" numFmtId="0" databaseField="0">
      <fieldGroup base="11">
        <rangePr groupBy="months" startDate="2024-01-01T00:00:00" endDate="2025-05-02T00:00:00"/>
        <groupItems count="14">
          <s v="&lt;01/01/2024"/>
          <s v="Jan"/>
          <s v="Feb"/>
          <s v="Mar"/>
          <s v="Apr"/>
          <s v="May"/>
          <s v="Jun"/>
          <s v="Jul"/>
          <s v="Aug"/>
          <s v="Sep"/>
          <s v="Oct"/>
          <s v="Nov"/>
          <s v="Dec"/>
          <s v="&gt;02/05/2025"/>
        </groupItems>
      </fieldGroup>
    </cacheField>
    <cacheField name="Quarters (application_month_year)" numFmtId="0" databaseField="0">
      <fieldGroup base="11">
        <rangePr groupBy="quarters" startDate="2024-01-01T00:00:00" endDate="2025-05-02T00:00:00"/>
        <groupItems count="6">
          <s v="&lt;01/01/2024"/>
          <s v="Qtr1"/>
          <s v="Qtr2"/>
          <s v="Qtr3"/>
          <s v="Qtr4"/>
          <s v="&gt;02/05/2025"/>
        </groupItems>
      </fieldGroup>
    </cacheField>
    <cacheField name="Years (application_month_year)" numFmtId="0" databaseField="0">
      <fieldGroup base="11">
        <rangePr groupBy="years" startDate="2024-01-01T00:00:00" endDate="2025-05-02T00:00:00"/>
        <groupItems count="4">
          <s v="&lt;01/01/2024"/>
          <s v="2024"/>
          <s v="2025"/>
          <s v="&gt;02/05/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APP0001"/>
    <s v="CAND1095"/>
    <s v="Guy Owen Rogers"/>
    <s v="Guy"/>
    <s v="Rogers"/>
    <x v="0"/>
    <x v="0"/>
    <x v="0"/>
    <s v="James Clarke"/>
    <x v="0"/>
    <d v="2024-08-30T00:00:00"/>
    <x v="0"/>
    <x v="0"/>
    <d v="2024-09-20T00:00:00"/>
    <s v=""/>
    <s v=""/>
    <s v=""/>
    <s v="Interviewed"/>
    <n v="49836"/>
    <m/>
    <x v="0"/>
    <x v="0"/>
    <n v="3.1"/>
    <n v="1"/>
    <n v="0"/>
    <n v="0"/>
    <n v="1"/>
    <n v="0"/>
    <n v="0"/>
  </r>
  <r>
    <s v="APP0002"/>
    <s v="CAND1019"/>
    <s v="Alexandra Thomas"/>
    <s v="Alexandra"/>
    <s v="Thomas"/>
    <x v="1"/>
    <x v="0"/>
    <x v="1"/>
    <s v="Sarah Green"/>
    <x v="0"/>
    <d v="2024-07-07T00:00:00"/>
    <x v="1"/>
    <x v="0"/>
    <s v=""/>
    <s v=""/>
    <s v=""/>
    <s v=""/>
    <s v="Applied"/>
    <n v="34889"/>
    <m/>
    <x v="1"/>
    <x v="1"/>
    <n v="2.2999999999999998"/>
    <n v="1"/>
    <n v="0"/>
    <n v="0"/>
    <n v="0"/>
    <n v="0"/>
    <n v="0"/>
  </r>
  <r>
    <s v="APP0003"/>
    <s v="CAND1108"/>
    <s v="Catherine Ford Barker"/>
    <s v="Catherine"/>
    <s v="Barker"/>
    <x v="2"/>
    <x v="1"/>
    <x v="2"/>
    <s v="James Clarke"/>
    <x v="1"/>
    <d v="2024-02-16T00:00:00"/>
    <x v="2"/>
    <x v="0"/>
    <s v=""/>
    <s v=""/>
    <s v=""/>
    <s v=""/>
    <s v="Withdrawn"/>
    <n v="41887"/>
    <m/>
    <x v="2"/>
    <x v="2"/>
    <n v="4.8"/>
    <n v="1"/>
    <n v="1"/>
    <n v="0"/>
    <n v="0"/>
    <n v="0"/>
    <n v="0"/>
  </r>
  <r>
    <s v="APP0004"/>
    <s v="CAND1155"/>
    <s v="Mohammad Morris"/>
    <s v="Mohammad"/>
    <s v="Morris"/>
    <x v="0"/>
    <x v="1"/>
    <x v="3"/>
    <s v="Sarah Green"/>
    <x v="0"/>
    <d v="2024-03-28T00:00:00"/>
    <x v="3"/>
    <x v="0"/>
    <d v="2024-04-04T00:00:00"/>
    <d v="2024-04-24T00:00:00"/>
    <s v=""/>
    <s v=""/>
    <s v="Offered"/>
    <n v="47904"/>
    <n v="48335"/>
    <x v="3"/>
    <x v="2"/>
    <n v="4"/>
    <n v="1"/>
    <n v="0"/>
    <n v="0"/>
    <n v="1"/>
    <n v="1"/>
    <n v="0"/>
  </r>
  <r>
    <s v="APP0005"/>
    <s v="CAND1095"/>
    <s v="Toby Adams"/>
    <s v="Toby"/>
    <s v="Adams"/>
    <x v="1"/>
    <x v="1"/>
    <x v="4"/>
    <s v="Sarah Green"/>
    <x v="2"/>
    <d v="2024-07-16T00:00:00"/>
    <x v="1"/>
    <x v="0"/>
    <s v=""/>
    <s v=""/>
    <s v=""/>
    <s v=""/>
    <s v="Rejected"/>
    <n v="31730"/>
    <m/>
    <x v="4"/>
    <x v="1"/>
    <n v="2.8"/>
    <n v="1"/>
    <n v="0"/>
    <n v="1"/>
    <n v="0"/>
    <n v="0"/>
    <n v="0"/>
  </r>
  <r>
    <s v="APP0006"/>
    <s v="CAND1197"/>
    <s v="Kieran Brown"/>
    <s v="Kieran"/>
    <s v="Brown"/>
    <x v="1"/>
    <x v="2"/>
    <x v="4"/>
    <s v="Michael Patel"/>
    <x v="0"/>
    <d v="2024-09-22T00:00:00"/>
    <x v="4"/>
    <x v="0"/>
    <s v=""/>
    <s v=""/>
    <s v=""/>
    <s v=""/>
    <s v="Applied"/>
    <n v="50139"/>
    <m/>
    <x v="2"/>
    <x v="0"/>
    <n v="3.3"/>
    <n v="1"/>
    <n v="0"/>
    <n v="0"/>
    <n v="0"/>
    <n v="0"/>
    <n v="0"/>
  </r>
  <r>
    <s v="APP0007"/>
    <s v="CAND1086"/>
    <s v="Jacob Palmer"/>
    <s v="Jacob"/>
    <s v="Palmer"/>
    <x v="3"/>
    <x v="3"/>
    <x v="0"/>
    <s v="Emma Wilson"/>
    <x v="0"/>
    <d v="2024-05-21T00:00:00"/>
    <x v="5"/>
    <x v="0"/>
    <d v="5461-10-15T00:00:00"/>
    <d v="2024-06-25T00:00:00"/>
    <s v=""/>
    <s v=""/>
    <s v="Offered"/>
    <n v="51785"/>
    <n v="49211"/>
    <x v="3"/>
    <x v="1"/>
    <n v="3.6"/>
    <n v="1"/>
    <n v="0"/>
    <n v="0"/>
    <n v="1"/>
    <n v="1"/>
    <n v="0"/>
  </r>
  <r>
    <s v="APP0008"/>
    <s v="CAND1068"/>
    <s v="Philip Murray"/>
    <s v="Philip"/>
    <s v="Murray"/>
    <x v="3"/>
    <x v="4"/>
    <x v="4"/>
    <s v="Sarah Green"/>
    <x v="1"/>
    <d v="2024-04-06T00:00:00"/>
    <x v="6"/>
    <x v="0"/>
    <s v=""/>
    <s v=""/>
    <s v=""/>
    <s v=""/>
    <s v="Rejected"/>
    <n v="35205"/>
    <m/>
    <x v="1"/>
    <x v="1"/>
    <m/>
    <n v="1"/>
    <n v="0"/>
    <n v="1"/>
    <n v="0"/>
    <n v="0"/>
    <n v="0"/>
  </r>
  <r>
    <s v="APP0009"/>
    <s v="CAND1225"/>
    <s v="Hilary Harrison"/>
    <s v="Hilary"/>
    <s v="Harrison"/>
    <x v="4"/>
    <x v="0"/>
    <x v="5"/>
    <s v="Michael Patel"/>
    <x v="3"/>
    <d v="2024-07-03T00:00:00"/>
    <x v="1"/>
    <x v="0"/>
    <s v=""/>
    <s v=""/>
    <s v=""/>
    <s v=""/>
    <s v="Withdrawn"/>
    <n v="44501"/>
    <m/>
    <x v="4"/>
    <x v="0"/>
    <n v="2.5"/>
    <n v="1"/>
    <n v="1"/>
    <n v="0"/>
    <n v="0"/>
    <n v="0"/>
    <n v="0"/>
  </r>
  <r>
    <s v="APP0010"/>
    <s v="CAND1074"/>
    <s v="Shane Young"/>
    <s v="Shane"/>
    <s v="Young"/>
    <x v="1"/>
    <x v="2"/>
    <x v="6"/>
    <s v="Tom Davies"/>
    <x v="3"/>
    <d v="2024-11-17T00:00:00"/>
    <x v="7"/>
    <x v="0"/>
    <d v="2024-12-13T00:00:00"/>
    <s v=""/>
    <s v=""/>
    <s v=""/>
    <s v="Interviewed"/>
    <n v="42576"/>
    <m/>
    <x v="0"/>
    <x v="2"/>
    <n v="4.7"/>
    <n v="1"/>
    <n v="0"/>
    <n v="0"/>
    <n v="1"/>
    <n v="0"/>
    <n v="0"/>
  </r>
  <r>
    <s v="APP0011"/>
    <s v="CAND1068"/>
    <s v="Chloe Bishop"/>
    <s v="Chloe"/>
    <s v="Bishop"/>
    <x v="0"/>
    <x v="4"/>
    <x v="4"/>
    <s v="Michael Patel"/>
    <x v="2"/>
    <d v="2024-05-25T00:00:00"/>
    <x v="5"/>
    <x v="0"/>
    <d v="2024-05-30T00:00:00"/>
    <d v="2024-06-30T00:00:00"/>
    <s v=""/>
    <s v=""/>
    <s v="Offered"/>
    <n v="28120"/>
    <n v="30806"/>
    <x v="3"/>
    <x v="1"/>
    <n v="2.2000000000000002"/>
    <n v="1"/>
    <n v="0"/>
    <n v="0"/>
    <n v="1"/>
    <n v="1"/>
    <n v="0"/>
  </r>
  <r>
    <s v="APP0012"/>
    <s v="CAND1088"/>
    <s v="Dorothy Stevens Peacock"/>
    <s v="Dorothy"/>
    <s v="Peacock"/>
    <x v="3"/>
    <x v="3"/>
    <x v="4"/>
    <s v="Sarah Green"/>
    <x v="4"/>
    <d v="2024-08-01T00:00:00"/>
    <x v="0"/>
    <x v="0"/>
    <d v="2024-08-08T00:00:00"/>
    <s v=""/>
    <s v=""/>
    <s v=""/>
    <s v="Interviewed"/>
    <n v="41262"/>
    <m/>
    <x v="2"/>
    <x v="1"/>
    <n v="4.4000000000000004"/>
    <n v="1"/>
    <n v="0"/>
    <n v="0"/>
    <n v="1"/>
    <n v="0"/>
    <n v="0"/>
  </r>
  <r>
    <s v="APP0013"/>
    <s v="CAND1048"/>
    <s v="Rita Bates"/>
    <s v="Rita"/>
    <s v="Bates"/>
    <x v="3"/>
    <x v="0"/>
    <x v="0"/>
    <s v="James Clarke"/>
    <x v="1"/>
    <d v="2025-04-11T00:00:00"/>
    <x v="8"/>
    <x v="1"/>
    <d v="2025-04-22T00:00:00"/>
    <s v=""/>
    <s v=""/>
    <s v=""/>
    <s v="Interviewed"/>
    <n v="40434"/>
    <m/>
    <x v="4"/>
    <x v="2"/>
    <n v="4.4000000000000004"/>
    <n v="1"/>
    <n v="0"/>
    <n v="0"/>
    <n v="1"/>
    <n v="0"/>
    <n v="0"/>
  </r>
  <r>
    <s v="APP0014"/>
    <s v="CAND1036"/>
    <s v="Ryan Atkinson"/>
    <s v="Ryan"/>
    <s v="Atkinson"/>
    <x v="4"/>
    <x v="2"/>
    <x v="6"/>
    <s v="Tom Davies"/>
    <x v="4"/>
    <d v="2024-05-05T00:00:00"/>
    <x v="5"/>
    <x v="0"/>
    <s v=""/>
    <s v=""/>
    <s v=""/>
    <s v=""/>
    <s v="Applied"/>
    <n v="39657"/>
    <m/>
    <x v="4"/>
    <x v="0"/>
    <n v="3"/>
    <n v="1"/>
    <n v="0"/>
    <n v="0"/>
    <n v="0"/>
    <n v="0"/>
    <n v="0"/>
  </r>
  <r>
    <s v="APP0015"/>
    <s v="CAND1014"/>
    <s v="Frances Anderson"/>
    <s v="Frances"/>
    <s v="Anderson"/>
    <x v="4"/>
    <x v="1"/>
    <x v="2"/>
    <s v="Emma Wilson"/>
    <x v="0"/>
    <d v="2024-03-31T00:00:00"/>
    <x v="3"/>
    <x v="0"/>
    <s v=""/>
    <s v=""/>
    <s v=""/>
    <s v=""/>
    <s v="Applied"/>
    <n v="43984"/>
    <m/>
    <x v="2"/>
    <x v="1"/>
    <n v="3.9"/>
    <n v="1"/>
    <n v="0"/>
    <n v="0"/>
    <n v="0"/>
    <n v="0"/>
    <n v="0"/>
  </r>
  <r>
    <s v="APP0016"/>
    <s v="CAND1110"/>
    <s v="William Clarke"/>
    <s v="William"/>
    <s v="Clarke"/>
    <x v="3"/>
    <x v="4"/>
    <x v="4"/>
    <s v="James Clarke"/>
    <x v="4"/>
    <d v="2024-01-04T00:00:00"/>
    <x v="9"/>
    <x v="0"/>
    <s v=""/>
    <s v=""/>
    <s v=""/>
    <s v=""/>
    <s v="Withdrawn"/>
    <n v="40008"/>
    <m/>
    <x v="1"/>
    <x v="0"/>
    <n v="2.9"/>
    <n v="1"/>
    <n v="1"/>
    <n v="0"/>
    <n v="0"/>
    <n v="0"/>
    <n v="0"/>
  </r>
  <r>
    <s v="APP0017"/>
    <s v="CAND1058"/>
    <s v="Michelle Elliott"/>
    <s v="Michelle"/>
    <s v="Elliott"/>
    <x v="0"/>
    <x v="1"/>
    <x v="1"/>
    <s v="James Clarke"/>
    <x v="4"/>
    <d v="2024-07-18T00:00:00"/>
    <x v="1"/>
    <x v="0"/>
    <d v="2024-08-14T00:00:00"/>
    <d v="2024-08-09T00:00:00"/>
    <d v="2024-09-05T00:00:00"/>
    <n v="49"/>
    <s v="Hired"/>
    <n v="43061"/>
    <n v="46495"/>
    <x v="3"/>
    <x v="0"/>
    <n v="4.5999999999999996"/>
    <n v="1"/>
    <n v="0"/>
    <n v="0"/>
    <n v="1"/>
    <n v="0"/>
    <n v="1"/>
  </r>
  <r>
    <s v="APP0018"/>
    <s v="CAND1161"/>
    <s v="Sally Stewart"/>
    <s v="Sally"/>
    <s v="Stewart"/>
    <x v="3"/>
    <x v="4"/>
    <x v="4"/>
    <s v="Emma Wilson"/>
    <x v="0"/>
    <d v="2025-01-25T00:00:00"/>
    <x v="10"/>
    <x v="1"/>
    <s v=""/>
    <s v=""/>
    <s v=""/>
    <s v=""/>
    <s v="Rejected"/>
    <n v="38559"/>
    <m/>
    <x v="0"/>
    <x v="0"/>
    <n v="4.3"/>
    <n v="1"/>
    <n v="0"/>
    <n v="1"/>
    <n v="0"/>
    <n v="0"/>
    <n v="0"/>
  </r>
  <r>
    <s v="APP0019"/>
    <s v="CAND1153"/>
    <s v="Jacqueline Rahman"/>
    <s v="Jacqueline"/>
    <s v="Rahman"/>
    <x v="3"/>
    <x v="3"/>
    <x v="2"/>
    <s v="Michael Patel"/>
    <x v="0"/>
    <d v="2024-09-10T00:00:00"/>
    <x v="4"/>
    <x v="0"/>
    <s v=""/>
    <s v=""/>
    <s v=""/>
    <s v=""/>
    <s v="Applied"/>
    <n v="39953"/>
    <m/>
    <x v="2"/>
    <x v="2"/>
    <n v="2.9"/>
    <n v="1"/>
    <n v="0"/>
    <n v="0"/>
    <n v="0"/>
    <n v="0"/>
    <n v="0"/>
  </r>
  <r>
    <s v="APP0020"/>
    <s v="CAND1067"/>
    <s v="Vanessa Patterson"/>
    <s v="Vanessa"/>
    <s v="Patterson"/>
    <x v="3"/>
    <x v="3"/>
    <x v="1"/>
    <s v="Emma Wilson"/>
    <x v="2"/>
    <d v="2024-11-07T00:00:00"/>
    <x v="7"/>
    <x v="0"/>
    <s v=""/>
    <s v=""/>
    <s v=""/>
    <s v=""/>
    <s v="Rejected"/>
    <n v="40400"/>
    <m/>
    <x v="0"/>
    <x v="1"/>
    <n v="3.3"/>
    <n v="1"/>
    <n v="0"/>
    <n v="1"/>
    <n v="0"/>
    <n v="0"/>
    <n v="0"/>
  </r>
  <r>
    <s v="APP0021"/>
    <s v="CAND1227"/>
    <s v="Amy Carpenter"/>
    <s v="Amy"/>
    <s v="Carpenter"/>
    <x v="5"/>
    <x v="0"/>
    <x v="6"/>
    <s v="Michael Patel"/>
    <x v="3"/>
    <d v="2025-02-07T00:00:00"/>
    <x v="11"/>
    <x v="1"/>
    <s v=""/>
    <s v=""/>
    <s v=""/>
    <s v=""/>
    <s v="Applied"/>
    <n v="36345"/>
    <m/>
    <x v="0"/>
    <x v="2"/>
    <n v="2.4"/>
    <n v="1"/>
    <n v="0"/>
    <n v="0"/>
    <n v="0"/>
    <n v="0"/>
    <n v="0"/>
  </r>
  <r>
    <s v="APP0022"/>
    <s v="CAND1043"/>
    <s v="Joshua Baker"/>
    <s v="Joshua"/>
    <s v="Baker"/>
    <x v="2"/>
    <x v="4"/>
    <x v="4"/>
    <s v="Tom Davies"/>
    <x v="0"/>
    <d v="2025-03-26T00:00:00"/>
    <x v="12"/>
    <x v="1"/>
    <s v=""/>
    <s v=""/>
    <s v=""/>
    <s v=""/>
    <s v="Rejected"/>
    <n v="46206"/>
    <m/>
    <x v="3"/>
    <x v="2"/>
    <m/>
    <n v="1"/>
    <n v="0"/>
    <n v="1"/>
    <n v="0"/>
    <n v="0"/>
    <n v="0"/>
  </r>
  <r>
    <s v="APP0023"/>
    <s v="CAND1051"/>
    <s v="Stanley Flynn"/>
    <s v="Stanley"/>
    <s v="Flynn"/>
    <x v="0"/>
    <x v="2"/>
    <x v="3"/>
    <s v="Michael Patel"/>
    <x v="3"/>
    <d v="2025-03-17T00:00:00"/>
    <x v="12"/>
    <x v="1"/>
    <s v=""/>
    <s v=""/>
    <s v=""/>
    <s v=""/>
    <s v="Applied"/>
    <n v="31353"/>
    <m/>
    <x v="4"/>
    <x v="2"/>
    <n v="3.2"/>
    <n v="1"/>
    <n v="0"/>
    <n v="0"/>
    <n v="0"/>
    <n v="0"/>
    <n v="0"/>
  </r>
  <r>
    <s v="APP0024"/>
    <s v="CAND1183"/>
    <s v="Katherine Oliver"/>
    <s v="Katherine"/>
    <s v="Oliver"/>
    <x v="3"/>
    <x v="2"/>
    <x v="4"/>
    <s v="Emma Wilson"/>
    <x v="3"/>
    <d v="2024-05-30T00:00:00"/>
    <x v="5"/>
    <x v="0"/>
    <d v="2024-06-24T00:00:00"/>
    <d v="2024-07-10T00:00:00"/>
    <s v=""/>
    <s v=""/>
    <s v="Offered"/>
    <n v="40729"/>
    <n v="44715"/>
    <x v="4"/>
    <x v="2"/>
    <n v="3.3"/>
    <n v="1"/>
    <n v="0"/>
    <n v="0"/>
    <n v="1"/>
    <n v="1"/>
    <n v="0"/>
  </r>
  <r>
    <s v="APP0025"/>
    <s v="CAND1033"/>
    <s v="Leah Simmons"/>
    <s v="Leah"/>
    <s v="Simmons"/>
    <x v="3"/>
    <x v="2"/>
    <x v="4"/>
    <s v="Sarah Green"/>
    <x v="2"/>
    <d v="2024-07-26T00:00:00"/>
    <x v="1"/>
    <x v="0"/>
    <s v=""/>
    <s v=""/>
    <s v=""/>
    <s v=""/>
    <s v="Withdrawn"/>
    <n v="40287"/>
    <m/>
    <x v="2"/>
    <x v="1"/>
    <n v="4.3"/>
    <n v="1"/>
    <n v="1"/>
    <n v="0"/>
    <n v="0"/>
    <n v="0"/>
    <n v="0"/>
  </r>
  <r>
    <s v="APP0026"/>
    <s v="CAND1236"/>
    <s v="Martin Bowen"/>
    <s v="Martin"/>
    <s v="Bowen"/>
    <x v="4"/>
    <x v="2"/>
    <x v="4"/>
    <s v="James Clarke"/>
    <x v="3"/>
    <d v="2025-04-22T00:00:00"/>
    <x v="8"/>
    <x v="1"/>
    <s v=""/>
    <s v=""/>
    <s v=""/>
    <s v=""/>
    <s v="Applied"/>
    <n v="31708"/>
    <m/>
    <x v="0"/>
    <x v="0"/>
    <n v="4.0999999999999996"/>
    <n v="1"/>
    <n v="0"/>
    <n v="0"/>
    <n v="0"/>
    <n v="0"/>
    <n v="0"/>
  </r>
  <r>
    <s v="APP0027"/>
    <s v="CAND1100"/>
    <s v="Charlene Russell"/>
    <s v="Charlene"/>
    <s v="Russell"/>
    <x v="5"/>
    <x v="1"/>
    <x v="2"/>
    <s v="Sarah Green"/>
    <x v="3"/>
    <d v="2025-01-22T00:00:00"/>
    <x v="10"/>
    <x v="1"/>
    <d v="2025-02-16T00:00:00"/>
    <s v=""/>
    <s v=""/>
    <s v=""/>
    <s v="Interviewed"/>
    <n v="45796"/>
    <m/>
    <x v="3"/>
    <x v="1"/>
    <n v="4.5"/>
    <n v="1"/>
    <n v="0"/>
    <n v="0"/>
    <n v="1"/>
    <n v="0"/>
    <n v="0"/>
  </r>
  <r>
    <s v="APP0028"/>
    <s v="CAND1003"/>
    <s v="Frances Collins"/>
    <s v="Frances"/>
    <s v="Collins"/>
    <x v="2"/>
    <x v="4"/>
    <x v="5"/>
    <s v="Emma Wilson"/>
    <x v="2"/>
    <d v="2024-06-01T00:00:00"/>
    <x v="13"/>
    <x v="0"/>
    <s v=""/>
    <s v=""/>
    <s v=""/>
    <s v=""/>
    <s v="Applied"/>
    <n v="43911"/>
    <m/>
    <x v="4"/>
    <x v="0"/>
    <n v="3.8"/>
    <n v="1"/>
    <n v="0"/>
    <n v="0"/>
    <n v="0"/>
    <n v="0"/>
    <n v="0"/>
  </r>
  <r>
    <s v="APP0029"/>
    <s v="CAND1137"/>
    <s v="Janice Bird"/>
    <s v="Janice"/>
    <s v="Bird"/>
    <x v="1"/>
    <x v="0"/>
    <x v="5"/>
    <s v="Michael Patel"/>
    <x v="0"/>
    <d v="2024-06-22T00:00:00"/>
    <x v="13"/>
    <x v="0"/>
    <d v="2024-07-21T00:00:00"/>
    <d v="2024-08-03T00:00:00"/>
    <d v="2024-09-01T00:00:00"/>
    <n v="71"/>
    <s v="Hired"/>
    <n v="43892"/>
    <n v="43698"/>
    <x v="4"/>
    <x v="2"/>
    <n v="2.7"/>
    <n v="1"/>
    <n v="0"/>
    <n v="0"/>
    <n v="1"/>
    <n v="0"/>
    <n v="1"/>
  </r>
  <r>
    <s v="APP0030"/>
    <s v="CAND1126"/>
    <s v="Stanley Reid"/>
    <s v="Stanley"/>
    <s v="Reid"/>
    <x v="2"/>
    <x v="0"/>
    <x v="4"/>
    <s v="James Clarke"/>
    <x v="1"/>
    <d v="2024-05-22T00:00:00"/>
    <x v="5"/>
    <x v="0"/>
    <d v="2024-06-09T00:00:00"/>
    <s v=""/>
    <s v=""/>
    <s v=""/>
    <s v="Interviewed"/>
    <n v="31353"/>
    <m/>
    <x v="3"/>
    <x v="0"/>
    <n v="2.4"/>
    <n v="1"/>
    <n v="0"/>
    <n v="0"/>
    <n v="1"/>
    <n v="0"/>
    <n v="0"/>
  </r>
  <r>
    <s v="APP0031"/>
    <s v="CAND1018"/>
    <s v="Carolyn Begum"/>
    <s v="Carolyn"/>
    <s v="Begum"/>
    <x v="2"/>
    <x v="1"/>
    <x v="1"/>
    <s v="Michael Patel"/>
    <x v="0"/>
    <d v="2024-06-30T00:00:00"/>
    <x v="13"/>
    <x v="0"/>
    <s v=""/>
    <s v=""/>
    <s v=""/>
    <s v=""/>
    <s v="Rejected"/>
    <n v="38825"/>
    <m/>
    <x v="1"/>
    <x v="0"/>
    <n v="4.8"/>
    <n v="1"/>
    <n v="0"/>
    <n v="1"/>
    <n v="0"/>
    <n v="0"/>
    <n v="0"/>
  </r>
  <r>
    <s v="APP0032"/>
    <s v="CAND1164"/>
    <s v="Barry Price"/>
    <s v="Barry"/>
    <s v="Price"/>
    <x v="0"/>
    <x v="2"/>
    <x v="2"/>
    <s v="James Clarke"/>
    <x v="0"/>
    <d v="2025-03-15T00:00:00"/>
    <x v="12"/>
    <x v="1"/>
    <s v=""/>
    <s v=""/>
    <s v=""/>
    <s v=""/>
    <s v="Withdrawn"/>
    <n v="37727"/>
    <m/>
    <x v="1"/>
    <x v="1"/>
    <n v="3.1"/>
    <n v="1"/>
    <n v="1"/>
    <n v="0"/>
    <n v="0"/>
    <n v="0"/>
    <n v="0"/>
  </r>
  <r>
    <s v="APP0033"/>
    <s v="CAND1043"/>
    <s v="Ricky Mason"/>
    <s v="Ricky"/>
    <s v="Mason"/>
    <x v="0"/>
    <x v="4"/>
    <x v="6"/>
    <s v="Sarah Green"/>
    <x v="3"/>
    <d v="2025-03-19T00:00:00"/>
    <x v="12"/>
    <x v="1"/>
    <d v="2025-04-18T00:00:00"/>
    <s v=""/>
    <s v=""/>
    <s v=""/>
    <s v="Interviewed"/>
    <n v="43908"/>
    <m/>
    <x v="3"/>
    <x v="2"/>
    <n v="5"/>
    <n v="1"/>
    <n v="0"/>
    <n v="0"/>
    <n v="1"/>
    <n v="0"/>
    <n v="0"/>
  </r>
  <r>
    <s v="APP0034"/>
    <s v="CAND1112"/>
    <s v="Holly Powell"/>
    <s v="Holly"/>
    <s v="Powell"/>
    <x v="0"/>
    <x v="3"/>
    <x v="2"/>
    <s v="Tom Davies"/>
    <x v="4"/>
    <d v="2024-03-03T00:00:00"/>
    <x v="3"/>
    <x v="0"/>
    <d v="2024-03-26T00:00:00"/>
    <d v="2024-03-23T00:00:00"/>
    <d v="2024-04-22T00:00:00"/>
    <n v="50"/>
    <s v="Hired"/>
    <n v="38161"/>
    <n v="38916"/>
    <x v="4"/>
    <x v="2"/>
    <n v="2.5"/>
    <n v="1"/>
    <n v="0"/>
    <n v="0"/>
    <n v="1"/>
    <n v="0"/>
    <n v="1"/>
  </r>
  <r>
    <s v="APP0035"/>
    <s v="CAND1019"/>
    <s v="Lesley Bishop"/>
    <s v="Lesley"/>
    <s v="Bishop"/>
    <x v="4"/>
    <x v="0"/>
    <x v="1"/>
    <s v="Tom Davies"/>
    <x v="2"/>
    <d v="2024-12-03T00:00:00"/>
    <x v="14"/>
    <x v="0"/>
    <d v="2024-12-27T00:00:00"/>
    <d v="2025-01-14T00:00:00"/>
    <d v="2025-02-06T00:00:00"/>
    <n v="65"/>
    <s v="Hired"/>
    <n v="39128"/>
    <n v="39038"/>
    <x v="3"/>
    <x v="0"/>
    <n v="3.3"/>
    <n v="1"/>
    <n v="0"/>
    <n v="0"/>
    <n v="1"/>
    <n v="0"/>
    <n v="1"/>
  </r>
  <r>
    <s v="APP0036"/>
    <s v="CAND1078"/>
    <s v="Beth Spencer"/>
    <s v="Beth"/>
    <s v="Spencer"/>
    <x v="2"/>
    <x v="4"/>
    <x v="4"/>
    <s v="Sarah Green"/>
    <x v="3"/>
    <d v="2024-07-30T00:00:00"/>
    <x v="1"/>
    <x v="0"/>
    <s v=""/>
    <s v=""/>
    <s v=""/>
    <s v=""/>
    <s v="Rejected"/>
    <n v="32659"/>
    <m/>
    <x v="4"/>
    <x v="2"/>
    <n v="2.2000000000000002"/>
    <n v="1"/>
    <n v="0"/>
    <n v="1"/>
    <n v="0"/>
    <n v="0"/>
    <n v="0"/>
  </r>
  <r>
    <s v="APP0037"/>
    <s v="CAND1220"/>
    <s v="Bryan Cunningham"/>
    <s v="Bryan"/>
    <s v="Cunningham"/>
    <x v="1"/>
    <x v="0"/>
    <x v="2"/>
    <s v="Michael Patel"/>
    <x v="0"/>
    <d v="2024-09-08T00:00:00"/>
    <x v="4"/>
    <x v="0"/>
    <d v="2024-09-15T00:00:00"/>
    <s v=""/>
    <s v=""/>
    <s v=""/>
    <s v="Interviewed"/>
    <n v="34309"/>
    <m/>
    <x v="1"/>
    <x v="1"/>
    <n v="2.5"/>
    <n v="1"/>
    <n v="0"/>
    <n v="0"/>
    <n v="1"/>
    <n v="0"/>
    <n v="0"/>
  </r>
  <r>
    <s v="APP0038"/>
    <s v="CAND1027"/>
    <s v="Jacqueline Bailey"/>
    <s v="Jacqueline"/>
    <s v="Bailey"/>
    <x v="0"/>
    <x v="1"/>
    <x v="4"/>
    <s v="James Clarke"/>
    <x v="3"/>
    <d v="2025-02-09T00:00:00"/>
    <x v="11"/>
    <x v="1"/>
    <s v=""/>
    <s v=""/>
    <s v=""/>
    <s v=""/>
    <s v="Applied"/>
    <n v="29123"/>
    <m/>
    <x v="2"/>
    <x v="0"/>
    <n v="3.6"/>
    <n v="1"/>
    <n v="0"/>
    <n v="0"/>
    <n v="0"/>
    <n v="0"/>
    <n v="0"/>
  </r>
  <r>
    <s v="APP0039"/>
    <s v="CAND1021"/>
    <s v="Rosie Lane"/>
    <s v="Rosie"/>
    <s v="Lane"/>
    <x v="5"/>
    <x v="1"/>
    <x v="0"/>
    <s v="James Clarke"/>
    <x v="3"/>
    <d v="2024-06-03T00:00:00"/>
    <x v="13"/>
    <x v="0"/>
    <s v=""/>
    <s v=""/>
    <s v=""/>
    <s v=""/>
    <s v="Applied"/>
    <n v="44189"/>
    <m/>
    <x v="1"/>
    <x v="0"/>
    <n v="3.2"/>
    <n v="1"/>
    <n v="0"/>
    <n v="0"/>
    <n v="0"/>
    <n v="0"/>
    <n v="0"/>
  </r>
  <r>
    <s v="APP0040"/>
    <s v="CAND1006"/>
    <s v="Roy Jones"/>
    <s v="Roy"/>
    <s v="Jones"/>
    <x v="3"/>
    <x v="2"/>
    <x v="6"/>
    <s v="Tom Davies"/>
    <x v="0"/>
    <d v="2024-10-05T00:00:00"/>
    <x v="15"/>
    <x v="0"/>
    <s v=""/>
    <s v=""/>
    <s v=""/>
    <s v=""/>
    <s v="Applied"/>
    <n v="44526"/>
    <m/>
    <x v="3"/>
    <x v="2"/>
    <n v="3.2"/>
    <n v="1"/>
    <n v="0"/>
    <n v="0"/>
    <n v="0"/>
    <n v="0"/>
    <n v="0"/>
  </r>
  <r>
    <s v="APP0041"/>
    <s v="CAND1166"/>
    <s v="Lesley Hudson"/>
    <s v="Lesley"/>
    <s v="Hudson"/>
    <x v="3"/>
    <x v="0"/>
    <x v="2"/>
    <s v="Sarah Green"/>
    <x v="4"/>
    <d v="2025-01-17T00:00:00"/>
    <x v="10"/>
    <x v="1"/>
    <d v="2025-01-24T00:00:00"/>
    <s v=""/>
    <s v=""/>
    <s v=""/>
    <s v="Interviewed"/>
    <n v="50270"/>
    <m/>
    <x v="0"/>
    <x v="1"/>
    <n v="4.0999999999999996"/>
    <n v="1"/>
    <n v="0"/>
    <n v="0"/>
    <n v="1"/>
    <n v="0"/>
    <n v="0"/>
  </r>
  <r>
    <s v="APP0042"/>
    <s v="CAND1211"/>
    <s v="Karen Sutton"/>
    <s v="Karen"/>
    <s v="Sutton"/>
    <x v="3"/>
    <x v="4"/>
    <x v="1"/>
    <s v="Sarah Green"/>
    <x v="4"/>
    <d v="2024-11-04T00:00:00"/>
    <x v="7"/>
    <x v="0"/>
    <s v=""/>
    <s v=""/>
    <s v=""/>
    <s v=""/>
    <s v="Applied"/>
    <n v="44498"/>
    <m/>
    <x v="4"/>
    <x v="2"/>
    <n v="3.6"/>
    <n v="1"/>
    <n v="0"/>
    <n v="0"/>
    <n v="0"/>
    <n v="0"/>
    <n v="0"/>
  </r>
  <r>
    <s v="APP0043"/>
    <s v="CAND1073"/>
    <s v="Rebecca Andrews"/>
    <s v="Rebecca"/>
    <s v="Andrews"/>
    <x v="0"/>
    <x v="3"/>
    <x v="4"/>
    <s v="Michael Patel"/>
    <x v="0"/>
    <d v="2024-08-21T00:00:00"/>
    <x v="0"/>
    <x v="0"/>
    <s v=""/>
    <s v=""/>
    <s v=""/>
    <s v=""/>
    <s v="Rejected"/>
    <n v="33498"/>
    <m/>
    <x v="3"/>
    <x v="0"/>
    <n v="4.5"/>
    <n v="1"/>
    <n v="0"/>
    <n v="1"/>
    <n v="0"/>
    <n v="0"/>
    <n v="0"/>
  </r>
  <r>
    <s v="APP0044"/>
    <s v="CAND1010"/>
    <s v="Lewis Reynolds"/>
    <s v="Lewis"/>
    <s v="Reynolds"/>
    <x v="1"/>
    <x v="0"/>
    <x v="3"/>
    <s v="Tom Davies"/>
    <x v="1"/>
    <d v="2024-05-29T00:00:00"/>
    <x v="5"/>
    <x v="0"/>
    <s v=""/>
    <s v=""/>
    <s v=""/>
    <s v=""/>
    <s v="Applied"/>
    <n v="44058"/>
    <m/>
    <x v="3"/>
    <x v="1"/>
    <n v="3.2"/>
    <n v="1"/>
    <n v="0"/>
    <n v="0"/>
    <n v="0"/>
    <n v="0"/>
    <n v="0"/>
  </r>
  <r>
    <s v="APP0045"/>
    <s v="CAND1200"/>
    <s v="Rachel Ellis"/>
    <s v="Rachel"/>
    <s v="Ellis"/>
    <x v="4"/>
    <x v="4"/>
    <x v="5"/>
    <s v="Sarah Green"/>
    <x v="0"/>
    <d v="2025-04-24T00:00:00"/>
    <x v="8"/>
    <x v="1"/>
    <s v=""/>
    <s v=""/>
    <s v=""/>
    <s v=""/>
    <s v="Rejected"/>
    <n v="38421"/>
    <m/>
    <x v="4"/>
    <x v="2"/>
    <n v="2.8"/>
    <n v="1"/>
    <n v="0"/>
    <n v="1"/>
    <n v="0"/>
    <n v="0"/>
    <n v="0"/>
  </r>
  <r>
    <s v="APP0046"/>
    <s v="CAND1081"/>
    <s v="Anthony Whittaker Griffiths"/>
    <s v="Anthony"/>
    <s v="Griffiths"/>
    <x v="3"/>
    <x v="2"/>
    <x v="2"/>
    <s v="Emma Wilson"/>
    <x v="0"/>
    <d v="2024-06-23T00:00:00"/>
    <x v="13"/>
    <x v="0"/>
    <s v=""/>
    <s v=""/>
    <s v=""/>
    <s v=""/>
    <s v="Withdrawn"/>
    <n v="29475"/>
    <m/>
    <x v="1"/>
    <x v="1"/>
    <n v="3.4"/>
    <n v="1"/>
    <n v="1"/>
    <n v="0"/>
    <n v="0"/>
    <n v="0"/>
    <n v="0"/>
  </r>
  <r>
    <s v="APP0047"/>
    <s v="CAND1041"/>
    <s v="Lynne Daniels"/>
    <s v="Lynne"/>
    <s v="Daniels"/>
    <x v="1"/>
    <x v="4"/>
    <x v="0"/>
    <s v="James Clarke"/>
    <x v="3"/>
    <d v="2025-02-26T00:00:00"/>
    <x v="11"/>
    <x v="1"/>
    <s v=""/>
    <s v=""/>
    <s v=""/>
    <s v=""/>
    <s v="Applied"/>
    <n v="43698"/>
    <m/>
    <x v="3"/>
    <x v="1"/>
    <n v="3.5"/>
    <n v="1"/>
    <n v="0"/>
    <n v="0"/>
    <n v="0"/>
    <n v="0"/>
    <n v="0"/>
  </r>
  <r>
    <s v="APP0048"/>
    <s v="CAND1120"/>
    <s v="Claire Cox"/>
    <s v="Claire"/>
    <s v="Cox"/>
    <x v="4"/>
    <x v="3"/>
    <x v="4"/>
    <s v="Sarah Green"/>
    <x v="0"/>
    <d v="2025-03-08T00:00:00"/>
    <x v="12"/>
    <x v="1"/>
    <s v=""/>
    <s v=""/>
    <s v=""/>
    <s v=""/>
    <s v="Rejected"/>
    <n v="32416"/>
    <m/>
    <x v="0"/>
    <x v="1"/>
    <n v="3.8"/>
    <n v="1"/>
    <n v="0"/>
    <n v="1"/>
    <n v="0"/>
    <n v="0"/>
    <n v="0"/>
  </r>
  <r>
    <s v="APP0049"/>
    <s v="CAND1232"/>
    <s v="Hugh Pearson"/>
    <s v="Hugh"/>
    <s v="Pearson"/>
    <x v="2"/>
    <x v="4"/>
    <x v="4"/>
    <s v="James Clarke"/>
    <x v="0"/>
    <d v="2024-05-11T00:00:00"/>
    <x v="5"/>
    <x v="0"/>
    <d v="2024-05-26T00:00:00"/>
    <d v="2024-06-10T00:00:00"/>
    <d v="2024-07-13T00:00:00"/>
    <n v="63"/>
    <s v="Hired"/>
    <n v="42769"/>
    <n v="44001"/>
    <x v="0"/>
    <x v="1"/>
    <n v="2.4"/>
    <n v="1"/>
    <n v="0"/>
    <n v="0"/>
    <n v="1"/>
    <n v="0"/>
    <n v="1"/>
  </r>
  <r>
    <s v="APP0050"/>
    <s v="CAND1117"/>
    <s v="Victoria Smith"/>
    <s v="Victoria"/>
    <s v="Smith"/>
    <x v="1"/>
    <x v="1"/>
    <x v="4"/>
    <s v="Michael Patel"/>
    <x v="2"/>
    <d v="2024-04-29T00:00:00"/>
    <x v="6"/>
    <x v="0"/>
    <d v="2024-05-19T00:00:00"/>
    <d v="2024-06-06T00:00:00"/>
    <s v=""/>
    <s v=""/>
    <s v="Offered"/>
    <n v="32582"/>
    <n v="30886"/>
    <x v="1"/>
    <x v="2"/>
    <n v="4.7"/>
    <n v="1"/>
    <n v="0"/>
    <n v="0"/>
    <n v="1"/>
    <n v="1"/>
    <n v="0"/>
  </r>
  <r>
    <s v="APP0051"/>
    <s v="CAND1041"/>
    <s v="Max Johnson"/>
    <s v="Max"/>
    <s v="Johnson"/>
    <x v="1"/>
    <x v="0"/>
    <x v="3"/>
    <s v="Emma Wilson"/>
    <x v="1"/>
    <d v="2024-10-31T00:00:00"/>
    <x v="15"/>
    <x v="0"/>
    <s v=""/>
    <s v=""/>
    <s v=""/>
    <s v=""/>
    <s v="Applied"/>
    <n v="48670"/>
    <m/>
    <x v="1"/>
    <x v="1"/>
    <m/>
    <n v="1"/>
    <n v="0"/>
    <n v="0"/>
    <n v="0"/>
    <n v="0"/>
    <n v="0"/>
  </r>
  <r>
    <s v="APP0052"/>
    <s v="CAND1172"/>
    <s v="Kerry Pugh"/>
    <s v="Kerry"/>
    <s v="Pugh"/>
    <x v="5"/>
    <x v="2"/>
    <x v="3"/>
    <s v="Sarah Green"/>
    <x v="4"/>
    <d v="2025-05-08T00:00:00"/>
    <x v="16"/>
    <x v="1"/>
    <s v=""/>
    <s v=""/>
    <s v=""/>
    <s v=""/>
    <s v="Applied"/>
    <n v="42256"/>
    <m/>
    <x v="4"/>
    <x v="0"/>
    <n v="4.3"/>
    <n v="1"/>
    <n v="0"/>
    <n v="0"/>
    <n v="0"/>
    <n v="0"/>
    <n v="0"/>
  </r>
  <r>
    <s v="APP0053"/>
    <s v="CAND1214"/>
    <s v="Kathryn Houghton"/>
    <s v="Kathryn"/>
    <s v="Houghton"/>
    <x v="1"/>
    <x v="2"/>
    <x v="4"/>
    <s v="Tom Davies"/>
    <x v="0"/>
    <d v="2024-10-12T00:00:00"/>
    <x v="15"/>
    <x v="0"/>
    <s v=""/>
    <s v=""/>
    <s v=""/>
    <s v=""/>
    <s v="Applied"/>
    <n v="42381"/>
    <m/>
    <x v="4"/>
    <x v="1"/>
    <n v="4"/>
    <n v="1"/>
    <n v="0"/>
    <n v="0"/>
    <n v="0"/>
    <n v="0"/>
    <n v="0"/>
  </r>
  <r>
    <s v="APP0054"/>
    <s v="CAND1194"/>
    <s v="Charlie Bennett"/>
    <s v="Charlie"/>
    <s v="Bennett"/>
    <x v="3"/>
    <x v="0"/>
    <x v="6"/>
    <s v="Tom Davies"/>
    <x v="0"/>
    <d v="2025-03-07T00:00:00"/>
    <x v="12"/>
    <x v="1"/>
    <d v="2025-03-12T00:00:00"/>
    <s v=""/>
    <s v=""/>
    <s v=""/>
    <s v="Interviewed"/>
    <n v="32945"/>
    <m/>
    <x v="4"/>
    <x v="2"/>
    <m/>
    <n v="1"/>
    <n v="0"/>
    <n v="0"/>
    <n v="1"/>
    <n v="0"/>
    <n v="0"/>
  </r>
  <r>
    <s v="APP0055"/>
    <s v="CAND1104"/>
    <s v="Declan Phillips"/>
    <s v="Declan"/>
    <s v="Phillips"/>
    <x v="3"/>
    <x v="0"/>
    <x v="2"/>
    <s v="Sarah Green"/>
    <x v="0"/>
    <d v="2025-02-12T00:00:00"/>
    <x v="11"/>
    <x v="1"/>
    <s v=""/>
    <s v=""/>
    <s v=""/>
    <s v=""/>
    <s v="Rejected"/>
    <n v="50972"/>
    <m/>
    <x v="0"/>
    <x v="2"/>
    <n v="3.4"/>
    <n v="1"/>
    <n v="0"/>
    <n v="1"/>
    <n v="0"/>
    <n v="0"/>
    <n v="0"/>
  </r>
  <r>
    <s v="APP0056"/>
    <s v="CAND1087"/>
    <s v="Frances Ryan"/>
    <s v="Frances"/>
    <s v="Ryan"/>
    <x v="5"/>
    <x v="2"/>
    <x v="5"/>
    <s v="Emma Wilson"/>
    <x v="0"/>
    <d v="2024-06-15T00:00:00"/>
    <x v="13"/>
    <x v="0"/>
    <s v=""/>
    <s v=""/>
    <s v=""/>
    <s v=""/>
    <s v="Rejected"/>
    <n v="36413"/>
    <m/>
    <x v="4"/>
    <x v="0"/>
    <n v="4.4000000000000004"/>
    <n v="1"/>
    <n v="0"/>
    <n v="1"/>
    <n v="0"/>
    <n v="0"/>
    <n v="0"/>
  </r>
  <r>
    <s v="APP0057"/>
    <s v="CAND1023"/>
    <s v="Shirley Russell Gill"/>
    <s v="Shirley"/>
    <s v="Gill"/>
    <x v="2"/>
    <x v="1"/>
    <x v="0"/>
    <s v="Michael Patel"/>
    <x v="4"/>
    <d v="2024-12-13T00:00:00"/>
    <x v="14"/>
    <x v="0"/>
    <d v="2025-01-12T00:00:00"/>
    <d v="2025-01-09T00:00:00"/>
    <s v=""/>
    <s v=""/>
    <s v="Offered"/>
    <n v="50813"/>
    <n v="54082"/>
    <x v="1"/>
    <x v="0"/>
    <n v="4"/>
    <n v="1"/>
    <n v="0"/>
    <n v="0"/>
    <n v="1"/>
    <n v="1"/>
    <n v="0"/>
  </r>
  <r>
    <s v="APP0058"/>
    <s v="CAND1126"/>
    <s v="Donna John"/>
    <s v="Donna"/>
    <s v="John"/>
    <x v="0"/>
    <x v="1"/>
    <x v="2"/>
    <s v="Michael Patel"/>
    <x v="0"/>
    <d v="2025-05-07T00:00:00"/>
    <x v="16"/>
    <x v="1"/>
    <s v=""/>
    <s v=""/>
    <s v=""/>
    <s v=""/>
    <s v="Rejected"/>
    <n v="29541"/>
    <m/>
    <x v="4"/>
    <x v="1"/>
    <n v="2.1"/>
    <n v="1"/>
    <n v="0"/>
    <n v="1"/>
    <n v="0"/>
    <n v="0"/>
    <n v="0"/>
  </r>
  <r>
    <s v="APP0059"/>
    <s v="CAND1087"/>
    <s v="Rita Burke"/>
    <s v="Rita"/>
    <s v="Burke"/>
    <x v="5"/>
    <x v="2"/>
    <x v="2"/>
    <s v="Emma Wilson"/>
    <x v="0"/>
    <d v="2024-02-10T00:00:00"/>
    <x v="2"/>
    <x v="0"/>
    <d v="2024-02-27T00:00:00"/>
    <d v="2024-02-25T00:00:00"/>
    <d v="2024-03-21T00:00:00"/>
    <n v="40"/>
    <s v="Hired"/>
    <n v="43147"/>
    <n v="42406"/>
    <x v="1"/>
    <x v="1"/>
    <n v="3.1"/>
    <n v="1"/>
    <n v="0"/>
    <n v="0"/>
    <n v="1"/>
    <n v="0"/>
    <n v="1"/>
  </r>
  <r>
    <s v="APP0060"/>
    <s v="CAND1175"/>
    <s v="Barbara Tucker"/>
    <s v="Barbara"/>
    <s v="Tucker"/>
    <x v="4"/>
    <x v="4"/>
    <x v="3"/>
    <s v="Tom Davies"/>
    <x v="1"/>
    <d v="2025-01-13T00:00:00"/>
    <x v="10"/>
    <x v="1"/>
    <s v=""/>
    <s v=""/>
    <s v=""/>
    <s v=""/>
    <s v="Rejected"/>
    <n v="37498"/>
    <m/>
    <x v="3"/>
    <x v="1"/>
    <n v="2.4"/>
    <n v="1"/>
    <n v="0"/>
    <n v="1"/>
    <n v="0"/>
    <n v="0"/>
    <n v="0"/>
  </r>
  <r>
    <s v="APP0061"/>
    <s v="CAND1236"/>
    <s v="Susan Browne Jackson"/>
    <s v="Susan"/>
    <s v="Jackson"/>
    <x v="1"/>
    <x v="0"/>
    <x v="0"/>
    <s v="Michael Patel"/>
    <x v="0"/>
    <d v="2024-03-29T00:00:00"/>
    <x v="3"/>
    <x v="0"/>
    <s v=""/>
    <s v=""/>
    <s v=""/>
    <s v=""/>
    <s v="Withdrawn"/>
    <n v="48404"/>
    <m/>
    <x v="4"/>
    <x v="0"/>
    <n v="2.4"/>
    <n v="1"/>
    <n v="1"/>
    <n v="0"/>
    <n v="0"/>
    <n v="0"/>
    <n v="0"/>
  </r>
  <r>
    <s v="APP0062"/>
    <s v="CAND1234"/>
    <s v="Jeffrey Patterson"/>
    <s v="Jeffrey"/>
    <s v="Patterson"/>
    <x v="5"/>
    <x v="2"/>
    <x v="0"/>
    <s v="Sarah Green"/>
    <x v="0"/>
    <d v="2024-08-06T00:00:00"/>
    <x v="0"/>
    <x v="0"/>
    <s v=""/>
    <s v=""/>
    <s v=""/>
    <s v=""/>
    <s v="Applied"/>
    <n v="32933"/>
    <m/>
    <x v="0"/>
    <x v="0"/>
    <n v="3"/>
    <n v="1"/>
    <n v="0"/>
    <n v="0"/>
    <n v="0"/>
    <n v="0"/>
    <n v="0"/>
  </r>
  <r>
    <s v="APP0063"/>
    <s v="CAND1106"/>
    <s v="Andrew Williams"/>
    <s v="Andrew"/>
    <s v="Williams"/>
    <x v="5"/>
    <x v="0"/>
    <x v="5"/>
    <s v="Sarah Green"/>
    <x v="2"/>
    <d v="2024-12-27T00:00:00"/>
    <x v="14"/>
    <x v="0"/>
    <s v=""/>
    <s v=""/>
    <s v=""/>
    <s v=""/>
    <s v="Applied"/>
    <n v="38199"/>
    <m/>
    <x v="2"/>
    <x v="1"/>
    <n v="2.6"/>
    <n v="1"/>
    <n v="0"/>
    <n v="0"/>
    <n v="0"/>
    <n v="0"/>
    <n v="0"/>
  </r>
  <r>
    <s v="APP0064"/>
    <s v="CAND1165"/>
    <s v="Jamie Carey"/>
    <s v="Jamie"/>
    <s v="Carey"/>
    <x v="1"/>
    <x v="3"/>
    <x v="0"/>
    <s v="Emma Wilson"/>
    <x v="1"/>
    <d v="2024-08-29T00:00:00"/>
    <x v="0"/>
    <x v="0"/>
    <s v=""/>
    <s v=""/>
    <s v=""/>
    <s v=""/>
    <s v="Rejected"/>
    <n v="41832"/>
    <m/>
    <x v="4"/>
    <x v="0"/>
    <n v="4.4000000000000004"/>
    <n v="1"/>
    <n v="0"/>
    <n v="1"/>
    <n v="0"/>
    <n v="0"/>
    <n v="0"/>
  </r>
  <r>
    <s v="APP0065"/>
    <s v="CAND1123"/>
    <s v="Leonard Lloyd"/>
    <s v="Leonard"/>
    <s v="Lloyd"/>
    <x v="3"/>
    <x v="1"/>
    <x v="5"/>
    <s v="Michael Patel"/>
    <x v="0"/>
    <d v="2024-03-08T00:00:00"/>
    <x v="3"/>
    <x v="0"/>
    <d v="2024-03-31T00:00:00"/>
    <d v="2024-03-23T00:00:00"/>
    <d v="2024-04-26T00:00:00"/>
    <n v="49"/>
    <s v="Hired"/>
    <n v="38809"/>
    <n v="37212"/>
    <x v="4"/>
    <x v="1"/>
    <n v="4.2"/>
    <n v="1"/>
    <n v="0"/>
    <n v="0"/>
    <n v="1"/>
    <n v="0"/>
    <n v="1"/>
  </r>
  <r>
    <s v="APP0066"/>
    <s v="CAND1174"/>
    <s v="Lynne Morris"/>
    <s v="Lynne"/>
    <s v="Morris"/>
    <x v="3"/>
    <x v="1"/>
    <x v="0"/>
    <s v="Tom Davies"/>
    <x v="4"/>
    <d v="2024-11-01T00:00:00"/>
    <x v="7"/>
    <x v="0"/>
    <s v=""/>
    <s v=""/>
    <s v=""/>
    <s v=""/>
    <s v="Rejected"/>
    <n v="49724"/>
    <m/>
    <x v="4"/>
    <x v="1"/>
    <n v="3.4"/>
    <n v="1"/>
    <n v="0"/>
    <n v="1"/>
    <n v="0"/>
    <n v="0"/>
    <n v="0"/>
  </r>
  <r>
    <s v="APP0067"/>
    <s v="CAND1201"/>
    <s v="Ann Barker"/>
    <s v="Ann"/>
    <s v="Barker"/>
    <x v="1"/>
    <x v="0"/>
    <x v="1"/>
    <s v="James Clarke"/>
    <x v="0"/>
    <d v="2024-01-11T00:00:00"/>
    <x v="9"/>
    <x v="0"/>
    <s v=""/>
    <s v=""/>
    <s v=""/>
    <s v=""/>
    <s v="Withdrawn"/>
    <n v="45671"/>
    <m/>
    <x v="4"/>
    <x v="0"/>
    <n v="2.4"/>
    <n v="1"/>
    <n v="1"/>
    <n v="0"/>
    <n v="0"/>
    <n v="0"/>
    <n v="0"/>
  </r>
  <r>
    <s v="APP0068"/>
    <s v="CAND1180"/>
    <s v="Amy Coleman"/>
    <s v="Amy"/>
    <s v="Coleman"/>
    <x v="1"/>
    <x v="2"/>
    <x v="3"/>
    <s v="Michael Patel"/>
    <x v="3"/>
    <d v="2024-12-02T00:00:00"/>
    <x v="14"/>
    <x v="0"/>
    <s v=""/>
    <s v=""/>
    <s v=""/>
    <s v=""/>
    <s v="Applied"/>
    <n v="48447"/>
    <m/>
    <x v="2"/>
    <x v="1"/>
    <n v="2.1"/>
    <n v="1"/>
    <n v="0"/>
    <n v="0"/>
    <n v="0"/>
    <n v="0"/>
    <n v="0"/>
  </r>
  <r>
    <s v="APP0069"/>
    <s v="CAND1007"/>
    <s v="Rachael George"/>
    <s v="Rachael"/>
    <s v="George"/>
    <x v="1"/>
    <x v="3"/>
    <x v="1"/>
    <s v="Sarah Green"/>
    <x v="0"/>
    <d v="2025-04-06T00:00:00"/>
    <x v="8"/>
    <x v="1"/>
    <s v=""/>
    <s v=""/>
    <s v=""/>
    <s v=""/>
    <s v="Rejected"/>
    <n v="42167"/>
    <m/>
    <x v="0"/>
    <x v="0"/>
    <n v="3.2"/>
    <n v="1"/>
    <n v="0"/>
    <n v="1"/>
    <n v="0"/>
    <n v="0"/>
    <n v="0"/>
  </r>
  <r>
    <s v="APP0070"/>
    <s v="CAND1175"/>
    <s v="Barbara Bishop Green"/>
    <s v="Barbara"/>
    <s v="Green"/>
    <x v="0"/>
    <x v="4"/>
    <x v="2"/>
    <s v="Michael Patel"/>
    <x v="0"/>
    <d v="2024-02-23T00:00:00"/>
    <x v="2"/>
    <x v="0"/>
    <d v="2024-03-19T00:00:00"/>
    <s v=""/>
    <s v=""/>
    <s v=""/>
    <s v="Interviewed"/>
    <n v="46045"/>
    <m/>
    <x v="4"/>
    <x v="2"/>
    <n v="2.9"/>
    <n v="1"/>
    <n v="0"/>
    <n v="0"/>
    <n v="1"/>
    <n v="0"/>
    <n v="0"/>
  </r>
  <r>
    <s v="APP0071"/>
    <s v="CAND1138"/>
    <s v="Victoria Smith"/>
    <s v="Victoria"/>
    <s v="Smith"/>
    <x v="5"/>
    <x v="2"/>
    <x v="4"/>
    <s v="Emma Wilson"/>
    <x v="3"/>
    <d v="2024-08-20T00:00:00"/>
    <x v="0"/>
    <x v="0"/>
    <s v=""/>
    <s v=""/>
    <s v=""/>
    <s v=""/>
    <s v="Rejected"/>
    <n v="34310"/>
    <m/>
    <x v="4"/>
    <x v="0"/>
    <n v="4.3"/>
    <n v="1"/>
    <n v="0"/>
    <n v="1"/>
    <n v="0"/>
    <n v="0"/>
    <n v="0"/>
  </r>
  <r>
    <s v="APP0072"/>
    <s v="CAND1173"/>
    <s v="Nicole Murray"/>
    <s v="Nicole"/>
    <s v="Murray"/>
    <x v="2"/>
    <x v="4"/>
    <x v="6"/>
    <s v="Emma Wilson"/>
    <x v="2"/>
    <d v="2024-03-03T00:00:00"/>
    <x v="3"/>
    <x v="0"/>
    <d v="2024-03-27T00:00:00"/>
    <d v="2024-04-13T00:00:00"/>
    <s v=""/>
    <s v=""/>
    <s v="Offered"/>
    <n v="46030"/>
    <n v="47097"/>
    <x v="2"/>
    <x v="1"/>
    <n v="3.9"/>
    <n v="1"/>
    <n v="0"/>
    <n v="0"/>
    <n v="1"/>
    <n v="1"/>
    <n v="0"/>
  </r>
  <r>
    <s v="APP0073"/>
    <s v="CAND1022"/>
    <s v="Andrea Richardson Dobson"/>
    <s v="Andrea"/>
    <s v="Dobson"/>
    <x v="5"/>
    <x v="3"/>
    <x v="3"/>
    <s v="James Clarke"/>
    <x v="4"/>
    <d v="2024-05-02T00:00:00"/>
    <x v="5"/>
    <x v="0"/>
    <s v=""/>
    <s v=""/>
    <s v=""/>
    <s v=""/>
    <s v="Rejected"/>
    <n v="41765"/>
    <m/>
    <x v="0"/>
    <x v="1"/>
    <n v="3.9"/>
    <n v="1"/>
    <n v="0"/>
    <n v="1"/>
    <n v="0"/>
    <n v="0"/>
    <n v="0"/>
  </r>
  <r>
    <s v="APP0074"/>
    <s v="CAND1122"/>
    <s v="Michelle King"/>
    <s v="Michelle"/>
    <s v="King"/>
    <x v="5"/>
    <x v="0"/>
    <x v="5"/>
    <s v="Sarah Green"/>
    <x v="0"/>
    <d v="2024-01-23T00:00:00"/>
    <x v="9"/>
    <x v="0"/>
    <s v=""/>
    <s v=""/>
    <s v=""/>
    <s v=""/>
    <s v="Applied"/>
    <n v="51338"/>
    <m/>
    <x v="1"/>
    <x v="2"/>
    <n v="3.4"/>
    <n v="1"/>
    <n v="0"/>
    <n v="0"/>
    <n v="0"/>
    <n v="0"/>
    <n v="0"/>
  </r>
  <r>
    <s v="APP0075"/>
    <s v="CAND1204"/>
    <s v="Lorraine Woods"/>
    <s v="Lorraine"/>
    <s v="Woods"/>
    <x v="5"/>
    <x v="2"/>
    <x v="0"/>
    <s v="Tom Davies"/>
    <x v="0"/>
    <d v="2024-09-08T00:00:00"/>
    <x v="4"/>
    <x v="0"/>
    <s v=""/>
    <s v=""/>
    <s v=""/>
    <s v=""/>
    <s v="Applied"/>
    <n v="44062"/>
    <m/>
    <x v="4"/>
    <x v="1"/>
    <n v="3.2"/>
    <n v="1"/>
    <n v="0"/>
    <n v="0"/>
    <n v="0"/>
    <n v="0"/>
    <n v="0"/>
  </r>
  <r>
    <s v="APP0076"/>
    <s v="CAND1173"/>
    <s v="Katy Godfrey"/>
    <s v="Katy"/>
    <s v="Godfrey"/>
    <x v="3"/>
    <x v="2"/>
    <x v="4"/>
    <s v="Tom Davies"/>
    <x v="2"/>
    <d v="2025-04-11T00:00:00"/>
    <x v="8"/>
    <x v="1"/>
    <s v=""/>
    <s v=""/>
    <s v=""/>
    <s v=""/>
    <s v="Withdrawn"/>
    <n v="46574"/>
    <m/>
    <x v="4"/>
    <x v="0"/>
    <n v="3.3"/>
    <n v="1"/>
    <n v="1"/>
    <n v="0"/>
    <n v="0"/>
    <n v="0"/>
    <n v="0"/>
  </r>
  <r>
    <s v="APP0077"/>
    <s v="CAND1017"/>
    <s v="Elliot Smith Wilkinson"/>
    <s v="Elliot"/>
    <s v="Wilkinson"/>
    <x v="2"/>
    <x v="4"/>
    <x v="1"/>
    <s v="Sarah Green"/>
    <x v="0"/>
    <d v="2024-11-17T00:00:00"/>
    <x v="7"/>
    <x v="0"/>
    <s v=""/>
    <s v=""/>
    <s v=""/>
    <s v=""/>
    <s v="Rejected"/>
    <n v="32625"/>
    <m/>
    <x v="2"/>
    <x v="2"/>
    <n v="2.2999999999999998"/>
    <n v="1"/>
    <n v="0"/>
    <n v="1"/>
    <n v="0"/>
    <n v="0"/>
    <n v="0"/>
  </r>
  <r>
    <s v="APP0078"/>
    <s v="CAND1173"/>
    <s v="Raymond Young"/>
    <s v="Raymond"/>
    <s v="Young"/>
    <x v="2"/>
    <x v="4"/>
    <x v="2"/>
    <s v="Emma Wilson"/>
    <x v="0"/>
    <d v="2024-10-24T00:00:00"/>
    <x v="15"/>
    <x v="0"/>
    <s v=""/>
    <s v=""/>
    <s v=""/>
    <s v=""/>
    <s v="Rejected"/>
    <n v="31162"/>
    <m/>
    <x v="4"/>
    <x v="1"/>
    <n v="2.9"/>
    <n v="1"/>
    <n v="0"/>
    <n v="1"/>
    <n v="0"/>
    <n v="0"/>
    <n v="0"/>
  </r>
  <r>
    <s v="APP0079"/>
    <s v="CAND1067"/>
    <s v="Lauren Payne"/>
    <s v="Lauren"/>
    <s v="Payne"/>
    <x v="3"/>
    <x v="0"/>
    <x v="0"/>
    <s v="Tom Davies"/>
    <x v="2"/>
    <d v="2024-12-16T00:00:00"/>
    <x v="14"/>
    <x v="0"/>
    <s v=""/>
    <s v=""/>
    <s v=""/>
    <s v=""/>
    <s v="Rejected"/>
    <n v="45762"/>
    <m/>
    <x v="0"/>
    <x v="2"/>
    <n v="3.8"/>
    <n v="1"/>
    <n v="0"/>
    <n v="1"/>
    <n v="0"/>
    <n v="0"/>
    <n v="0"/>
  </r>
  <r>
    <s v="APP0080"/>
    <s v="CAND1223"/>
    <s v="Geoffrey Wilson Kay"/>
    <s v="Geoffrey"/>
    <s v="Kay"/>
    <x v="1"/>
    <x v="1"/>
    <x v="5"/>
    <s v="Emma Wilson"/>
    <x v="2"/>
    <d v="2024-04-11T00:00:00"/>
    <x v="6"/>
    <x v="0"/>
    <d v="2024-04-23T00:00:00"/>
    <d v="2024-05-02T00:00:00"/>
    <s v=""/>
    <s v=""/>
    <s v="Offered"/>
    <n v="47874"/>
    <n v="49964"/>
    <x v="1"/>
    <x v="2"/>
    <m/>
    <n v="1"/>
    <n v="0"/>
    <n v="0"/>
    <n v="1"/>
    <n v="1"/>
    <n v="0"/>
  </r>
  <r>
    <s v="APP0081"/>
    <s v="CAND1209"/>
    <s v="Conor Barnes"/>
    <s v="Conor"/>
    <s v="Barnes"/>
    <x v="1"/>
    <x v="3"/>
    <x v="1"/>
    <s v="Emma Wilson"/>
    <x v="2"/>
    <d v="2024-11-30T00:00:00"/>
    <x v="7"/>
    <x v="0"/>
    <s v=""/>
    <s v=""/>
    <s v=""/>
    <s v=""/>
    <s v="Rejected"/>
    <n v="31908"/>
    <m/>
    <x v="3"/>
    <x v="0"/>
    <n v="3"/>
    <n v="1"/>
    <n v="0"/>
    <n v="1"/>
    <n v="0"/>
    <n v="0"/>
    <n v="0"/>
  </r>
  <r>
    <s v="APP0082"/>
    <s v="CAND1157"/>
    <s v="Janet Turner"/>
    <s v="Janet"/>
    <s v="Turner"/>
    <x v="1"/>
    <x v="2"/>
    <x v="0"/>
    <s v="Michael Patel"/>
    <x v="1"/>
    <d v="2024-08-24T00:00:00"/>
    <x v="0"/>
    <x v="0"/>
    <s v=""/>
    <s v=""/>
    <s v=""/>
    <s v=""/>
    <s v="Rejected"/>
    <n v="49458"/>
    <m/>
    <x v="4"/>
    <x v="1"/>
    <n v="4.7"/>
    <n v="1"/>
    <n v="0"/>
    <n v="1"/>
    <n v="0"/>
    <n v="0"/>
    <n v="0"/>
  </r>
  <r>
    <s v="APP0083"/>
    <s v="CAND1205"/>
    <s v="Fiona Savage"/>
    <s v="Fiona"/>
    <s v="Savage"/>
    <x v="2"/>
    <x v="4"/>
    <x v="2"/>
    <s v="Sarah Green"/>
    <x v="1"/>
    <d v="2024-06-25T00:00:00"/>
    <x v="13"/>
    <x v="0"/>
    <d v="2024-07-23T00:00:00"/>
    <d v="2024-07-14T00:00:00"/>
    <s v=""/>
    <s v=""/>
    <s v="Offered"/>
    <n v="41675"/>
    <n v="43986"/>
    <x v="1"/>
    <x v="0"/>
    <n v="3.7"/>
    <n v="1"/>
    <n v="0"/>
    <n v="0"/>
    <n v="1"/>
    <n v="1"/>
    <n v="0"/>
  </r>
  <r>
    <s v="APP0084"/>
    <s v="CAND1215"/>
    <s v="Marian Cook"/>
    <s v="Marian"/>
    <s v="Cook"/>
    <x v="0"/>
    <x v="3"/>
    <x v="6"/>
    <s v="Sarah Green"/>
    <x v="0"/>
    <d v="2024-09-17T00:00:00"/>
    <x v="4"/>
    <x v="0"/>
    <d v="2024-09-24T00:00:00"/>
    <s v=""/>
    <s v=""/>
    <s v=""/>
    <s v="Interviewed"/>
    <n v="35356"/>
    <m/>
    <x v="3"/>
    <x v="0"/>
    <n v="4.5"/>
    <n v="1"/>
    <n v="0"/>
    <n v="0"/>
    <n v="1"/>
    <n v="0"/>
    <n v="0"/>
  </r>
  <r>
    <s v="APP0085"/>
    <s v="CAND1021"/>
    <s v="Paul Miller"/>
    <s v="Paul"/>
    <s v="Miller"/>
    <x v="2"/>
    <x v="3"/>
    <x v="5"/>
    <s v="Emma Wilson"/>
    <x v="2"/>
    <d v="2024-06-30T00:00:00"/>
    <x v="13"/>
    <x v="0"/>
    <d v="2024-07-12T00:00:00"/>
    <d v="2024-07-31T00:00:00"/>
    <d v="2024-07-26T00:00:00"/>
    <n v="26"/>
    <s v="Hired"/>
    <n v="47308"/>
    <n v="49200"/>
    <x v="4"/>
    <x v="2"/>
    <n v="4.5"/>
    <n v="1"/>
    <n v="0"/>
    <n v="0"/>
    <n v="1"/>
    <n v="0"/>
    <n v="1"/>
  </r>
  <r>
    <s v="APP0086"/>
    <s v="CAND1186"/>
    <s v="Caroline Russell"/>
    <s v="Caroline"/>
    <s v="Russell"/>
    <x v="1"/>
    <x v="3"/>
    <x v="6"/>
    <s v="James Clarke"/>
    <x v="4"/>
    <d v="2024-11-22T00:00:00"/>
    <x v="7"/>
    <x v="0"/>
    <d v="2024-12-04T00:00:00"/>
    <s v=""/>
    <s v=""/>
    <s v=""/>
    <s v="Interviewed"/>
    <n v="35437"/>
    <m/>
    <x v="2"/>
    <x v="2"/>
    <n v="4.2"/>
    <n v="1"/>
    <n v="0"/>
    <n v="0"/>
    <n v="1"/>
    <n v="0"/>
    <n v="0"/>
  </r>
  <r>
    <s v="APP0087"/>
    <s v="CAND1020"/>
    <s v="Louise Chadwick"/>
    <s v="Louise"/>
    <s v="Chadwick"/>
    <x v="5"/>
    <x v="0"/>
    <x v="5"/>
    <s v="Michael Patel"/>
    <x v="1"/>
    <d v="2024-07-26T00:00:00"/>
    <x v="1"/>
    <x v="0"/>
    <d v="2024-08-20T00:00:00"/>
    <s v=""/>
    <s v=""/>
    <s v=""/>
    <s v="Interviewed"/>
    <n v="29033"/>
    <m/>
    <x v="1"/>
    <x v="2"/>
    <n v="4.8"/>
    <n v="1"/>
    <n v="0"/>
    <n v="0"/>
    <n v="1"/>
    <n v="0"/>
    <n v="0"/>
  </r>
  <r>
    <s v="APP0088"/>
    <s v="CAND1230"/>
    <s v="Christopher Taylor"/>
    <s v="Christopher"/>
    <s v="Taylor"/>
    <x v="1"/>
    <x v="0"/>
    <x v="3"/>
    <s v="Tom Davies"/>
    <x v="3"/>
    <d v="2025-02-16T00:00:00"/>
    <x v="11"/>
    <x v="1"/>
    <s v=""/>
    <s v=""/>
    <s v=""/>
    <s v=""/>
    <s v="Applied"/>
    <n v="43841"/>
    <m/>
    <x v="4"/>
    <x v="0"/>
    <n v="4.5999999999999996"/>
    <n v="1"/>
    <n v="0"/>
    <n v="0"/>
    <n v="0"/>
    <n v="0"/>
    <n v="0"/>
  </r>
  <r>
    <s v="APP0089"/>
    <s v="CAND1080"/>
    <s v="Paula Jackson"/>
    <s v="Paula"/>
    <s v="Jackson"/>
    <x v="5"/>
    <x v="2"/>
    <x v="2"/>
    <s v="Emma Wilson"/>
    <x v="2"/>
    <d v="2024-10-18T00:00:00"/>
    <x v="15"/>
    <x v="0"/>
    <s v=""/>
    <s v=""/>
    <s v=""/>
    <s v=""/>
    <s v="Applied"/>
    <n v="28352"/>
    <m/>
    <x v="1"/>
    <x v="0"/>
    <n v="3.1"/>
    <n v="1"/>
    <n v="0"/>
    <n v="0"/>
    <n v="0"/>
    <n v="0"/>
    <n v="0"/>
  </r>
  <r>
    <s v="APP0090"/>
    <s v="CAND1134"/>
    <s v="Bethany Begum"/>
    <s v="Bethany"/>
    <s v="Begum"/>
    <x v="0"/>
    <x v="1"/>
    <x v="2"/>
    <s v="Emma Wilson"/>
    <x v="1"/>
    <d v="2025-04-20T00:00:00"/>
    <x v="8"/>
    <x v="1"/>
    <d v="2025-05-18T00:00:00"/>
    <s v=""/>
    <s v=""/>
    <s v=""/>
    <s v="Interviewed"/>
    <n v="36244"/>
    <m/>
    <x v="0"/>
    <x v="0"/>
    <n v="3.2"/>
    <n v="1"/>
    <n v="0"/>
    <n v="0"/>
    <n v="1"/>
    <n v="0"/>
    <n v="0"/>
  </r>
  <r>
    <s v="APP0091"/>
    <s v="CAND1003"/>
    <s v="Sally Hawkins Sanders"/>
    <s v="Sally"/>
    <s v="Sanders"/>
    <x v="3"/>
    <x v="1"/>
    <x v="4"/>
    <s v="Sarah Green"/>
    <x v="0"/>
    <d v="2024-10-07T00:00:00"/>
    <x v="15"/>
    <x v="0"/>
    <d v="2024-11-01T00:00:00"/>
    <s v=""/>
    <s v=""/>
    <s v=""/>
    <s v="Interviewed"/>
    <n v="44770"/>
    <m/>
    <x v="1"/>
    <x v="0"/>
    <n v="3.8"/>
    <n v="1"/>
    <n v="0"/>
    <n v="0"/>
    <n v="1"/>
    <n v="0"/>
    <n v="0"/>
  </r>
  <r>
    <s v="APP0092"/>
    <s v="CAND1034"/>
    <s v="Norman Williams"/>
    <s v="Norman"/>
    <s v="Williams"/>
    <x v="3"/>
    <x v="3"/>
    <x v="3"/>
    <s v="Sarah Green"/>
    <x v="2"/>
    <d v="2024-03-21T00:00:00"/>
    <x v="3"/>
    <x v="0"/>
    <s v=""/>
    <s v=""/>
    <s v=""/>
    <s v=""/>
    <s v="Applied"/>
    <n v="29639"/>
    <m/>
    <x v="1"/>
    <x v="2"/>
    <n v="4.3"/>
    <n v="1"/>
    <n v="0"/>
    <n v="0"/>
    <n v="0"/>
    <n v="0"/>
    <n v="0"/>
  </r>
  <r>
    <s v="APP0093"/>
    <s v="CAND1135"/>
    <s v="Harry Graham"/>
    <s v="Harry"/>
    <s v="Graham"/>
    <x v="0"/>
    <x v="1"/>
    <x v="5"/>
    <s v="James Clarke"/>
    <x v="1"/>
    <d v="2024-11-30T00:00:00"/>
    <x v="7"/>
    <x v="0"/>
    <d v="2024-12-08T00:00:00"/>
    <s v=""/>
    <s v=""/>
    <s v=""/>
    <s v="Interviewed"/>
    <n v="44653"/>
    <m/>
    <x v="0"/>
    <x v="0"/>
    <n v="2.7"/>
    <n v="1"/>
    <n v="0"/>
    <n v="0"/>
    <n v="1"/>
    <n v="0"/>
    <n v="0"/>
  </r>
  <r>
    <s v="APP0094"/>
    <s v="CAND1110"/>
    <s v="Rachel O'Connor"/>
    <s v="Rachel"/>
    <s v="O'Connor"/>
    <x v="1"/>
    <x v="0"/>
    <x v="5"/>
    <s v="Sarah Green"/>
    <x v="0"/>
    <d v="2024-07-18T00:00:00"/>
    <x v="1"/>
    <x v="0"/>
    <s v=""/>
    <s v=""/>
    <s v=""/>
    <s v=""/>
    <s v="Applied"/>
    <n v="50131"/>
    <m/>
    <x v="3"/>
    <x v="0"/>
    <n v="4.2"/>
    <n v="1"/>
    <n v="0"/>
    <n v="0"/>
    <n v="0"/>
    <n v="0"/>
    <n v="0"/>
  </r>
  <r>
    <s v="APP0095"/>
    <s v="CAND1143"/>
    <s v="Kyle Green"/>
    <s v="Kyle"/>
    <s v="Green"/>
    <x v="4"/>
    <x v="0"/>
    <x v="6"/>
    <s v="Emma Wilson"/>
    <x v="0"/>
    <d v="2025-02-28T00:00:00"/>
    <x v="11"/>
    <x v="1"/>
    <d v="2025-03-27T00:00:00"/>
    <s v=""/>
    <s v=""/>
    <s v=""/>
    <s v="Interviewed"/>
    <n v="29691"/>
    <m/>
    <x v="3"/>
    <x v="1"/>
    <n v="2.9"/>
    <n v="1"/>
    <n v="0"/>
    <n v="0"/>
    <n v="1"/>
    <n v="0"/>
    <n v="0"/>
  </r>
  <r>
    <s v="APP0096"/>
    <s v="CAND1020"/>
    <s v="Barry Thorpe"/>
    <s v="Barry"/>
    <s v="Thorpe"/>
    <x v="5"/>
    <x v="0"/>
    <x v="0"/>
    <s v="Sarah Green"/>
    <x v="0"/>
    <d v="2024-05-10T00:00:00"/>
    <x v="5"/>
    <x v="0"/>
    <s v=""/>
    <s v=""/>
    <s v=""/>
    <s v=""/>
    <s v="Applied"/>
    <n v="45176"/>
    <m/>
    <x v="2"/>
    <x v="2"/>
    <n v="3.5"/>
    <n v="1"/>
    <n v="0"/>
    <n v="0"/>
    <n v="0"/>
    <n v="0"/>
    <n v="0"/>
  </r>
  <r>
    <s v="APP0097"/>
    <s v="CAND1115"/>
    <s v="Martin Browne Patel"/>
    <s v="Martin"/>
    <s v="Patel"/>
    <x v="3"/>
    <x v="3"/>
    <x v="1"/>
    <s v="Tom Davies"/>
    <x v="0"/>
    <d v="2024-06-11T00:00:00"/>
    <x v="13"/>
    <x v="0"/>
    <d v="2024-06-22T00:00:00"/>
    <d v="2024-07-06T00:00:00"/>
    <d v="2024-08-06T00:00:00"/>
    <n v="56"/>
    <s v="Hired"/>
    <n v="30117"/>
    <n v="33263"/>
    <x v="0"/>
    <x v="1"/>
    <n v="2.5"/>
    <n v="1"/>
    <n v="0"/>
    <n v="0"/>
    <n v="1"/>
    <n v="0"/>
    <n v="1"/>
  </r>
  <r>
    <s v="APP0098"/>
    <s v="CAND1058"/>
    <s v="Lorraine Cooper"/>
    <s v="Lorraine"/>
    <s v="Cooper"/>
    <x v="5"/>
    <x v="0"/>
    <x v="0"/>
    <s v="Tom Davies"/>
    <x v="0"/>
    <d v="2024-07-03T00:00:00"/>
    <x v="1"/>
    <x v="0"/>
    <d v="2024-07-09T00:00:00"/>
    <s v=""/>
    <s v=""/>
    <s v=""/>
    <s v="Interviewed"/>
    <n v="31037"/>
    <m/>
    <x v="2"/>
    <x v="1"/>
    <n v="3"/>
    <n v="1"/>
    <n v="0"/>
    <n v="0"/>
    <n v="1"/>
    <n v="0"/>
    <n v="0"/>
  </r>
  <r>
    <s v="APP0099"/>
    <s v="CAND1131"/>
    <s v="Adrian Powell"/>
    <s v="Adrian"/>
    <s v="Powell"/>
    <x v="4"/>
    <x v="0"/>
    <x v="4"/>
    <s v="James Clarke"/>
    <x v="0"/>
    <d v="2025-02-19T00:00:00"/>
    <x v="11"/>
    <x v="1"/>
    <d v="2025-03-18T00:00:00"/>
    <s v=""/>
    <s v=""/>
    <s v=""/>
    <s v="Interviewed"/>
    <n v="34556"/>
    <m/>
    <x v="1"/>
    <x v="1"/>
    <n v="3.7"/>
    <n v="1"/>
    <n v="0"/>
    <n v="0"/>
    <n v="1"/>
    <n v="0"/>
    <n v="0"/>
  </r>
  <r>
    <s v="APP0100"/>
    <s v="CAND1171"/>
    <s v="Jay Dixon"/>
    <s v="Jay"/>
    <s v="Dixon"/>
    <x v="5"/>
    <x v="4"/>
    <x v="0"/>
    <s v="James Clarke"/>
    <x v="2"/>
    <d v="2024-07-03T00:00:00"/>
    <x v="1"/>
    <x v="0"/>
    <s v=""/>
    <s v=""/>
    <s v=""/>
    <s v=""/>
    <s v="Applied"/>
    <n v="51375"/>
    <m/>
    <x v="3"/>
    <x v="0"/>
    <n v="3.6"/>
    <n v="1"/>
    <n v="0"/>
    <n v="0"/>
    <n v="0"/>
    <n v="0"/>
    <n v="0"/>
  </r>
  <r>
    <s v="APP0101"/>
    <s v="CAND1213"/>
    <s v="Elaine Young"/>
    <s v="Elaine"/>
    <s v="Young"/>
    <x v="3"/>
    <x v="4"/>
    <x v="5"/>
    <s v="Sarah Green"/>
    <x v="4"/>
    <d v="2024-09-14T00:00:00"/>
    <x v="4"/>
    <x v="0"/>
    <s v=""/>
    <s v=""/>
    <s v=""/>
    <s v=""/>
    <s v="Rejected"/>
    <n v="36335"/>
    <m/>
    <x v="1"/>
    <x v="1"/>
    <n v="4.5999999999999996"/>
    <n v="1"/>
    <n v="0"/>
    <n v="1"/>
    <n v="0"/>
    <n v="0"/>
    <n v="0"/>
  </r>
  <r>
    <s v="APP0102"/>
    <s v="CAND1008"/>
    <s v="Melanie Wright"/>
    <s v="Melanie"/>
    <s v="Wright"/>
    <x v="0"/>
    <x v="0"/>
    <x v="4"/>
    <s v="Emma Wilson"/>
    <x v="0"/>
    <d v="2025-03-23T00:00:00"/>
    <x v="12"/>
    <x v="1"/>
    <d v="2025-04-08T00:00:00"/>
    <d v="2025-04-17T00:00:00"/>
    <s v=""/>
    <s v=""/>
    <s v="Offered"/>
    <n v="41843"/>
    <n v="38877"/>
    <x v="4"/>
    <x v="1"/>
    <n v="3.2"/>
    <n v="1"/>
    <n v="0"/>
    <n v="0"/>
    <n v="1"/>
    <n v="1"/>
    <n v="0"/>
  </r>
  <r>
    <s v="APP0103"/>
    <s v="CAND1139"/>
    <s v="Katherine Whittaker"/>
    <s v="Katherine"/>
    <s v="Whittaker"/>
    <x v="4"/>
    <x v="0"/>
    <x v="0"/>
    <s v="James Clarke"/>
    <x v="0"/>
    <d v="2024-11-18T00:00:00"/>
    <x v="7"/>
    <x v="0"/>
    <d v="2024-11-28T00:00:00"/>
    <d v="2024-12-25T00:00:00"/>
    <d v="2024-12-28T00:00:00"/>
    <n v="40"/>
    <s v="Hired"/>
    <n v="38124"/>
    <n v="40408"/>
    <x v="3"/>
    <x v="2"/>
    <n v="2.4"/>
    <n v="1"/>
    <n v="0"/>
    <n v="0"/>
    <n v="1"/>
    <n v="0"/>
    <n v="1"/>
  </r>
  <r>
    <s v="APP0104"/>
    <s v="CAND1243"/>
    <s v="Jacob Taylor"/>
    <s v="Jacob"/>
    <s v="Taylor"/>
    <x v="4"/>
    <x v="1"/>
    <x v="4"/>
    <s v="Michael Patel"/>
    <x v="0"/>
    <d v="2025-02-21T00:00:00"/>
    <x v="11"/>
    <x v="1"/>
    <s v=""/>
    <s v=""/>
    <s v=""/>
    <s v=""/>
    <s v="Rejected"/>
    <n v="37650"/>
    <m/>
    <x v="4"/>
    <x v="0"/>
    <n v="3.9"/>
    <n v="1"/>
    <n v="0"/>
    <n v="1"/>
    <n v="0"/>
    <n v="0"/>
    <n v="0"/>
  </r>
  <r>
    <s v="APP0105"/>
    <s v="CAND1240"/>
    <s v="Maurice Lee"/>
    <s v="Maurice"/>
    <s v="Lee"/>
    <x v="2"/>
    <x v="1"/>
    <x v="4"/>
    <s v="James Clarke"/>
    <x v="2"/>
    <d v="2024-02-26T00:00:00"/>
    <x v="2"/>
    <x v="0"/>
    <s v=""/>
    <s v=""/>
    <s v=""/>
    <s v=""/>
    <s v="Applied"/>
    <n v="46953"/>
    <m/>
    <x v="0"/>
    <x v="0"/>
    <n v="4.7"/>
    <n v="1"/>
    <n v="0"/>
    <n v="0"/>
    <n v="0"/>
    <n v="0"/>
    <n v="0"/>
  </r>
  <r>
    <s v="APP0106"/>
    <s v="CAND1162"/>
    <s v="Adam Hussain"/>
    <s v="Adam"/>
    <s v="Hussain"/>
    <x v="3"/>
    <x v="4"/>
    <x v="6"/>
    <s v="Emma Wilson"/>
    <x v="4"/>
    <d v="2024-03-14T00:00:00"/>
    <x v="3"/>
    <x v="0"/>
    <s v=""/>
    <s v=""/>
    <s v=""/>
    <s v=""/>
    <s v="Applied"/>
    <n v="28955"/>
    <m/>
    <x v="0"/>
    <x v="0"/>
    <n v="3.7"/>
    <n v="1"/>
    <n v="0"/>
    <n v="0"/>
    <n v="0"/>
    <n v="0"/>
    <n v="0"/>
  </r>
  <r>
    <s v="APP0107"/>
    <s v="CAND1025"/>
    <s v="Gary Adams"/>
    <s v="Gary"/>
    <s v="Adams"/>
    <x v="3"/>
    <x v="1"/>
    <x v="5"/>
    <s v="Emma Wilson"/>
    <x v="3"/>
    <d v="2024-06-04T00:00:00"/>
    <x v="13"/>
    <x v="0"/>
    <d v="2024-06-29T00:00:00"/>
    <d v="2024-07-07T00:00:00"/>
    <s v=""/>
    <s v=""/>
    <s v="Offered"/>
    <n v="37558"/>
    <n v="39981"/>
    <x v="1"/>
    <x v="0"/>
    <n v="2.4"/>
    <n v="1"/>
    <n v="0"/>
    <n v="0"/>
    <n v="1"/>
    <n v="1"/>
    <n v="0"/>
  </r>
  <r>
    <s v="APP0108"/>
    <s v="CAND1212"/>
    <s v="Mohamed Moss"/>
    <s v="Mohamed"/>
    <s v="Moss"/>
    <x v="2"/>
    <x v="3"/>
    <x v="4"/>
    <s v="Tom Davies"/>
    <x v="0"/>
    <d v="2024-05-23T00:00:00"/>
    <x v="5"/>
    <x v="0"/>
    <d v="2024-06-11T00:00:00"/>
    <d v="2024-06-12T00:00:00"/>
    <s v=""/>
    <s v=""/>
    <s v="Offered"/>
    <n v="28282"/>
    <n v="27996"/>
    <x v="1"/>
    <x v="2"/>
    <n v="2.4"/>
    <n v="1"/>
    <n v="0"/>
    <n v="0"/>
    <n v="1"/>
    <n v="1"/>
    <n v="0"/>
  </r>
  <r>
    <s v="APP0109"/>
    <s v="CAND1013"/>
    <s v="Lynn Davey"/>
    <s v="Lynn"/>
    <s v="Davey"/>
    <x v="1"/>
    <x v="4"/>
    <x v="4"/>
    <s v="Emma Wilson"/>
    <x v="0"/>
    <d v="2024-05-10T00:00:00"/>
    <x v="5"/>
    <x v="0"/>
    <d v="2024-05-18T00:00:00"/>
    <d v="2024-06-23T00:00:00"/>
    <d v="2024-06-13T00:00:00"/>
    <n v="34"/>
    <s v="Hired"/>
    <n v="40603"/>
    <n v="43909"/>
    <x v="4"/>
    <x v="2"/>
    <n v="4.3"/>
    <n v="1"/>
    <n v="0"/>
    <n v="0"/>
    <n v="1"/>
    <n v="0"/>
    <n v="1"/>
  </r>
  <r>
    <s v="APP0110"/>
    <s v="CAND1005"/>
    <s v="Ruth Williams"/>
    <s v="Ruth"/>
    <s v="Williams"/>
    <x v="4"/>
    <x v="2"/>
    <x v="4"/>
    <s v="Tom Davies"/>
    <x v="3"/>
    <d v="2024-02-27T00:00:00"/>
    <x v="2"/>
    <x v="0"/>
    <s v=""/>
    <s v=""/>
    <s v=""/>
    <s v=""/>
    <s v="Applied"/>
    <n v="32716"/>
    <m/>
    <x v="3"/>
    <x v="1"/>
    <n v="5"/>
    <n v="1"/>
    <n v="0"/>
    <n v="0"/>
    <n v="0"/>
    <n v="0"/>
    <n v="0"/>
  </r>
  <r>
    <s v="APP0111"/>
    <s v="CAND1113"/>
    <s v="Natasha Harding"/>
    <s v="Natasha"/>
    <s v="Harding"/>
    <x v="2"/>
    <x v="0"/>
    <x v="5"/>
    <s v="Tom Davies"/>
    <x v="1"/>
    <d v="2025-01-27T00:00:00"/>
    <x v="10"/>
    <x v="1"/>
    <s v=""/>
    <s v=""/>
    <s v=""/>
    <s v=""/>
    <s v="Withdrawn"/>
    <n v="48799"/>
    <m/>
    <x v="2"/>
    <x v="2"/>
    <n v="4.0999999999999996"/>
    <n v="1"/>
    <n v="1"/>
    <n v="0"/>
    <n v="0"/>
    <n v="0"/>
    <n v="0"/>
  </r>
  <r>
    <s v="APP0112"/>
    <s v="CAND1236"/>
    <s v="Peter Smith"/>
    <s v="Peter"/>
    <s v="Smith"/>
    <x v="5"/>
    <x v="0"/>
    <x v="0"/>
    <s v="Sarah Green"/>
    <x v="1"/>
    <d v="2024-11-27T00:00:00"/>
    <x v="7"/>
    <x v="0"/>
    <s v=""/>
    <s v=""/>
    <s v=""/>
    <s v=""/>
    <s v="Rejected"/>
    <n v="50511"/>
    <m/>
    <x v="4"/>
    <x v="1"/>
    <n v="3.6"/>
    <n v="1"/>
    <n v="0"/>
    <n v="1"/>
    <n v="0"/>
    <n v="0"/>
    <n v="0"/>
  </r>
  <r>
    <s v="APP0113"/>
    <s v="CAND1042"/>
    <s v="Marcus Jones"/>
    <s v="Marcus"/>
    <s v="Jones"/>
    <x v="5"/>
    <x v="0"/>
    <x v="6"/>
    <s v="Emma Wilson"/>
    <x v="0"/>
    <d v="2024-02-17T00:00:00"/>
    <x v="2"/>
    <x v="0"/>
    <s v=""/>
    <s v=""/>
    <s v=""/>
    <s v=""/>
    <s v="Rejected"/>
    <n v="36699"/>
    <m/>
    <x v="2"/>
    <x v="1"/>
    <n v="3.1"/>
    <n v="1"/>
    <n v="0"/>
    <n v="1"/>
    <n v="0"/>
    <n v="0"/>
    <n v="0"/>
  </r>
  <r>
    <s v="APP0114"/>
    <s v="CAND1008"/>
    <s v="Dale Begum"/>
    <s v="Dale"/>
    <s v="Begum"/>
    <x v="1"/>
    <x v="2"/>
    <x v="4"/>
    <s v="Michael Patel"/>
    <x v="0"/>
    <d v="2024-09-25T00:00:00"/>
    <x v="4"/>
    <x v="0"/>
    <s v=""/>
    <s v=""/>
    <s v=""/>
    <s v=""/>
    <s v="Applied"/>
    <n v="42036"/>
    <m/>
    <x v="3"/>
    <x v="2"/>
    <n v="3.4"/>
    <n v="1"/>
    <n v="0"/>
    <n v="0"/>
    <n v="0"/>
    <n v="0"/>
    <n v="0"/>
  </r>
  <r>
    <s v="APP0115"/>
    <s v="CAND1045"/>
    <s v="Chloe Dixon"/>
    <s v="Chloe"/>
    <s v="Dixon"/>
    <x v="5"/>
    <x v="1"/>
    <x v="3"/>
    <s v="James Clarke"/>
    <x v="0"/>
    <d v="2024-07-11T00:00:00"/>
    <x v="1"/>
    <x v="0"/>
    <s v=""/>
    <s v=""/>
    <s v=""/>
    <s v=""/>
    <s v="Rejected"/>
    <n v="36611"/>
    <m/>
    <x v="1"/>
    <x v="0"/>
    <n v="4.5"/>
    <n v="1"/>
    <n v="0"/>
    <n v="1"/>
    <n v="0"/>
    <n v="0"/>
    <n v="0"/>
  </r>
  <r>
    <s v="APP0116"/>
    <s v="CAND1130"/>
    <s v="Mary Thompson"/>
    <s v="Mary"/>
    <s v="Thompson"/>
    <x v="3"/>
    <x v="0"/>
    <x v="6"/>
    <s v="Tom Davies"/>
    <x v="3"/>
    <d v="2024-02-13T00:00:00"/>
    <x v="2"/>
    <x v="0"/>
    <s v=""/>
    <s v=""/>
    <s v=""/>
    <s v=""/>
    <s v="Applied"/>
    <n v="46266"/>
    <m/>
    <x v="1"/>
    <x v="0"/>
    <n v="4.7"/>
    <n v="1"/>
    <n v="0"/>
    <n v="0"/>
    <n v="0"/>
    <n v="0"/>
    <n v="0"/>
  </r>
  <r>
    <s v="APP0117"/>
    <s v="CAND1074"/>
    <s v="Jason Tomlinson"/>
    <s v="Jason"/>
    <s v="Tomlinson"/>
    <x v="3"/>
    <x v="1"/>
    <x v="4"/>
    <s v="Tom Davies"/>
    <x v="3"/>
    <d v="2025-03-25T00:00:00"/>
    <x v="12"/>
    <x v="1"/>
    <d v="2025-04-02T00:00:00"/>
    <s v=""/>
    <s v=""/>
    <s v=""/>
    <s v="Interviewed"/>
    <n v="37414"/>
    <m/>
    <x v="4"/>
    <x v="1"/>
    <n v="2.7"/>
    <n v="1"/>
    <n v="0"/>
    <n v="0"/>
    <n v="1"/>
    <n v="0"/>
    <n v="0"/>
  </r>
  <r>
    <s v="APP0118"/>
    <s v="CAND1185"/>
    <s v="Valerie Carter"/>
    <s v="Valerie"/>
    <s v="Carter"/>
    <x v="1"/>
    <x v="4"/>
    <x v="5"/>
    <s v="James Clarke"/>
    <x v="1"/>
    <d v="2024-04-01T00:00:00"/>
    <x v="6"/>
    <x v="0"/>
    <s v=""/>
    <s v=""/>
    <s v=""/>
    <s v=""/>
    <s v="Applied"/>
    <n v="32302"/>
    <m/>
    <x v="2"/>
    <x v="2"/>
    <n v="4.4000000000000004"/>
    <n v="1"/>
    <n v="0"/>
    <n v="0"/>
    <n v="0"/>
    <n v="0"/>
    <n v="0"/>
  </r>
  <r>
    <s v="APP0119"/>
    <s v="CAND1017"/>
    <s v="Julia Summers"/>
    <s v="Julia"/>
    <s v="Summers"/>
    <x v="3"/>
    <x v="4"/>
    <x v="4"/>
    <s v="Tom Davies"/>
    <x v="4"/>
    <d v="2025-02-16T00:00:00"/>
    <x v="11"/>
    <x v="1"/>
    <s v=""/>
    <s v=""/>
    <s v=""/>
    <s v=""/>
    <s v="Applied"/>
    <n v="41530"/>
    <m/>
    <x v="2"/>
    <x v="0"/>
    <n v="4.7"/>
    <n v="1"/>
    <n v="0"/>
    <n v="0"/>
    <n v="0"/>
    <n v="0"/>
    <n v="0"/>
  </r>
  <r>
    <s v="APP0120"/>
    <s v="CAND1051"/>
    <s v="Rosie Robertson"/>
    <s v="Rosie"/>
    <s v="Robertson"/>
    <x v="2"/>
    <x v="2"/>
    <x v="0"/>
    <s v="Emma Wilson"/>
    <x v="4"/>
    <d v="2025-04-17T00:00:00"/>
    <x v="8"/>
    <x v="1"/>
    <s v=""/>
    <s v=""/>
    <s v=""/>
    <s v=""/>
    <s v="Rejected"/>
    <n v="31357"/>
    <m/>
    <x v="4"/>
    <x v="2"/>
    <n v="3.9"/>
    <n v="1"/>
    <n v="0"/>
    <n v="1"/>
    <n v="0"/>
    <n v="0"/>
    <n v="0"/>
  </r>
  <r>
    <s v="APP0121"/>
    <s v="CAND1076"/>
    <s v="Marie Powell"/>
    <s v="Marie"/>
    <s v="Powell"/>
    <x v="4"/>
    <x v="4"/>
    <x v="3"/>
    <s v="James Clarke"/>
    <x v="0"/>
    <d v="2024-08-31T00:00:00"/>
    <x v="0"/>
    <x v="0"/>
    <s v=""/>
    <s v=""/>
    <s v=""/>
    <s v=""/>
    <s v="Rejected"/>
    <n v="37399"/>
    <m/>
    <x v="2"/>
    <x v="1"/>
    <n v="2.1"/>
    <n v="1"/>
    <n v="0"/>
    <n v="1"/>
    <n v="0"/>
    <n v="0"/>
    <n v="0"/>
  </r>
  <r>
    <s v="APP0122"/>
    <s v="CAND1109"/>
    <s v="Toby Ball"/>
    <s v="Toby"/>
    <s v="Ball"/>
    <x v="3"/>
    <x v="0"/>
    <x v="4"/>
    <s v="Tom Davies"/>
    <x v="1"/>
    <d v="2025-04-13T00:00:00"/>
    <x v="8"/>
    <x v="1"/>
    <d v="2025-05-13T00:00:00"/>
    <d v="2025-05-08T00:00:00"/>
    <s v=""/>
    <s v=""/>
    <s v="Offered"/>
    <n v="44009"/>
    <n v="42486"/>
    <x v="0"/>
    <x v="2"/>
    <n v="2.8"/>
    <n v="1"/>
    <n v="0"/>
    <n v="0"/>
    <n v="1"/>
    <n v="1"/>
    <n v="0"/>
  </r>
  <r>
    <s v="APP0123"/>
    <s v="CAND1101"/>
    <s v="Matthew Willis"/>
    <s v="Matthew"/>
    <s v="Willis"/>
    <x v="4"/>
    <x v="1"/>
    <x v="4"/>
    <s v="James Clarke"/>
    <x v="0"/>
    <d v="2024-12-04T00:00:00"/>
    <x v="14"/>
    <x v="0"/>
    <d v="2025-01-03T00:00:00"/>
    <d v="2025-01-02T00:00:00"/>
    <s v=""/>
    <s v=""/>
    <s v="Offered"/>
    <n v="39148"/>
    <n v="42401"/>
    <x v="1"/>
    <x v="2"/>
    <n v="2.6"/>
    <n v="1"/>
    <n v="0"/>
    <n v="0"/>
    <n v="1"/>
    <n v="1"/>
    <n v="0"/>
  </r>
  <r>
    <s v="APP0124"/>
    <s v="CAND1009"/>
    <s v="Richard Stanley"/>
    <s v="Richard"/>
    <s v="Stanley"/>
    <x v="1"/>
    <x v="4"/>
    <x v="1"/>
    <s v="Sarah Green"/>
    <x v="1"/>
    <d v="2024-04-06T00:00:00"/>
    <x v="6"/>
    <x v="0"/>
    <d v="2024-04-18T00:00:00"/>
    <s v=""/>
    <s v=""/>
    <s v=""/>
    <s v="Interviewed"/>
    <n v="40438"/>
    <m/>
    <x v="4"/>
    <x v="1"/>
    <n v="4"/>
    <n v="1"/>
    <n v="0"/>
    <n v="0"/>
    <n v="1"/>
    <n v="0"/>
    <n v="0"/>
  </r>
  <r>
    <s v="APP0125"/>
    <s v="CAND1142"/>
    <s v="Francesca Barton Rowe"/>
    <s v="Francesca"/>
    <s v="Rowe"/>
    <x v="4"/>
    <x v="2"/>
    <x v="3"/>
    <s v="Michael Patel"/>
    <x v="1"/>
    <d v="2024-03-22T00:00:00"/>
    <x v="3"/>
    <x v="0"/>
    <s v=""/>
    <s v=""/>
    <s v=""/>
    <s v=""/>
    <s v="Withdrawn"/>
    <n v="28932"/>
    <m/>
    <x v="2"/>
    <x v="0"/>
    <n v="3.6"/>
    <n v="1"/>
    <n v="1"/>
    <n v="0"/>
    <n v="0"/>
    <n v="0"/>
    <n v="0"/>
  </r>
  <r>
    <s v="APP0126"/>
    <s v="CAND1114"/>
    <s v="Terence Simpson"/>
    <s v="Terence"/>
    <s v="Simpson"/>
    <x v="4"/>
    <x v="4"/>
    <x v="2"/>
    <s v="Michael Patel"/>
    <x v="0"/>
    <d v="2024-02-20T00:00:00"/>
    <x v="2"/>
    <x v="0"/>
    <d v="2024-03-12T00:00:00"/>
    <s v=""/>
    <s v=""/>
    <s v=""/>
    <s v="Interviewed"/>
    <n v="39847"/>
    <m/>
    <x v="1"/>
    <x v="2"/>
    <n v="2.9"/>
    <n v="1"/>
    <n v="0"/>
    <n v="0"/>
    <n v="1"/>
    <n v="0"/>
    <n v="0"/>
  </r>
  <r>
    <s v="APP0127"/>
    <s v="CAND1227"/>
    <s v="Callum King"/>
    <s v="Callum"/>
    <s v="King"/>
    <x v="5"/>
    <x v="4"/>
    <x v="2"/>
    <s v="Michael Patel"/>
    <x v="2"/>
    <d v="2025-03-18T00:00:00"/>
    <x v="12"/>
    <x v="1"/>
    <d v="2025-04-03T00:00:00"/>
    <d v="2025-04-09T00:00:00"/>
    <s v=""/>
    <s v=""/>
    <s v="Offered"/>
    <n v="49923"/>
    <n v="48271"/>
    <x v="1"/>
    <x v="0"/>
    <n v="2.8"/>
    <n v="1"/>
    <n v="0"/>
    <n v="0"/>
    <n v="1"/>
    <n v="1"/>
    <n v="0"/>
  </r>
  <r>
    <s v="APP0128"/>
    <s v="CAND1057"/>
    <s v="William Bryant"/>
    <s v="William"/>
    <s v="Bryant"/>
    <x v="2"/>
    <x v="4"/>
    <x v="1"/>
    <s v="James Clarke"/>
    <x v="1"/>
    <d v="2025-01-11T00:00:00"/>
    <x v="10"/>
    <x v="1"/>
    <s v=""/>
    <s v=""/>
    <s v=""/>
    <s v=""/>
    <s v="Rejected"/>
    <n v="51921"/>
    <m/>
    <x v="0"/>
    <x v="1"/>
    <n v="2.4"/>
    <n v="1"/>
    <n v="0"/>
    <n v="1"/>
    <n v="0"/>
    <n v="0"/>
    <n v="0"/>
  </r>
  <r>
    <s v="APP0129"/>
    <s v="CAND1176"/>
    <s v="Henry Knight"/>
    <s v="Henry"/>
    <s v="Knight"/>
    <x v="0"/>
    <x v="0"/>
    <x v="0"/>
    <s v="Sarah Green"/>
    <x v="0"/>
    <d v="2024-07-09T00:00:00"/>
    <x v="1"/>
    <x v="0"/>
    <d v="2024-08-05T00:00:00"/>
    <d v="2024-08-18T00:00:00"/>
    <d v="2024-09-07T00:00:00"/>
    <n v="60"/>
    <s v="Hired"/>
    <n v="35794"/>
    <n v="38904"/>
    <x v="2"/>
    <x v="2"/>
    <n v="3.7"/>
    <n v="1"/>
    <n v="0"/>
    <n v="0"/>
    <n v="1"/>
    <n v="0"/>
    <n v="1"/>
  </r>
  <r>
    <s v="APP0130"/>
    <s v="CAND1245"/>
    <s v="John Blake"/>
    <s v="John"/>
    <s v="Blake"/>
    <x v="5"/>
    <x v="4"/>
    <x v="2"/>
    <s v="Tom Davies"/>
    <x v="3"/>
    <d v="2025-04-24T00:00:00"/>
    <x v="8"/>
    <x v="1"/>
    <s v=""/>
    <s v=""/>
    <s v=""/>
    <s v=""/>
    <s v="Rejected"/>
    <n v="34504"/>
    <m/>
    <x v="1"/>
    <x v="1"/>
    <n v="2.7"/>
    <n v="1"/>
    <n v="0"/>
    <n v="1"/>
    <n v="0"/>
    <n v="0"/>
    <n v="0"/>
  </r>
  <r>
    <s v="APP0131"/>
    <s v="CAND1182"/>
    <s v="Stewart Smith"/>
    <s v="Stewart"/>
    <s v="Smith"/>
    <x v="3"/>
    <x v="3"/>
    <x v="6"/>
    <s v="James Clarke"/>
    <x v="4"/>
    <d v="2025-01-22T00:00:00"/>
    <x v="10"/>
    <x v="1"/>
    <s v=""/>
    <s v=""/>
    <s v=""/>
    <s v=""/>
    <s v="Rejected"/>
    <n v="43590"/>
    <m/>
    <x v="1"/>
    <x v="1"/>
    <n v="3.4"/>
    <n v="1"/>
    <n v="0"/>
    <n v="1"/>
    <n v="0"/>
    <n v="0"/>
    <n v="0"/>
  </r>
  <r>
    <s v="APP0132"/>
    <s v="CAND1206"/>
    <s v="Reece O'Brien Hawkins"/>
    <s v="Reece"/>
    <s v="Hawkins"/>
    <x v="1"/>
    <x v="1"/>
    <x v="1"/>
    <s v="James Clarke"/>
    <x v="3"/>
    <d v="2024-01-10T00:00:00"/>
    <x v="9"/>
    <x v="0"/>
    <d v="2024-01-28T00:00:00"/>
    <d v="2024-02-16T00:00:00"/>
    <d v="2024-02-09T00:00:00"/>
    <n v="30"/>
    <s v="Hired"/>
    <n v="41560"/>
    <n v="41245"/>
    <x v="1"/>
    <x v="1"/>
    <n v="3.4"/>
    <n v="1"/>
    <n v="0"/>
    <n v="0"/>
    <n v="1"/>
    <n v="0"/>
    <n v="1"/>
  </r>
  <r>
    <s v="APP0133"/>
    <s v="CAND1027"/>
    <s v="Sean Dunn"/>
    <s v="Sean"/>
    <s v="Dunn"/>
    <x v="5"/>
    <x v="4"/>
    <x v="4"/>
    <s v="Emma Wilson"/>
    <x v="0"/>
    <d v="2024-10-01T00:00:00"/>
    <x v="15"/>
    <x v="0"/>
    <d v="2024-10-09T00:00:00"/>
    <d v="2024-10-19T00:00:00"/>
    <d v="2024-12-11T00:00:00"/>
    <n v="71"/>
    <s v="Hired"/>
    <n v="47828"/>
    <n v="51807"/>
    <x v="3"/>
    <x v="0"/>
    <m/>
    <n v="1"/>
    <n v="0"/>
    <n v="0"/>
    <n v="1"/>
    <n v="0"/>
    <n v="1"/>
  </r>
  <r>
    <s v="APP0134"/>
    <s v="CAND1155"/>
    <s v="Sam Rees"/>
    <s v="Sam"/>
    <s v="Rees"/>
    <x v="0"/>
    <x v="2"/>
    <x v="4"/>
    <s v="Sarah Green"/>
    <x v="0"/>
    <d v="2024-02-17T00:00:00"/>
    <x v="2"/>
    <x v="0"/>
    <s v=""/>
    <s v=""/>
    <s v=""/>
    <s v=""/>
    <s v="Applied"/>
    <n v="44515"/>
    <m/>
    <x v="0"/>
    <x v="0"/>
    <n v="3.1"/>
    <n v="1"/>
    <n v="0"/>
    <n v="0"/>
    <n v="0"/>
    <n v="0"/>
    <n v="0"/>
  </r>
  <r>
    <s v="APP0135"/>
    <s v="CAND1051"/>
    <s v="Andrew Coles"/>
    <s v="Andrew"/>
    <s v="Coles"/>
    <x v="5"/>
    <x v="4"/>
    <x v="3"/>
    <s v="Tom Davies"/>
    <x v="0"/>
    <d v="2024-07-30T00:00:00"/>
    <x v="1"/>
    <x v="0"/>
    <s v=""/>
    <s v=""/>
    <s v=""/>
    <s v=""/>
    <s v="Applied"/>
    <n v="32620"/>
    <m/>
    <x v="3"/>
    <x v="0"/>
    <m/>
    <n v="1"/>
    <n v="0"/>
    <n v="0"/>
    <n v="0"/>
    <n v="0"/>
    <n v="0"/>
  </r>
  <r>
    <s v="APP0136"/>
    <s v="CAND1106"/>
    <s v="Marian Mccarthy"/>
    <s v="Marian"/>
    <s v="Mccarthy"/>
    <x v="1"/>
    <x v="4"/>
    <x v="4"/>
    <s v="Sarah Green"/>
    <x v="0"/>
    <d v="2024-04-10T00:00:00"/>
    <x v="6"/>
    <x v="0"/>
    <d v="2024-04-30T00:00:00"/>
    <d v="2024-05-10T00:00:00"/>
    <s v=""/>
    <s v=""/>
    <s v="Offered"/>
    <n v="40444"/>
    <n v="41387"/>
    <x v="3"/>
    <x v="0"/>
    <n v="4.5999999999999996"/>
    <n v="1"/>
    <n v="0"/>
    <n v="0"/>
    <n v="1"/>
    <n v="1"/>
    <n v="0"/>
  </r>
  <r>
    <s v="APP0137"/>
    <s v="CAND1010"/>
    <s v="Tracey Gordon"/>
    <s v="Tracey"/>
    <s v="Gordon"/>
    <x v="5"/>
    <x v="0"/>
    <x v="4"/>
    <s v="James Clarke"/>
    <x v="0"/>
    <d v="2024-08-06T00:00:00"/>
    <x v="0"/>
    <x v="0"/>
    <s v=""/>
    <s v=""/>
    <s v=""/>
    <s v=""/>
    <s v="Applied"/>
    <n v="31564"/>
    <m/>
    <x v="3"/>
    <x v="2"/>
    <n v="3.4"/>
    <n v="1"/>
    <n v="0"/>
    <n v="0"/>
    <n v="0"/>
    <n v="0"/>
    <n v="0"/>
  </r>
  <r>
    <s v="APP0138"/>
    <s v="CAND1217"/>
    <s v="Janice Thompson"/>
    <s v="Janice"/>
    <s v="Thompson"/>
    <x v="5"/>
    <x v="1"/>
    <x v="6"/>
    <s v="Tom Davies"/>
    <x v="3"/>
    <d v="2025-05-07T00:00:00"/>
    <x v="16"/>
    <x v="1"/>
    <s v=""/>
    <s v=""/>
    <s v=""/>
    <s v=""/>
    <s v="Rejected"/>
    <n v="44997"/>
    <m/>
    <x v="4"/>
    <x v="1"/>
    <n v="3.5"/>
    <n v="1"/>
    <n v="0"/>
    <n v="1"/>
    <n v="0"/>
    <n v="0"/>
    <n v="0"/>
  </r>
  <r>
    <s v="APP0139"/>
    <s v="CAND1212"/>
    <s v="Jemma Anderson Woods"/>
    <s v="Jemma"/>
    <s v="Woods"/>
    <x v="1"/>
    <x v="1"/>
    <x v="3"/>
    <s v="Michael Patel"/>
    <x v="0"/>
    <d v="2024-06-22T00:00:00"/>
    <x v="13"/>
    <x v="0"/>
    <s v=""/>
    <s v=""/>
    <s v=""/>
    <s v=""/>
    <s v="Applied"/>
    <n v="51982"/>
    <m/>
    <x v="0"/>
    <x v="0"/>
    <n v="3.4"/>
    <n v="1"/>
    <n v="0"/>
    <n v="0"/>
    <n v="0"/>
    <n v="0"/>
    <n v="0"/>
  </r>
  <r>
    <s v="APP0140"/>
    <s v="CAND1096"/>
    <s v="Brian Brown Sanders"/>
    <s v="Brian"/>
    <s v="Sanders"/>
    <x v="5"/>
    <x v="1"/>
    <x v="4"/>
    <s v="Emma Wilson"/>
    <x v="2"/>
    <d v="2024-10-08T00:00:00"/>
    <x v="15"/>
    <x v="0"/>
    <s v=""/>
    <s v=""/>
    <s v=""/>
    <s v=""/>
    <s v="Rejected"/>
    <n v="30515"/>
    <m/>
    <x v="0"/>
    <x v="0"/>
    <n v="3"/>
    <n v="1"/>
    <n v="0"/>
    <n v="1"/>
    <n v="0"/>
    <n v="0"/>
    <n v="0"/>
  </r>
  <r>
    <s v="APP0141"/>
    <s v="CAND1043"/>
    <s v="Amelia Jones"/>
    <s v="Amelia"/>
    <s v="Jones"/>
    <x v="2"/>
    <x v="4"/>
    <x v="2"/>
    <s v="Tom Davies"/>
    <x v="3"/>
    <d v="2024-06-12T00:00:00"/>
    <x v="13"/>
    <x v="0"/>
    <s v=""/>
    <s v=""/>
    <s v=""/>
    <s v=""/>
    <s v="Rejected"/>
    <n v="43608"/>
    <m/>
    <x v="1"/>
    <x v="0"/>
    <n v="4.9000000000000004"/>
    <n v="1"/>
    <n v="0"/>
    <n v="1"/>
    <n v="0"/>
    <n v="0"/>
    <n v="0"/>
  </r>
  <r>
    <s v="APP0142"/>
    <s v="CAND1154"/>
    <s v="Joseph Bradshaw Lewis"/>
    <s v="Joseph"/>
    <s v="Lewis"/>
    <x v="1"/>
    <x v="4"/>
    <x v="6"/>
    <s v="James Clarke"/>
    <x v="0"/>
    <d v="2024-12-07T00:00:00"/>
    <x v="14"/>
    <x v="0"/>
    <d v="2024-12-31T00:00:00"/>
    <s v=""/>
    <s v=""/>
    <s v=""/>
    <s v="Interviewed"/>
    <n v="34992"/>
    <m/>
    <x v="0"/>
    <x v="0"/>
    <n v="2.4"/>
    <n v="1"/>
    <n v="0"/>
    <n v="0"/>
    <n v="1"/>
    <n v="0"/>
    <n v="0"/>
  </r>
  <r>
    <s v="APP0143"/>
    <s v="CAND1164"/>
    <s v="Francesca Bolton"/>
    <s v="Francesca"/>
    <s v="Bolton"/>
    <x v="2"/>
    <x v="1"/>
    <x v="3"/>
    <s v="Tom Davies"/>
    <x v="0"/>
    <d v="2024-12-30T00:00:00"/>
    <x v="14"/>
    <x v="0"/>
    <d v="2025-01-21T00:00:00"/>
    <s v=""/>
    <s v=""/>
    <s v=""/>
    <s v="Interviewed"/>
    <n v="31037"/>
    <m/>
    <x v="4"/>
    <x v="1"/>
    <n v="3.5"/>
    <n v="1"/>
    <n v="0"/>
    <n v="0"/>
    <n v="1"/>
    <n v="0"/>
    <n v="0"/>
  </r>
  <r>
    <s v="APP0144"/>
    <s v="CAND1187"/>
    <s v="Kirsty Scott"/>
    <s v="Kirsty"/>
    <s v="Scott"/>
    <x v="0"/>
    <x v="1"/>
    <x v="1"/>
    <s v="Tom Davies"/>
    <x v="0"/>
    <d v="2024-09-06T00:00:00"/>
    <x v="4"/>
    <x v="0"/>
    <d v="2024-09-25T00:00:00"/>
    <d v="2024-09-30T00:00:00"/>
    <d v="2024-11-20T00:00:00"/>
    <n v="75"/>
    <s v="Hired"/>
    <n v="47971"/>
    <n v="49277"/>
    <x v="2"/>
    <x v="0"/>
    <n v="3"/>
    <n v="1"/>
    <n v="0"/>
    <n v="0"/>
    <n v="1"/>
    <n v="0"/>
    <n v="1"/>
  </r>
  <r>
    <s v="APP0145"/>
    <s v="CAND1125"/>
    <s v="Joseph Watson"/>
    <s v="Joseph"/>
    <s v="Watson"/>
    <x v="0"/>
    <x v="0"/>
    <x v="5"/>
    <s v="Emma Wilson"/>
    <x v="0"/>
    <d v="2025-03-25T00:00:00"/>
    <x v="12"/>
    <x v="1"/>
    <d v="2025-04-04T00:00:00"/>
    <d v="2025-04-21T00:00:00"/>
    <d v="2025-05-20T00:00:00"/>
    <n v="56"/>
    <s v="Hired"/>
    <n v="35185"/>
    <n v="33053"/>
    <x v="3"/>
    <x v="2"/>
    <m/>
    <n v="1"/>
    <n v="0"/>
    <n v="0"/>
    <n v="1"/>
    <n v="0"/>
    <n v="1"/>
  </r>
  <r>
    <s v="APP0146"/>
    <s v="CAND1124"/>
    <s v="Robin Foster"/>
    <s v="Robin"/>
    <s v="Foster"/>
    <x v="0"/>
    <x v="4"/>
    <x v="1"/>
    <s v="Tom Davies"/>
    <x v="0"/>
    <d v="2024-09-25T00:00:00"/>
    <x v="4"/>
    <x v="0"/>
    <d v="2024-10-12T00:00:00"/>
    <s v=""/>
    <s v=""/>
    <s v=""/>
    <s v="Interviewed"/>
    <n v="39266"/>
    <m/>
    <x v="0"/>
    <x v="1"/>
    <n v="2.8"/>
    <n v="1"/>
    <n v="0"/>
    <n v="0"/>
    <n v="1"/>
    <n v="0"/>
    <n v="0"/>
  </r>
  <r>
    <s v="APP0147"/>
    <s v="CAND1044"/>
    <s v="Gareth Thompson"/>
    <s v="Gareth"/>
    <s v="Thompson"/>
    <x v="0"/>
    <x v="3"/>
    <x v="3"/>
    <s v="Tom Davies"/>
    <x v="0"/>
    <d v="2024-10-08T00:00:00"/>
    <x v="15"/>
    <x v="0"/>
    <s v=""/>
    <s v=""/>
    <s v=""/>
    <s v=""/>
    <s v="Applied"/>
    <n v="28126"/>
    <m/>
    <x v="2"/>
    <x v="1"/>
    <n v="3.5"/>
    <n v="1"/>
    <n v="0"/>
    <n v="0"/>
    <n v="0"/>
    <n v="0"/>
    <n v="0"/>
  </r>
  <r>
    <s v="APP0148"/>
    <s v="CAND1021"/>
    <s v="Elliot Williams"/>
    <s v="Elliot"/>
    <s v="Williams"/>
    <x v="1"/>
    <x v="4"/>
    <x v="3"/>
    <s v="James Clarke"/>
    <x v="0"/>
    <d v="2024-06-05T00:00:00"/>
    <x v="13"/>
    <x v="0"/>
    <s v=""/>
    <s v=""/>
    <s v=""/>
    <s v=""/>
    <s v="Withdrawn"/>
    <n v="33089"/>
    <m/>
    <x v="3"/>
    <x v="1"/>
    <n v="2.9"/>
    <n v="1"/>
    <n v="1"/>
    <n v="0"/>
    <n v="0"/>
    <n v="0"/>
    <n v="0"/>
  </r>
  <r>
    <s v="APP0149"/>
    <s v="CAND1203"/>
    <s v="Sheila Jones"/>
    <s v="Sheila"/>
    <s v="Jones"/>
    <x v="3"/>
    <x v="4"/>
    <x v="4"/>
    <s v="Sarah Green"/>
    <x v="0"/>
    <d v="2024-02-03T00:00:00"/>
    <x v="2"/>
    <x v="0"/>
    <d v="2024-03-01T00:00:00"/>
    <s v=""/>
    <s v=""/>
    <s v=""/>
    <s v="Interviewed"/>
    <n v="48863"/>
    <m/>
    <x v="0"/>
    <x v="2"/>
    <n v="3.1"/>
    <n v="1"/>
    <n v="0"/>
    <n v="0"/>
    <n v="1"/>
    <n v="0"/>
    <n v="0"/>
  </r>
  <r>
    <s v="APP0150"/>
    <s v="CAND1082"/>
    <s v="Daniel Gray"/>
    <s v="Daniel"/>
    <s v="Gray"/>
    <x v="3"/>
    <x v="2"/>
    <x v="4"/>
    <s v="Tom Davies"/>
    <x v="3"/>
    <d v="2024-01-15T00:00:00"/>
    <x v="9"/>
    <x v="0"/>
    <s v=""/>
    <s v=""/>
    <s v=""/>
    <s v=""/>
    <s v="Rejected"/>
    <n v="49201"/>
    <m/>
    <x v="0"/>
    <x v="0"/>
    <n v="4.0999999999999996"/>
    <n v="1"/>
    <n v="0"/>
    <n v="1"/>
    <n v="0"/>
    <n v="0"/>
    <n v="0"/>
  </r>
  <r>
    <s v="APP0151"/>
    <s v="CAND1048"/>
    <s v="Michelle Dickinson"/>
    <s v="Michelle"/>
    <s v="Dickinson"/>
    <x v="1"/>
    <x v="1"/>
    <x v="0"/>
    <s v="James Clarke"/>
    <x v="0"/>
    <d v="2024-01-28T00:00:00"/>
    <x v="9"/>
    <x v="0"/>
    <d v="2024-02-17T00:00:00"/>
    <s v=""/>
    <s v=""/>
    <s v=""/>
    <s v="Interviewed"/>
    <n v="47410"/>
    <m/>
    <x v="2"/>
    <x v="1"/>
    <n v="4.3"/>
    <n v="1"/>
    <n v="0"/>
    <n v="0"/>
    <n v="1"/>
    <n v="0"/>
    <n v="0"/>
  </r>
  <r>
    <s v="APP0152"/>
    <s v="CAND1163"/>
    <s v="Katherine Chamberlain"/>
    <s v="Katherine"/>
    <s v="Chamberlain"/>
    <x v="5"/>
    <x v="0"/>
    <x v="6"/>
    <s v="James Clarke"/>
    <x v="0"/>
    <d v="2024-03-01T00:00:00"/>
    <x v="3"/>
    <x v="0"/>
    <s v=""/>
    <s v=""/>
    <s v=""/>
    <s v=""/>
    <s v="Applied"/>
    <n v="33803"/>
    <m/>
    <x v="3"/>
    <x v="1"/>
    <n v="3.8"/>
    <n v="1"/>
    <n v="0"/>
    <n v="0"/>
    <n v="0"/>
    <n v="0"/>
    <n v="0"/>
  </r>
  <r>
    <s v="APP0153"/>
    <s v="CAND1179"/>
    <s v="Russell Brown"/>
    <s v="Russell"/>
    <s v="Brown"/>
    <x v="3"/>
    <x v="2"/>
    <x v="6"/>
    <s v="Tom Davies"/>
    <x v="0"/>
    <d v="2024-10-08T00:00:00"/>
    <x v="15"/>
    <x v="0"/>
    <d v="2024-10-30T00:00:00"/>
    <d v="2024-11-17T00:00:00"/>
    <s v=""/>
    <s v=""/>
    <s v="Offered"/>
    <n v="34822"/>
    <n v="36720"/>
    <x v="1"/>
    <x v="2"/>
    <n v="3.8"/>
    <n v="1"/>
    <n v="0"/>
    <n v="0"/>
    <n v="1"/>
    <n v="1"/>
    <n v="0"/>
  </r>
  <r>
    <s v="APP0154"/>
    <s v="CAND1196"/>
    <s v="Lee Gilbert Williams"/>
    <s v="Lee"/>
    <s v="Williams"/>
    <x v="0"/>
    <x v="4"/>
    <x v="0"/>
    <s v="Emma Wilson"/>
    <x v="4"/>
    <d v="2024-06-12T00:00:00"/>
    <x v="13"/>
    <x v="0"/>
    <d v="2024-06-24T00:00:00"/>
    <s v=""/>
    <s v=""/>
    <s v=""/>
    <s v="Interviewed"/>
    <n v="29854"/>
    <m/>
    <x v="3"/>
    <x v="2"/>
    <n v="5"/>
    <n v="1"/>
    <n v="0"/>
    <n v="0"/>
    <n v="1"/>
    <n v="0"/>
    <n v="0"/>
  </r>
  <r>
    <s v="APP0155"/>
    <s v="CAND1226"/>
    <s v="Roger King"/>
    <s v="Roger"/>
    <s v="King"/>
    <x v="0"/>
    <x v="1"/>
    <x v="6"/>
    <s v="Michael Patel"/>
    <x v="4"/>
    <d v="2025-02-02T00:00:00"/>
    <x v="11"/>
    <x v="1"/>
    <d v="2025-02-17T00:00:00"/>
    <s v=""/>
    <s v=""/>
    <s v=""/>
    <s v="Interviewed"/>
    <n v="51869"/>
    <m/>
    <x v="3"/>
    <x v="0"/>
    <n v="2.8"/>
    <n v="1"/>
    <n v="0"/>
    <n v="0"/>
    <n v="1"/>
    <n v="0"/>
    <n v="0"/>
  </r>
  <r>
    <s v="APP0156"/>
    <s v="CAND1085"/>
    <s v="Martyn Collins Elliott"/>
    <s v="Martyn"/>
    <s v="Elliott"/>
    <x v="2"/>
    <x v="1"/>
    <x v="6"/>
    <s v="James Clarke"/>
    <x v="1"/>
    <d v="2025-02-03T00:00:00"/>
    <x v="11"/>
    <x v="1"/>
    <s v=""/>
    <s v=""/>
    <s v=""/>
    <s v=""/>
    <s v="Rejected"/>
    <n v="32470"/>
    <m/>
    <x v="3"/>
    <x v="1"/>
    <n v="2.7"/>
    <n v="1"/>
    <n v="0"/>
    <n v="1"/>
    <n v="0"/>
    <n v="0"/>
    <n v="0"/>
  </r>
  <r>
    <s v="APP0157"/>
    <s v="CAND1192"/>
    <s v="James Barber"/>
    <s v="James"/>
    <s v="Barber"/>
    <x v="5"/>
    <x v="1"/>
    <x v="4"/>
    <s v="Sarah Green"/>
    <x v="0"/>
    <d v="2024-06-19T00:00:00"/>
    <x v="13"/>
    <x v="0"/>
    <s v=""/>
    <s v=""/>
    <s v=""/>
    <s v=""/>
    <s v="Rejected"/>
    <n v="37524"/>
    <m/>
    <x v="0"/>
    <x v="2"/>
    <n v="4"/>
    <n v="1"/>
    <n v="0"/>
    <n v="1"/>
    <n v="0"/>
    <n v="0"/>
    <n v="0"/>
  </r>
  <r>
    <s v="APP0158"/>
    <s v="CAND1112"/>
    <s v="Amy Miah Robinson"/>
    <s v="Amy"/>
    <s v="Robinson"/>
    <x v="3"/>
    <x v="4"/>
    <x v="5"/>
    <s v="Michael Patel"/>
    <x v="4"/>
    <d v="2024-01-05T00:00:00"/>
    <x v="9"/>
    <x v="0"/>
    <s v=""/>
    <s v=""/>
    <s v=""/>
    <s v=""/>
    <s v="Applied"/>
    <n v="36407"/>
    <m/>
    <x v="3"/>
    <x v="2"/>
    <n v="4.7"/>
    <n v="1"/>
    <n v="0"/>
    <n v="0"/>
    <n v="0"/>
    <n v="0"/>
    <n v="0"/>
  </r>
  <r>
    <s v="APP0159"/>
    <s v="CAND1231"/>
    <s v="Lauren Davies"/>
    <s v="Lauren"/>
    <s v="Davies"/>
    <x v="1"/>
    <x v="1"/>
    <x v="4"/>
    <s v="Michael Patel"/>
    <x v="0"/>
    <d v="2024-05-16T00:00:00"/>
    <x v="5"/>
    <x v="0"/>
    <s v=""/>
    <s v=""/>
    <s v=""/>
    <s v=""/>
    <s v="Applied"/>
    <n v="41795"/>
    <m/>
    <x v="4"/>
    <x v="1"/>
    <n v="4.7"/>
    <n v="1"/>
    <n v="0"/>
    <n v="0"/>
    <n v="0"/>
    <n v="0"/>
    <n v="0"/>
  </r>
  <r>
    <s v="APP0160"/>
    <s v="CAND1183"/>
    <s v="Naomi Kirk"/>
    <s v="Naomi"/>
    <s v="Kirk"/>
    <x v="3"/>
    <x v="1"/>
    <x v="1"/>
    <s v="Tom Davies"/>
    <x v="0"/>
    <d v="2024-10-18T00:00:00"/>
    <x v="15"/>
    <x v="0"/>
    <d v="2024-11-14T00:00:00"/>
    <d v="2024-11-22T00:00:00"/>
    <d v="2024-12-06T00:00:00"/>
    <n v="49"/>
    <s v="Hired"/>
    <n v="38506"/>
    <n v="41622"/>
    <x v="1"/>
    <x v="2"/>
    <n v="3.8"/>
    <n v="1"/>
    <n v="0"/>
    <n v="0"/>
    <n v="1"/>
    <n v="0"/>
    <n v="1"/>
  </r>
  <r>
    <s v="APP0161"/>
    <s v="CAND1230"/>
    <s v="Katie Smith"/>
    <s v="Katie"/>
    <s v="Smith"/>
    <x v="3"/>
    <x v="1"/>
    <x v="1"/>
    <s v="James Clarke"/>
    <x v="1"/>
    <d v="2024-04-10T00:00:00"/>
    <x v="6"/>
    <x v="0"/>
    <s v=""/>
    <s v=""/>
    <s v=""/>
    <s v=""/>
    <s v="Applied"/>
    <n v="29896"/>
    <m/>
    <x v="3"/>
    <x v="0"/>
    <n v="3.2"/>
    <n v="1"/>
    <n v="0"/>
    <n v="0"/>
    <n v="0"/>
    <n v="0"/>
    <n v="0"/>
  </r>
  <r>
    <s v="APP0162"/>
    <s v="CAND1072"/>
    <s v="Ross Khan"/>
    <s v="Ross"/>
    <s v="Khan"/>
    <x v="1"/>
    <x v="4"/>
    <x v="5"/>
    <s v="Sarah Green"/>
    <x v="0"/>
    <d v="2024-07-09T00:00:00"/>
    <x v="1"/>
    <x v="0"/>
    <s v=""/>
    <s v=""/>
    <s v=""/>
    <s v=""/>
    <s v="Applied"/>
    <n v="37535"/>
    <m/>
    <x v="4"/>
    <x v="0"/>
    <n v="4.7"/>
    <n v="1"/>
    <n v="0"/>
    <n v="0"/>
    <n v="0"/>
    <n v="0"/>
    <n v="0"/>
  </r>
  <r>
    <s v="APP0163"/>
    <s v="CAND1219"/>
    <s v="Leonard Fuller"/>
    <s v="Leonard"/>
    <s v="Fuller"/>
    <x v="2"/>
    <x v="1"/>
    <x v="2"/>
    <s v="Michael Patel"/>
    <x v="0"/>
    <d v="2024-05-02T00:00:00"/>
    <x v="5"/>
    <x v="0"/>
    <d v="2024-05-16T00:00:00"/>
    <d v="2024-06-04T00:00:00"/>
    <d v="2024-07-05T00:00:00"/>
    <n v="64"/>
    <s v="Hired"/>
    <n v="38300"/>
    <n v="41107"/>
    <x v="1"/>
    <x v="2"/>
    <n v="4.9000000000000004"/>
    <n v="1"/>
    <n v="0"/>
    <n v="0"/>
    <n v="1"/>
    <n v="0"/>
    <n v="1"/>
  </r>
  <r>
    <s v="APP0164"/>
    <s v="CAND1175"/>
    <s v="Douglas Collins"/>
    <s v="Douglas"/>
    <s v="Collins"/>
    <x v="3"/>
    <x v="0"/>
    <x v="1"/>
    <s v="Tom Davies"/>
    <x v="0"/>
    <d v="2024-04-26T00:00:00"/>
    <x v="6"/>
    <x v="0"/>
    <s v=""/>
    <s v=""/>
    <s v=""/>
    <s v=""/>
    <s v="Applied"/>
    <n v="36124"/>
    <m/>
    <x v="0"/>
    <x v="0"/>
    <n v="4.3"/>
    <n v="1"/>
    <n v="0"/>
    <n v="0"/>
    <n v="0"/>
    <n v="0"/>
    <n v="0"/>
  </r>
  <r>
    <s v="APP0165"/>
    <s v="CAND1099"/>
    <s v="Jasmine Campbell"/>
    <s v="Jasmine"/>
    <s v="Campbell"/>
    <x v="5"/>
    <x v="2"/>
    <x v="1"/>
    <s v="James Clarke"/>
    <x v="0"/>
    <d v="2024-01-13T00:00:00"/>
    <x v="9"/>
    <x v="0"/>
    <d v="2024-01-24T00:00:00"/>
    <s v=""/>
    <s v=""/>
    <s v=""/>
    <s v="Interviewed"/>
    <n v="33339"/>
    <m/>
    <x v="3"/>
    <x v="2"/>
    <n v="4.5999999999999996"/>
    <n v="1"/>
    <n v="0"/>
    <n v="0"/>
    <n v="1"/>
    <n v="0"/>
    <n v="0"/>
  </r>
  <r>
    <s v="APP0166"/>
    <s v="CAND1071"/>
    <s v="Julia Evans"/>
    <s v="Julia"/>
    <s v="Evans"/>
    <x v="2"/>
    <x v="3"/>
    <x v="3"/>
    <s v="James Clarke"/>
    <x v="0"/>
    <d v="2024-12-27T00:00:00"/>
    <x v="14"/>
    <x v="0"/>
    <d v="2025-01-17T00:00:00"/>
    <d v="2025-01-21T00:00:00"/>
    <d v="2025-02-23T00:00:00"/>
    <n v="58"/>
    <s v="Hired"/>
    <n v="38163"/>
    <n v="36462"/>
    <x v="0"/>
    <x v="0"/>
    <n v="3.6"/>
    <n v="1"/>
    <n v="0"/>
    <n v="0"/>
    <n v="1"/>
    <n v="0"/>
    <n v="1"/>
  </r>
  <r>
    <s v="APP0167"/>
    <s v="CAND1210"/>
    <s v="Beverley Hale"/>
    <s v="Beverley"/>
    <s v="Hale"/>
    <x v="5"/>
    <x v="1"/>
    <x v="5"/>
    <s v="Tom Davies"/>
    <x v="0"/>
    <d v="2024-05-29T00:00:00"/>
    <x v="5"/>
    <x v="0"/>
    <s v=""/>
    <s v=""/>
    <s v=""/>
    <s v=""/>
    <s v="Rejected"/>
    <n v="47050"/>
    <m/>
    <x v="4"/>
    <x v="0"/>
    <n v="4"/>
    <n v="1"/>
    <n v="0"/>
    <n v="1"/>
    <n v="0"/>
    <n v="0"/>
    <n v="0"/>
  </r>
  <r>
    <s v="APP0168"/>
    <s v="CAND1071"/>
    <s v="Kyle Jordan"/>
    <s v="Kyle"/>
    <s v="Jordan"/>
    <x v="2"/>
    <x v="4"/>
    <x v="5"/>
    <s v="James Clarke"/>
    <x v="0"/>
    <d v="2024-02-25T00:00:00"/>
    <x v="2"/>
    <x v="0"/>
    <d v="2024-03-15T00:00:00"/>
    <d v="2024-03-12T00:00:00"/>
    <d v="2024-04-15T00:00:00"/>
    <n v="50"/>
    <s v="Hired"/>
    <n v="31567"/>
    <n v="35288"/>
    <x v="4"/>
    <x v="0"/>
    <n v="4.5999999999999996"/>
    <n v="1"/>
    <n v="0"/>
    <n v="0"/>
    <n v="1"/>
    <n v="0"/>
    <n v="1"/>
  </r>
  <r>
    <s v="APP0169"/>
    <s v="CAND1027"/>
    <s v="Lindsey Coles Simmons"/>
    <s v="Lindsey"/>
    <s v="Simmons"/>
    <x v="1"/>
    <x v="1"/>
    <x v="6"/>
    <s v="Tom Davies"/>
    <x v="2"/>
    <d v="2025-04-25T00:00:00"/>
    <x v="8"/>
    <x v="1"/>
    <s v=""/>
    <s v=""/>
    <s v=""/>
    <s v=""/>
    <s v="Applied"/>
    <n v="43794"/>
    <m/>
    <x v="2"/>
    <x v="0"/>
    <n v="2.2000000000000002"/>
    <n v="1"/>
    <n v="0"/>
    <n v="0"/>
    <n v="0"/>
    <n v="0"/>
    <n v="0"/>
  </r>
  <r>
    <s v="APP0170"/>
    <s v="CAND1043"/>
    <s v="Marian Jones"/>
    <s v="Marian"/>
    <s v="Jones"/>
    <x v="2"/>
    <x v="4"/>
    <x v="4"/>
    <s v="Michael Patel"/>
    <x v="0"/>
    <d v="2025-02-10T00:00:00"/>
    <x v="11"/>
    <x v="1"/>
    <d v="2025-02-23T00:00:00"/>
    <d v="2025-03-13T00:00:00"/>
    <d v="2025-03-10T00:00:00"/>
    <n v="28"/>
    <s v="Hired"/>
    <n v="29132"/>
    <n v="31765"/>
    <x v="4"/>
    <x v="2"/>
    <n v="2.9"/>
    <n v="1"/>
    <n v="0"/>
    <n v="0"/>
    <n v="1"/>
    <n v="0"/>
    <n v="1"/>
  </r>
  <r>
    <s v="APP0171"/>
    <s v="CAND1160"/>
    <s v="Barry Akhtar Greenwood"/>
    <s v="Barry"/>
    <s v="Greenwood"/>
    <x v="5"/>
    <x v="2"/>
    <x v="1"/>
    <s v="Tom Davies"/>
    <x v="3"/>
    <d v="2024-04-15T00:00:00"/>
    <x v="6"/>
    <x v="0"/>
    <s v=""/>
    <s v=""/>
    <s v=""/>
    <s v=""/>
    <s v="Rejected"/>
    <n v="44185"/>
    <m/>
    <x v="0"/>
    <x v="2"/>
    <n v="3.9"/>
    <n v="1"/>
    <n v="0"/>
    <n v="1"/>
    <n v="0"/>
    <n v="0"/>
    <n v="0"/>
  </r>
  <r>
    <s v="APP0172"/>
    <s v="CAND1226"/>
    <s v="Declan Allen"/>
    <s v="Declan"/>
    <s v="Allen"/>
    <x v="1"/>
    <x v="1"/>
    <x v="5"/>
    <s v="Michael Patel"/>
    <x v="0"/>
    <d v="2025-03-29T00:00:00"/>
    <x v="12"/>
    <x v="1"/>
    <s v=""/>
    <s v=""/>
    <s v=""/>
    <s v=""/>
    <s v="Applied"/>
    <n v="28992"/>
    <m/>
    <x v="0"/>
    <x v="1"/>
    <n v="2.7"/>
    <n v="1"/>
    <n v="0"/>
    <n v="0"/>
    <n v="0"/>
    <n v="0"/>
    <n v="0"/>
  </r>
  <r>
    <s v="APP0173"/>
    <s v="CAND1165"/>
    <s v="Gary Taylor"/>
    <s v="Gary"/>
    <s v="Taylor"/>
    <x v="3"/>
    <x v="1"/>
    <x v="0"/>
    <s v="Emma Wilson"/>
    <x v="0"/>
    <d v="2025-02-15T00:00:00"/>
    <x v="11"/>
    <x v="1"/>
    <s v=""/>
    <s v=""/>
    <s v=""/>
    <s v=""/>
    <s v="Withdrawn"/>
    <n v="35818"/>
    <m/>
    <x v="0"/>
    <x v="2"/>
    <n v="4.9000000000000004"/>
    <n v="1"/>
    <n v="1"/>
    <n v="0"/>
    <n v="0"/>
    <n v="0"/>
    <n v="0"/>
  </r>
  <r>
    <s v="APP0174"/>
    <s v="CAND1181"/>
    <s v="Alexandra Rice"/>
    <s v="Alexandra"/>
    <s v="Rice"/>
    <x v="0"/>
    <x v="0"/>
    <x v="5"/>
    <s v="Michael Patel"/>
    <x v="0"/>
    <d v="2025-05-14T00:00:00"/>
    <x v="16"/>
    <x v="1"/>
    <d v="2025-05-30T00:00:00"/>
    <d v="2025-06-20T00:00:00"/>
    <d v="2025-07-11T00:00:00"/>
    <n v="58"/>
    <s v="Hired"/>
    <n v="42243"/>
    <n v="41164"/>
    <x v="2"/>
    <x v="1"/>
    <n v="4"/>
    <n v="1"/>
    <n v="0"/>
    <n v="0"/>
    <n v="1"/>
    <n v="0"/>
    <n v="1"/>
  </r>
  <r>
    <s v="APP0175"/>
    <s v="CAND1091"/>
    <s v="Alexander Davis Weston"/>
    <s v="Alexander"/>
    <s v="Weston"/>
    <x v="4"/>
    <x v="3"/>
    <x v="4"/>
    <s v="Michael Patel"/>
    <x v="0"/>
    <d v="2024-05-15T00:00:00"/>
    <x v="5"/>
    <x v="0"/>
    <d v="2024-06-09T00:00:00"/>
    <s v=""/>
    <s v=""/>
    <s v=""/>
    <s v="Interviewed"/>
    <n v="46226"/>
    <m/>
    <x v="4"/>
    <x v="2"/>
    <m/>
    <n v="1"/>
    <n v="0"/>
    <n v="0"/>
    <n v="1"/>
    <n v="0"/>
    <n v="0"/>
  </r>
  <r>
    <s v="APP0176"/>
    <s v="CAND1229"/>
    <s v="Pauline Wilson Bryant"/>
    <s v="Pauline"/>
    <s v="Bryant"/>
    <x v="2"/>
    <x v="3"/>
    <x v="4"/>
    <s v="Tom Davies"/>
    <x v="1"/>
    <d v="2025-03-27T00:00:00"/>
    <x v="12"/>
    <x v="1"/>
    <s v=""/>
    <s v=""/>
    <s v=""/>
    <s v=""/>
    <s v="Rejected"/>
    <n v="40652"/>
    <m/>
    <x v="3"/>
    <x v="1"/>
    <n v="3.1"/>
    <n v="1"/>
    <n v="0"/>
    <n v="1"/>
    <n v="0"/>
    <n v="0"/>
    <n v="0"/>
  </r>
  <r>
    <s v="APP0177"/>
    <s v="CAND1233"/>
    <s v="Jay Dixon Atkins"/>
    <s v="Jay"/>
    <s v="Atkins"/>
    <x v="1"/>
    <x v="4"/>
    <x v="3"/>
    <s v="Tom Davies"/>
    <x v="3"/>
    <d v="2024-03-21T00:00:00"/>
    <x v="3"/>
    <x v="0"/>
    <s v=""/>
    <s v=""/>
    <s v=""/>
    <s v=""/>
    <s v="Applied"/>
    <n v="38544"/>
    <m/>
    <x v="2"/>
    <x v="1"/>
    <n v="4.0999999999999996"/>
    <n v="1"/>
    <n v="0"/>
    <n v="0"/>
    <n v="0"/>
    <n v="0"/>
    <n v="0"/>
  </r>
  <r>
    <s v="APP0178"/>
    <s v="CAND1198"/>
    <s v="Julia Warner"/>
    <s v="Julia"/>
    <s v="Warner"/>
    <x v="2"/>
    <x v="4"/>
    <x v="6"/>
    <s v="Emma Wilson"/>
    <x v="0"/>
    <d v="2024-02-03T00:00:00"/>
    <x v="2"/>
    <x v="0"/>
    <s v=""/>
    <s v=""/>
    <s v=""/>
    <s v=""/>
    <s v="Applied"/>
    <n v="34444"/>
    <m/>
    <x v="2"/>
    <x v="0"/>
    <m/>
    <n v="1"/>
    <n v="0"/>
    <n v="0"/>
    <n v="0"/>
    <n v="0"/>
    <n v="0"/>
  </r>
  <r>
    <s v="APP0179"/>
    <s v="CAND1108"/>
    <s v="Alex Patel"/>
    <s v="Alex"/>
    <s v="Patel"/>
    <x v="4"/>
    <x v="3"/>
    <x v="2"/>
    <s v="Sarah Green"/>
    <x v="3"/>
    <d v="2025-03-19T00:00:00"/>
    <x v="12"/>
    <x v="1"/>
    <s v=""/>
    <s v=""/>
    <s v=""/>
    <s v=""/>
    <s v="Rejected"/>
    <n v="38734"/>
    <m/>
    <x v="3"/>
    <x v="2"/>
    <m/>
    <n v="1"/>
    <n v="0"/>
    <n v="1"/>
    <n v="0"/>
    <n v="0"/>
    <n v="0"/>
  </r>
  <r>
    <s v="APP0180"/>
    <s v="CAND1028"/>
    <s v="Gail Elliott"/>
    <s v="Gail"/>
    <s v="Elliott"/>
    <x v="3"/>
    <x v="3"/>
    <x v="4"/>
    <s v="Emma Wilson"/>
    <x v="3"/>
    <d v="2024-11-09T00:00:00"/>
    <x v="7"/>
    <x v="0"/>
    <d v="2024-11-16T00:00:00"/>
    <s v=""/>
    <s v=""/>
    <s v=""/>
    <s v="Interviewed"/>
    <n v="42623"/>
    <m/>
    <x v="0"/>
    <x v="1"/>
    <n v="2.2999999999999998"/>
    <n v="1"/>
    <n v="0"/>
    <n v="0"/>
    <n v="1"/>
    <n v="0"/>
    <n v="0"/>
  </r>
  <r>
    <s v="APP0181"/>
    <s v="CAND1081"/>
    <s v="Charles May"/>
    <s v="Charles"/>
    <s v="May"/>
    <x v="1"/>
    <x v="4"/>
    <x v="1"/>
    <s v="James Clarke"/>
    <x v="2"/>
    <d v="2024-08-17T00:00:00"/>
    <x v="0"/>
    <x v="0"/>
    <d v="2024-08-27T00:00:00"/>
    <d v="2024-09-21T00:00:00"/>
    <s v=""/>
    <s v=""/>
    <s v="Offered"/>
    <n v="43195"/>
    <n v="41847"/>
    <x v="4"/>
    <x v="1"/>
    <n v="2.2999999999999998"/>
    <n v="1"/>
    <n v="0"/>
    <n v="0"/>
    <n v="1"/>
    <n v="1"/>
    <n v="0"/>
  </r>
  <r>
    <s v="APP0182"/>
    <s v="CAND1037"/>
    <s v="Lisa Ball"/>
    <s v="Lisa"/>
    <s v="Ball"/>
    <x v="2"/>
    <x v="0"/>
    <x v="4"/>
    <s v="Emma Wilson"/>
    <x v="0"/>
    <d v="2025-03-16T00:00:00"/>
    <x v="12"/>
    <x v="1"/>
    <d v="2025-04-12T00:00:00"/>
    <d v="2025-04-14T00:00:00"/>
    <d v="2025-05-08T00:00:00"/>
    <n v="53"/>
    <s v="Hired"/>
    <n v="42752"/>
    <n v="42199"/>
    <x v="4"/>
    <x v="1"/>
    <n v="2.5"/>
    <n v="1"/>
    <n v="0"/>
    <n v="0"/>
    <n v="1"/>
    <n v="0"/>
    <n v="1"/>
  </r>
  <r>
    <s v="APP0183"/>
    <s v="CAND1191"/>
    <s v="Callum Roberts"/>
    <s v="Callum"/>
    <s v="Roberts"/>
    <x v="3"/>
    <x v="3"/>
    <x v="2"/>
    <s v="Sarah Green"/>
    <x v="0"/>
    <d v="2025-02-04T00:00:00"/>
    <x v="11"/>
    <x v="1"/>
    <d v="2025-02-22T00:00:00"/>
    <s v=""/>
    <s v=""/>
    <s v=""/>
    <s v="Interviewed"/>
    <n v="47790"/>
    <m/>
    <x v="3"/>
    <x v="2"/>
    <n v="3.3"/>
    <n v="1"/>
    <n v="0"/>
    <n v="0"/>
    <n v="1"/>
    <n v="0"/>
    <n v="0"/>
  </r>
  <r>
    <s v="APP0184"/>
    <s v="CAND1133"/>
    <s v="Danny Williamson"/>
    <s v="Danny"/>
    <s v="Williamson"/>
    <x v="0"/>
    <x v="2"/>
    <x v="1"/>
    <s v="Tom Davies"/>
    <x v="0"/>
    <d v="2025-01-08T00:00:00"/>
    <x v="10"/>
    <x v="1"/>
    <d v="2025-01-28T00:00:00"/>
    <d v="2025-01-29T00:00:00"/>
    <s v=""/>
    <s v=""/>
    <s v="Offered"/>
    <n v="44669"/>
    <n v="43129"/>
    <x v="1"/>
    <x v="0"/>
    <m/>
    <n v="1"/>
    <n v="0"/>
    <n v="0"/>
    <n v="1"/>
    <n v="1"/>
    <n v="0"/>
  </r>
  <r>
    <s v="APP0185"/>
    <s v="CAND1246"/>
    <s v="Sian Cooper Knight"/>
    <s v="Sian"/>
    <s v="Knight"/>
    <x v="0"/>
    <x v="4"/>
    <x v="4"/>
    <s v="James Clarke"/>
    <x v="3"/>
    <d v="2024-07-24T00:00:00"/>
    <x v="1"/>
    <x v="0"/>
    <d v="2024-08-19T00:00:00"/>
    <d v="2024-08-28T00:00:00"/>
    <d v="2024-09-26T00:00:00"/>
    <n v="64"/>
    <s v="Hired"/>
    <n v="37661"/>
    <n v="36961"/>
    <x v="4"/>
    <x v="0"/>
    <n v="4.7"/>
    <n v="1"/>
    <n v="0"/>
    <n v="0"/>
    <n v="1"/>
    <n v="0"/>
    <n v="1"/>
  </r>
  <r>
    <s v="APP0186"/>
    <s v="CAND1025"/>
    <s v="Joshua Cunningham"/>
    <s v="Joshua"/>
    <s v="Cunningham"/>
    <x v="4"/>
    <x v="2"/>
    <x v="0"/>
    <s v="Tom Davies"/>
    <x v="2"/>
    <d v="2024-02-23T00:00:00"/>
    <x v="2"/>
    <x v="0"/>
    <s v=""/>
    <s v=""/>
    <s v=""/>
    <s v=""/>
    <s v="Withdrawn"/>
    <n v="40813"/>
    <m/>
    <x v="4"/>
    <x v="2"/>
    <n v="2.4"/>
    <n v="1"/>
    <n v="1"/>
    <n v="0"/>
    <n v="0"/>
    <n v="0"/>
    <n v="0"/>
  </r>
  <r>
    <s v="APP0187"/>
    <s v="CAND1013"/>
    <s v="Aaron Wright"/>
    <s v="Aaron"/>
    <s v="Wright"/>
    <x v="0"/>
    <x v="0"/>
    <x v="1"/>
    <s v="Sarah Green"/>
    <x v="0"/>
    <d v="2024-03-10T00:00:00"/>
    <x v="3"/>
    <x v="0"/>
    <s v=""/>
    <s v=""/>
    <s v=""/>
    <s v=""/>
    <s v="Rejected"/>
    <n v="36587"/>
    <m/>
    <x v="0"/>
    <x v="2"/>
    <n v="4"/>
    <n v="1"/>
    <n v="0"/>
    <n v="1"/>
    <n v="0"/>
    <n v="0"/>
    <n v="0"/>
  </r>
  <r>
    <s v="APP0188"/>
    <s v="CAND1021"/>
    <s v="George Smith"/>
    <s v="George"/>
    <s v="Smith"/>
    <x v="4"/>
    <x v="2"/>
    <x v="5"/>
    <s v="James Clarke"/>
    <x v="0"/>
    <d v="2024-12-05T00:00:00"/>
    <x v="14"/>
    <x v="0"/>
    <d v="2024-12-21T00:00:00"/>
    <d v="2024-12-29T00:00:00"/>
    <d v="2025-01-25T00:00:00"/>
    <n v="51"/>
    <s v="Hired"/>
    <n v="31681"/>
    <n v="33118"/>
    <x v="3"/>
    <x v="0"/>
    <n v="4"/>
    <n v="1"/>
    <n v="0"/>
    <n v="0"/>
    <n v="1"/>
    <n v="0"/>
    <n v="1"/>
  </r>
  <r>
    <s v="APP0189"/>
    <s v="CAND1179"/>
    <s v="Grace Osborne"/>
    <s v="Grace"/>
    <s v="Osborne"/>
    <x v="2"/>
    <x v="2"/>
    <x v="4"/>
    <s v="Emma Wilson"/>
    <x v="4"/>
    <d v="2024-06-16T00:00:00"/>
    <x v="13"/>
    <x v="0"/>
    <d v="2024-06-26T00:00:00"/>
    <s v=""/>
    <s v=""/>
    <s v=""/>
    <s v="Interviewed"/>
    <n v="42920"/>
    <m/>
    <x v="0"/>
    <x v="1"/>
    <n v="3.7"/>
    <n v="1"/>
    <n v="0"/>
    <n v="0"/>
    <n v="1"/>
    <n v="0"/>
    <n v="0"/>
  </r>
  <r>
    <s v="APP0190"/>
    <s v="CAND1185"/>
    <s v="Justin Hill"/>
    <s v="Justin"/>
    <s v="Hill"/>
    <x v="1"/>
    <x v="1"/>
    <x v="6"/>
    <s v="Tom Davies"/>
    <x v="2"/>
    <d v="2025-04-23T00:00:00"/>
    <x v="8"/>
    <x v="1"/>
    <d v="2025-05-19T00:00:00"/>
    <d v="2025-05-19T00:00:00"/>
    <d v="2025-06-25T00:00:00"/>
    <n v="63"/>
    <s v="Hired"/>
    <n v="46556"/>
    <n v="45086"/>
    <x v="3"/>
    <x v="1"/>
    <n v="3.1"/>
    <n v="1"/>
    <n v="0"/>
    <n v="0"/>
    <n v="1"/>
    <n v="0"/>
    <n v="1"/>
  </r>
  <r>
    <s v="APP0191"/>
    <s v="CAND1170"/>
    <s v="Carole Martin"/>
    <s v="Carole"/>
    <s v="Martin"/>
    <x v="3"/>
    <x v="4"/>
    <x v="0"/>
    <s v="Michael Patel"/>
    <x v="2"/>
    <d v="2024-04-21T00:00:00"/>
    <x v="6"/>
    <x v="0"/>
    <s v=""/>
    <s v=""/>
    <s v=""/>
    <s v=""/>
    <s v="Applied"/>
    <n v="41416"/>
    <m/>
    <x v="4"/>
    <x v="0"/>
    <n v="3.6"/>
    <n v="1"/>
    <n v="0"/>
    <n v="0"/>
    <n v="0"/>
    <n v="0"/>
    <n v="0"/>
  </r>
  <r>
    <s v="APP0192"/>
    <s v="CAND1087"/>
    <s v="Paul Jones"/>
    <s v="Paul"/>
    <s v="Jones"/>
    <x v="0"/>
    <x v="4"/>
    <x v="4"/>
    <s v="Emma Wilson"/>
    <x v="1"/>
    <d v="2024-11-14T00:00:00"/>
    <x v="7"/>
    <x v="0"/>
    <s v=""/>
    <s v=""/>
    <s v=""/>
    <s v=""/>
    <s v="Applied"/>
    <n v="31453"/>
    <m/>
    <x v="0"/>
    <x v="1"/>
    <n v="2.5"/>
    <n v="1"/>
    <n v="0"/>
    <n v="0"/>
    <n v="0"/>
    <n v="0"/>
    <n v="0"/>
  </r>
  <r>
    <s v="APP0193"/>
    <s v="CAND1189"/>
    <s v="Christine James Williams"/>
    <s v="Christine"/>
    <s v="Williams"/>
    <x v="0"/>
    <x v="0"/>
    <x v="3"/>
    <s v="Sarah Green"/>
    <x v="3"/>
    <d v="2024-10-26T00:00:00"/>
    <x v="15"/>
    <x v="0"/>
    <s v=""/>
    <s v=""/>
    <s v=""/>
    <s v=""/>
    <s v="Rejected"/>
    <n v="47040"/>
    <m/>
    <x v="3"/>
    <x v="2"/>
    <n v="2.5"/>
    <n v="1"/>
    <n v="0"/>
    <n v="1"/>
    <n v="0"/>
    <n v="0"/>
    <n v="0"/>
  </r>
  <r>
    <s v="APP0194"/>
    <s v="CAND1105"/>
    <s v="Arthur Parker"/>
    <s v="Arthur"/>
    <s v="Parker"/>
    <x v="1"/>
    <x v="2"/>
    <x v="0"/>
    <s v="Emma Wilson"/>
    <x v="0"/>
    <d v="2025-01-18T00:00:00"/>
    <x v="10"/>
    <x v="1"/>
    <s v=""/>
    <s v=""/>
    <s v=""/>
    <s v=""/>
    <s v="Applied"/>
    <n v="46118"/>
    <m/>
    <x v="3"/>
    <x v="0"/>
    <m/>
    <n v="1"/>
    <n v="0"/>
    <n v="0"/>
    <n v="0"/>
    <n v="0"/>
    <n v="0"/>
  </r>
  <r>
    <s v="APP0195"/>
    <s v="CAND1018"/>
    <s v="Melissa Cooper Wilkinson"/>
    <s v="Melissa"/>
    <s v="Wilkinson"/>
    <x v="0"/>
    <x v="4"/>
    <x v="6"/>
    <s v="Emma Wilson"/>
    <x v="2"/>
    <d v="2024-11-09T00:00:00"/>
    <x v="7"/>
    <x v="0"/>
    <s v=""/>
    <s v=""/>
    <s v=""/>
    <s v=""/>
    <s v="Rejected"/>
    <n v="31555"/>
    <m/>
    <x v="2"/>
    <x v="2"/>
    <n v="3"/>
    <n v="1"/>
    <n v="0"/>
    <n v="1"/>
    <n v="0"/>
    <n v="0"/>
    <n v="0"/>
  </r>
  <r>
    <s v="APP0196"/>
    <s v="CAND1080"/>
    <s v="Rosemary Mason"/>
    <s v="Rosemary"/>
    <s v="Mason"/>
    <x v="4"/>
    <x v="1"/>
    <x v="6"/>
    <s v="James Clarke"/>
    <x v="2"/>
    <d v="2024-02-18T00:00:00"/>
    <x v="2"/>
    <x v="0"/>
    <s v=""/>
    <s v=""/>
    <s v=""/>
    <s v=""/>
    <s v="Applied"/>
    <n v="33784"/>
    <m/>
    <x v="1"/>
    <x v="1"/>
    <n v="4.5999999999999996"/>
    <n v="1"/>
    <n v="0"/>
    <n v="0"/>
    <n v="0"/>
    <n v="0"/>
    <n v="0"/>
  </r>
  <r>
    <s v="APP0197"/>
    <s v="CAND1123"/>
    <s v="Janet Lynch"/>
    <s v="Janet"/>
    <s v="Lynch"/>
    <x v="0"/>
    <x v="0"/>
    <x v="0"/>
    <s v="Emma Wilson"/>
    <x v="0"/>
    <d v="2025-01-23T00:00:00"/>
    <x v="10"/>
    <x v="1"/>
    <s v=""/>
    <s v=""/>
    <s v=""/>
    <s v=""/>
    <s v="Applied"/>
    <n v="50384"/>
    <m/>
    <x v="4"/>
    <x v="1"/>
    <n v="2.4"/>
    <n v="1"/>
    <n v="0"/>
    <n v="0"/>
    <n v="0"/>
    <n v="0"/>
    <n v="0"/>
  </r>
  <r>
    <s v="APP0198"/>
    <s v="CAND1249"/>
    <s v="Kieran Bell Moran"/>
    <s v="Kieran"/>
    <s v="Moran"/>
    <x v="5"/>
    <x v="1"/>
    <x v="1"/>
    <s v="James Clarke"/>
    <x v="0"/>
    <d v="2024-11-16T00:00:00"/>
    <x v="7"/>
    <x v="0"/>
    <d v="2024-12-01T00:00:00"/>
    <s v=""/>
    <s v=""/>
    <s v=""/>
    <s v="Interviewed"/>
    <n v="43632"/>
    <m/>
    <x v="2"/>
    <x v="1"/>
    <n v="3.6"/>
    <n v="1"/>
    <n v="0"/>
    <n v="0"/>
    <n v="1"/>
    <n v="0"/>
    <n v="0"/>
  </r>
  <r>
    <s v="APP0199"/>
    <s v="CAND1069"/>
    <s v="Duncan Palmer"/>
    <s v="Duncan"/>
    <s v="Palmer"/>
    <x v="0"/>
    <x v="3"/>
    <x v="0"/>
    <s v="James Clarke"/>
    <x v="1"/>
    <d v="2025-02-24T00:00:00"/>
    <x v="11"/>
    <x v="1"/>
    <s v=""/>
    <s v=""/>
    <s v=""/>
    <s v=""/>
    <s v="Withdrawn"/>
    <n v="48132"/>
    <m/>
    <x v="3"/>
    <x v="0"/>
    <n v="3.4"/>
    <n v="1"/>
    <n v="1"/>
    <n v="0"/>
    <n v="0"/>
    <n v="0"/>
    <n v="0"/>
  </r>
  <r>
    <s v="APP0200"/>
    <s v="CAND1099"/>
    <s v="Eleanor Johnson"/>
    <s v="Eleanor"/>
    <s v="Johnson"/>
    <x v="4"/>
    <x v="3"/>
    <x v="6"/>
    <s v="Emma Wilson"/>
    <x v="0"/>
    <d v="2024-09-05T00:00:00"/>
    <x v="4"/>
    <x v="0"/>
    <d v="2024-09-12T00:00:00"/>
    <s v=""/>
    <s v=""/>
    <s v=""/>
    <s v="Interviewed"/>
    <n v="42347"/>
    <m/>
    <x v="0"/>
    <x v="0"/>
    <n v="4.9000000000000004"/>
    <n v="1"/>
    <n v="0"/>
    <n v="0"/>
    <n v="1"/>
    <n v="0"/>
    <n v="0"/>
  </r>
  <r>
    <s v="APP0201"/>
    <s v="CAND1014"/>
    <s v="Anna Blake"/>
    <s v="Anna"/>
    <s v="Blake"/>
    <x v="4"/>
    <x v="0"/>
    <x v="2"/>
    <s v="Tom Davies"/>
    <x v="0"/>
    <d v="2025-03-15T00:00:00"/>
    <x v="12"/>
    <x v="1"/>
    <s v=""/>
    <s v=""/>
    <s v=""/>
    <s v=""/>
    <s v="Withdrawn"/>
    <n v="38392"/>
    <m/>
    <x v="2"/>
    <x v="2"/>
    <n v="2.4"/>
    <n v="1"/>
    <n v="1"/>
    <n v="0"/>
    <n v="0"/>
    <n v="0"/>
    <n v="0"/>
  </r>
  <r>
    <s v="APP0202"/>
    <s v="CAND1039"/>
    <s v="Charlene Shah"/>
    <s v="Charlene"/>
    <s v="Shah"/>
    <x v="3"/>
    <x v="4"/>
    <x v="1"/>
    <s v="Michael Patel"/>
    <x v="4"/>
    <d v="2025-03-19T00:00:00"/>
    <x v="12"/>
    <x v="1"/>
    <d v="2025-03-25T00:00:00"/>
    <s v=""/>
    <s v=""/>
    <s v=""/>
    <s v="Interviewed"/>
    <n v="48222"/>
    <m/>
    <x v="2"/>
    <x v="1"/>
    <n v="3.4"/>
    <n v="1"/>
    <n v="0"/>
    <n v="0"/>
    <n v="1"/>
    <n v="0"/>
    <n v="0"/>
  </r>
  <r>
    <s v="APP0203"/>
    <s v="CAND1043"/>
    <s v="Anthony Davies"/>
    <s v="Anthony"/>
    <s v="Davies"/>
    <x v="3"/>
    <x v="3"/>
    <x v="0"/>
    <s v="Emma Wilson"/>
    <x v="4"/>
    <d v="2024-12-13T00:00:00"/>
    <x v="14"/>
    <x v="0"/>
    <s v=""/>
    <s v=""/>
    <s v=""/>
    <s v=""/>
    <s v="Withdrawn"/>
    <n v="33844"/>
    <m/>
    <x v="3"/>
    <x v="2"/>
    <n v="3"/>
    <n v="1"/>
    <n v="1"/>
    <n v="0"/>
    <n v="0"/>
    <n v="0"/>
    <n v="0"/>
  </r>
  <r>
    <s v="APP0204"/>
    <s v="CAND1002"/>
    <s v="Natalie Evans"/>
    <s v="Natalie"/>
    <s v="Evans"/>
    <x v="2"/>
    <x v="2"/>
    <x v="0"/>
    <s v="Tom Davies"/>
    <x v="0"/>
    <d v="2024-11-23T00:00:00"/>
    <x v="7"/>
    <x v="0"/>
    <s v=""/>
    <s v=""/>
    <s v=""/>
    <s v=""/>
    <s v="Rejected"/>
    <n v="50618"/>
    <m/>
    <x v="3"/>
    <x v="1"/>
    <n v="4.2"/>
    <n v="1"/>
    <n v="0"/>
    <n v="1"/>
    <n v="0"/>
    <n v="0"/>
    <n v="0"/>
  </r>
  <r>
    <s v="APP0205"/>
    <s v="CAND1179"/>
    <s v="Bethany Potter Davison"/>
    <s v="Bethany"/>
    <s v="Davison"/>
    <x v="5"/>
    <x v="1"/>
    <x v="4"/>
    <s v="Emma Wilson"/>
    <x v="0"/>
    <d v="2024-05-28T00:00:00"/>
    <x v="5"/>
    <x v="0"/>
    <s v=""/>
    <s v=""/>
    <s v=""/>
    <s v=""/>
    <s v="Withdrawn"/>
    <n v="44228"/>
    <m/>
    <x v="2"/>
    <x v="0"/>
    <m/>
    <n v="1"/>
    <n v="1"/>
    <n v="0"/>
    <n v="0"/>
    <n v="0"/>
    <n v="0"/>
  </r>
  <r>
    <s v="APP0206"/>
    <s v="CAND1132"/>
    <s v="Claire Morley"/>
    <s v="Claire"/>
    <s v="Morley"/>
    <x v="1"/>
    <x v="4"/>
    <x v="6"/>
    <s v="Michael Patel"/>
    <x v="0"/>
    <d v="2024-07-29T00:00:00"/>
    <x v="1"/>
    <x v="0"/>
    <d v="2024-08-21T00:00:00"/>
    <s v=""/>
    <s v=""/>
    <s v=""/>
    <s v="Interviewed"/>
    <n v="50047"/>
    <m/>
    <x v="1"/>
    <x v="0"/>
    <n v="2.4"/>
    <n v="1"/>
    <n v="0"/>
    <n v="0"/>
    <n v="1"/>
    <n v="0"/>
    <n v="0"/>
  </r>
  <r>
    <s v="APP0207"/>
    <s v="CAND1089"/>
    <s v="Sally Norris Webb"/>
    <s v="Sally"/>
    <s v="Webb"/>
    <x v="1"/>
    <x v="2"/>
    <x v="1"/>
    <s v="Michael Patel"/>
    <x v="3"/>
    <d v="2024-07-29T00:00:00"/>
    <x v="1"/>
    <x v="0"/>
    <d v="2024-08-05T00:00:00"/>
    <d v="2024-08-14T00:00:00"/>
    <s v=""/>
    <s v=""/>
    <s v="Offered"/>
    <n v="50460"/>
    <n v="47702"/>
    <x v="0"/>
    <x v="1"/>
    <n v="4.4000000000000004"/>
    <n v="1"/>
    <n v="0"/>
    <n v="0"/>
    <n v="1"/>
    <n v="1"/>
    <n v="0"/>
  </r>
  <r>
    <s v="APP0208"/>
    <s v="CAND1169"/>
    <s v="Iain Murphy"/>
    <s v="Iain"/>
    <s v="Murphy"/>
    <x v="0"/>
    <x v="3"/>
    <x v="3"/>
    <s v="Michael Patel"/>
    <x v="2"/>
    <d v="2025-01-14T00:00:00"/>
    <x v="10"/>
    <x v="1"/>
    <s v=""/>
    <s v=""/>
    <s v=""/>
    <s v=""/>
    <s v="Applied"/>
    <n v="49582"/>
    <m/>
    <x v="0"/>
    <x v="2"/>
    <n v="4.5"/>
    <n v="1"/>
    <n v="0"/>
    <n v="0"/>
    <n v="0"/>
    <n v="0"/>
    <n v="0"/>
  </r>
  <r>
    <s v="APP0209"/>
    <s v="CAND1126"/>
    <s v="Mathew Clarke"/>
    <s v="Mathew"/>
    <s v="Clarke"/>
    <x v="3"/>
    <x v="0"/>
    <x v="3"/>
    <s v="Sarah Green"/>
    <x v="2"/>
    <d v="2024-11-13T00:00:00"/>
    <x v="7"/>
    <x v="0"/>
    <d v="2024-11-30T00:00:00"/>
    <d v="2024-12-25T00:00:00"/>
    <d v="2024-12-04T00:00:00"/>
    <n v="21"/>
    <s v="Hired"/>
    <n v="29422"/>
    <n v="28114"/>
    <x v="2"/>
    <x v="2"/>
    <n v="3.7"/>
    <n v="1"/>
    <n v="0"/>
    <n v="0"/>
    <n v="1"/>
    <n v="0"/>
    <n v="1"/>
  </r>
  <r>
    <s v="APP0210"/>
    <s v="CAND1097"/>
    <s v="Jenna Jackson"/>
    <s v="Jenna"/>
    <s v="Jackson"/>
    <x v="3"/>
    <x v="4"/>
    <x v="4"/>
    <s v="James Clarke"/>
    <x v="1"/>
    <d v="2025-01-31T00:00:00"/>
    <x v="10"/>
    <x v="1"/>
    <s v=""/>
    <s v=""/>
    <s v=""/>
    <s v=""/>
    <s v="Applied"/>
    <n v="41832"/>
    <m/>
    <x v="2"/>
    <x v="1"/>
    <n v="3.2"/>
    <n v="1"/>
    <n v="0"/>
    <n v="0"/>
    <n v="0"/>
    <n v="0"/>
    <n v="0"/>
  </r>
  <r>
    <s v="APP0211"/>
    <s v="CAND1184"/>
    <s v="Hayley Gould"/>
    <s v="Hayley"/>
    <s v="Gould"/>
    <x v="4"/>
    <x v="4"/>
    <x v="6"/>
    <s v="Tom Davies"/>
    <x v="2"/>
    <d v="2024-05-02T00:00:00"/>
    <x v="5"/>
    <x v="0"/>
    <s v=""/>
    <s v=""/>
    <s v=""/>
    <s v=""/>
    <s v="Applied"/>
    <n v="51757"/>
    <m/>
    <x v="0"/>
    <x v="1"/>
    <n v="4.5"/>
    <n v="1"/>
    <n v="0"/>
    <n v="0"/>
    <n v="0"/>
    <n v="0"/>
    <n v="0"/>
  </r>
  <r>
    <s v="APP0212"/>
    <s v="CAND1070"/>
    <s v="Tina Morris"/>
    <s v="Tina"/>
    <s v="Morris"/>
    <x v="1"/>
    <x v="0"/>
    <x v="5"/>
    <s v="Sarah Green"/>
    <x v="0"/>
    <d v="2025-01-03T00:00:00"/>
    <x v="10"/>
    <x v="1"/>
    <s v=""/>
    <s v=""/>
    <s v=""/>
    <s v=""/>
    <s v="Rejected"/>
    <n v="51875"/>
    <m/>
    <x v="3"/>
    <x v="2"/>
    <m/>
    <n v="1"/>
    <n v="0"/>
    <n v="1"/>
    <n v="0"/>
    <n v="0"/>
    <n v="0"/>
  </r>
  <r>
    <s v="APP0213"/>
    <s v="CAND1136"/>
    <s v="Martin Robinson"/>
    <s v="Martin"/>
    <s v="Robinson"/>
    <x v="5"/>
    <x v="0"/>
    <x v="0"/>
    <s v="Michael Patel"/>
    <x v="1"/>
    <d v="2024-05-28T00:00:00"/>
    <x v="5"/>
    <x v="0"/>
    <d v="2024-06-21T00:00:00"/>
    <s v=""/>
    <s v=""/>
    <s v=""/>
    <s v="Interviewed"/>
    <n v="48121"/>
    <m/>
    <x v="4"/>
    <x v="2"/>
    <n v="3.1"/>
    <n v="1"/>
    <n v="0"/>
    <n v="0"/>
    <n v="1"/>
    <n v="0"/>
    <n v="0"/>
  </r>
  <r>
    <s v="APP0214"/>
    <s v="CAND1011"/>
    <s v="Marc Taylor"/>
    <s v="Marc"/>
    <s v="Taylor"/>
    <x v="2"/>
    <x v="2"/>
    <x v="5"/>
    <s v="Michael Patel"/>
    <x v="0"/>
    <d v="2025-02-20T00:00:00"/>
    <x v="11"/>
    <x v="1"/>
    <d v="2025-02-25T00:00:00"/>
    <s v=""/>
    <s v=""/>
    <s v=""/>
    <s v="Interviewed"/>
    <n v="44094"/>
    <m/>
    <x v="4"/>
    <x v="1"/>
    <n v="3.9"/>
    <n v="1"/>
    <n v="0"/>
    <n v="0"/>
    <n v="1"/>
    <n v="0"/>
    <n v="0"/>
  </r>
  <r>
    <s v="APP0215"/>
    <s v="CAND1014"/>
    <s v="Fiona Webb"/>
    <s v="Fiona"/>
    <s v="Webb"/>
    <x v="3"/>
    <x v="4"/>
    <x v="6"/>
    <s v="Sarah Green"/>
    <x v="4"/>
    <d v="2024-12-09T00:00:00"/>
    <x v="14"/>
    <x v="0"/>
    <d v="2024-12-17T00:00:00"/>
    <s v=""/>
    <s v=""/>
    <s v=""/>
    <s v="Interviewed"/>
    <n v="28263"/>
    <m/>
    <x v="3"/>
    <x v="0"/>
    <n v="4.9000000000000004"/>
    <n v="1"/>
    <n v="0"/>
    <n v="0"/>
    <n v="1"/>
    <n v="0"/>
    <n v="0"/>
  </r>
  <r>
    <s v="APP0216"/>
    <s v="CAND1125"/>
    <s v="Elaine Price"/>
    <s v="Elaine"/>
    <s v="Price"/>
    <x v="5"/>
    <x v="1"/>
    <x v="5"/>
    <s v="James Clarke"/>
    <x v="3"/>
    <d v="2024-07-11T00:00:00"/>
    <x v="1"/>
    <x v="0"/>
    <s v=""/>
    <s v=""/>
    <s v=""/>
    <s v=""/>
    <s v="Applied"/>
    <n v="40494"/>
    <m/>
    <x v="4"/>
    <x v="0"/>
    <n v="3"/>
    <n v="1"/>
    <n v="0"/>
    <n v="0"/>
    <n v="0"/>
    <n v="0"/>
    <n v="0"/>
  </r>
  <r>
    <s v="APP0217"/>
    <s v="CAND1086"/>
    <s v="Clare Scott"/>
    <s v="Clare"/>
    <s v="Scott"/>
    <x v="3"/>
    <x v="3"/>
    <x v="3"/>
    <s v="Sarah Green"/>
    <x v="0"/>
    <d v="2025-03-15T00:00:00"/>
    <x v="12"/>
    <x v="1"/>
    <s v=""/>
    <s v=""/>
    <s v=""/>
    <s v=""/>
    <s v="Rejected"/>
    <n v="41242"/>
    <m/>
    <x v="1"/>
    <x v="1"/>
    <n v="4.5999999999999996"/>
    <n v="1"/>
    <n v="0"/>
    <n v="1"/>
    <n v="0"/>
    <n v="0"/>
    <n v="0"/>
  </r>
  <r>
    <s v="APP0218"/>
    <s v="CAND1157"/>
    <s v="Jake Vincent Patel"/>
    <s v="Jake"/>
    <s v="Patel"/>
    <x v="2"/>
    <x v="0"/>
    <x v="6"/>
    <s v="James Clarke"/>
    <x v="3"/>
    <d v="2024-08-05T00:00:00"/>
    <x v="0"/>
    <x v="0"/>
    <s v=""/>
    <s v=""/>
    <s v=""/>
    <s v=""/>
    <s v="Applied"/>
    <n v="47884"/>
    <m/>
    <x v="3"/>
    <x v="0"/>
    <n v="4.5"/>
    <n v="1"/>
    <n v="0"/>
    <n v="0"/>
    <n v="0"/>
    <n v="0"/>
    <n v="0"/>
  </r>
  <r>
    <s v="APP0219"/>
    <s v="CAND1178"/>
    <s v="Lydia Dale"/>
    <s v="Lydia"/>
    <s v="Dale"/>
    <x v="2"/>
    <x v="4"/>
    <x v="4"/>
    <s v="James Clarke"/>
    <x v="0"/>
    <d v="2024-08-21T00:00:00"/>
    <x v="0"/>
    <x v="0"/>
    <d v="2024-09-01T00:00:00"/>
    <d v="2024-09-16T00:00:00"/>
    <s v=""/>
    <s v=""/>
    <s v="Offered"/>
    <n v="47103"/>
    <n v="45973"/>
    <x v="2"/>
    <x v="1"/>
    <n v="3.3"/>
    <n v="1"/>
    <n v="0"/>
    <n v="0"/>
    <n v="1"/>
    <n v="1"/>
    <n v="0"/>
  </r>
  <r>
    <s v="APP0220"/>
    <s v="CAND1180"/>
    <s v="Gail Robinson Dixon"/>
    <s v="Gail"/>
    <s v="Dixon"/>
    <x v="0"/>
    <x v="2"/>
    <x v="6"/>
    <s v="Sarah Green"/>
    <x v="0"/>
    <d v="2024-08-01T00:00:00"/>
    <x v="0"/>
    <x v="0"/>
    <d v="2024-08-12T00:00:00"/>
    <d v="2024-09-06T00:00:00"/>
    <s v=""/>
    <s v=""/>
    <s v="Offered"/>
    <n v="39853"/>
    <n v="40676"/>
    <x v="0"/>
    <x v="0"/>
    <n v="3.2"/>
    <n v="1"/>
    <n v="0"/>
    <n v="0"/>
    <n v="1"/>
    <n v="1"/>
    <n v="0"/>
  </r>
  <r>
    <s v="APP0221"/>
    <s v="CAND1095"/>
    <s v="Duncan Mitchell"/>
    <s v="Duncan"/>
    <s v="Mitchell"/>
    <x v="5"/>
    <x v="4"/>
    <x v="4"/>
    <s v="Michael Patel"/>
    <x v="1"/>
    <d v="2024-12-26T00:00:00"/>
    <x v="14"/>
    <x v="0"/>
    <s v=""/>
    <s v=""/>
    <s v=""/>
    <s v=""/>
    <s v="Applied"/>
    <n v="38830"/>
    <m/>
    <x v="1"/>
    <x v="0"/>
    <n v="3.5"/>
    <n v="1"/>
    <n v="0"/>
    <n v="0"/>
    <n v="0"/>
    <n v="0"/>
    <n v="0"/>
  </r>
  <r>
    <s v="APP0222"/>
    <s v="CAND1177"/>
    <s v="Norman Jackson"/>
    <s v="Norman"/>
    <s v="Jackson"/>
    <x v="2"/>
    <x v="0"/>
    <x v="2"/>
    <s v="Michael Patel"/>
    <x v="0"/>
    <d v="2024-03-30T00:00:00"/>
    <x v="3"/>
    <x v="0"/>
    <d v="2024-04-11T00:00:00"/>
    <s v=""/>
    <s v=""/>
    <s v=""/>
    <s v="Interviewed"/>
    <n v="32923"/>
    <m/>
    <x v="0"/>
    <x v="1"/>
    <n v="2.7"/>
    <n v="1"/>
    <n v="0"/>
    <n v="0"/>
    <n v="1"/>
    <n v="0"/>
    <n v="0"/>
  </r>
  <r>
    <s v="APP0223"/>
    <s v="CAND1236"/>
    <s v="Jamie Brown"/>
    <s v="Jamie"/>
    <s v="Brown"/>
    <x v="4"/>
    <x v="0"/>
    <x v="1"/>
    <s v="James Clarke"/>
    <x v="0"/>
    <d v="2024-06-18T00:00:00"/>
    <x v="13"/>
    <x v="0"/>
    <s v=""/>
    <s v=""/>
    <s v=""/>
    <s v=""/>
    <s v="Applied"/>
    <n v="33884"/>
    <m/>
    <x v="2"/>
    <x v="0"/>
    <n v="3.3"/>
    <n v="1"/>
    <n v="0"/>
    <n v="0"/>
    <n v="0"/>
    <n v="0"/>
    <n v="0"/>
  </r>
  <r>
    <s v="APP0224"/>
    <s v="CAND1225"/>
    <s v="Stewart Jackson"/>
    <s v="Stewart"/>
    <s v="Jackson"/>
    <x v="4"/>
    <x v="0"/>
    <x v="5"/>
    <s v="Tom Davies"/>
    <x v="0"/>
    <d v="2025-01-23T00:00:00"/>
    <x v="10"/>
    <x v="1"/>
    <s v=""/>
    <s v=""/>
    <s v=""/>
    <s v=""/>
    <s v="Rejected"/>
    <n v="31327"/>
    <m/>
    <x v="4"/>
    <x v="0"/>
    <n v="3"/>
    <n v="1"/>
    <n v="0"/>
    <n v="1"/>
    <n v="0"/>
    <n v="0"/>
    <n v="0"/>
  </r>
  <r>
    <s v="APP0225"/>
    <s v="CAND1230"/>
    <s v="Nigel Thomas"/>
    <s v="Nigel"/>
    <s v="Thomas"/>
    <x v="5"/>
    <x v="0"/>
    <x v="4"/>
    <s v="James Clarke"/>
    <x v="1"/>
    <d v="2024-10-05T00:00:00"/>
    <x v="15"/>
    <x v="0"/>
    <s v=""/>
    <s v=""/>
    <s v=""/>
    <s v=""/>
    <s v="Applied"/>
    <n v="38045"/>
    <m/>
    <x v="4"/>
    <x v="0"/>
    <n v="4.0999999999999996"/>
    <n v="1"/>
    <n v="0"/>
    <n v="0"/>
    <n v="0"/>
    <n v="0"/>
    <n v="0"/>
  </r>
  <r>
    <s v="APP0226"/>
    <s v="CAND1247"/>
    <s v="Diane Smith"/>
    <s v="Diane"/>
    <s v="Smith"/>
    <x v="0"/>
    <x v="3"/>
    <x v="5"/>
    <s v="Michael Patel"/>
    <x v="0"/>
    <d v="2025-04-29T00:00:00"/>
    <x v="8"/>
    <x v="1"/>
    <s v=""/>
    <s v=""/>
    <s v=""/>
    <s v=""/>
    <s v="Applied"/>
    <n v="29811"/>
    <m/>
    <x v="2"/>
    <x v="1"/>
    <n v="2.8"/>
    <n v="1"/>
    <n v="0"/>
    <n v="0"/>
    <n v="0"/>
    <n v="0"/>
    <n v="0"/>
  </r>
  <r>
    <s v="APP0227"/>
    <s v="CAND1035"/>
    <s v="Joseph Patel"/>
    <s v="Joseph"/>
    <s v="Patel"/>
    <x v="3"/>
    <x v="3"/>
    <x v="4"/>
    <s v="Michael Patel"/>
    <x v="0"/>
    <d v="2025-05-03T00:00:00"/>
    <x v="16"/>
    <x v="1"/>
    <s v=""/>
    <s v=""/>
    <s v=""/>
    <s v=""/>
    <s v="Applied"/>
    <n v="29542"/>
    <m/>
    <x v="3"/>
    <x v="2"/>
    <n v="2.7"/>
    <n v="1"/>
    <n v="0"/>
    <n v="0"/>
    <n v="0"/>
    <n v="0"/>
    <n v="0"/>
  </r>
  <r>
    <s v="APP0228"/>
    <s v="CAND1207"/>
    <s v="Russell Ward"/>
    <s v="Russell"/>
    <s v="Ward"/>
    <x v="0"/>
    <x v="4"/>
    <x v="1"/>
    <s v="Tom Davies"/>
    <x v="0"/>
    <d v="2025-04-26T00:00:00"/>
    <x v="8"/>
    <x v="1"/>
    <s v=""/>
    <s v=""/>
    <s v=""/>
    <s v=""/>
    <s v="Rejected"/>
    <n v="50678"/>
    <m/>
    <x v="1"/>
    <x v="0"/>
    <n v="3.9"/>
    <n v="1"/>
    <n v="0"/>
    <n v="1"/>
    <n v="0"/>
    <n v="0"/>
    <n v="0"/>
  </r>
  <r>
    <s v="APP0229"/>
    <s v="CAND1162"/>
    <s v="Chloe Clarke"/>
    <s v="Chloe"/>
    <s v="Clarke"/>
    <x v="4"/>
    <x v="0"/>
    <x v="4"/>
    <s v="Michael Patel"/>
    <x v="3"/>
    <d v="2024-09-19T00:00:00"/>
    <x v="4"/>
    <x v="0"/>
    <s v=""/>
    <s v=""/>
    <s v=""/>
    <s v=""/>
    <s v="Applied"/>
    <n v="34998"/>
    <m/>
    <x v="0"/>
    <x v="0"/>
    <n v="2.4"/>
    <n v="1"/>
    <n v="0"/>
    <n v="0"/>
    <n v="0"/>
    <n v="0"/>
    <n v="0"/>
  </r>
  <r>
    <s v="APP0230"/>
    <s v="CAND1119"/>
    <s v="Leanne Whitehead Clark"/>
    <s v="Leanne"/>
    <s v="Clark"/>
    <x v="4"/>
    <x v="1"/>
    <x v="1"/>
    <s v="Michael Patel"/>
    <x v="1"/>
    <d v="2024-05-28T00:00:00"/>
    <x v="5"/>
    <x v="0"/>
    <s v=""/>
    <s v=""/>
    <s v=""/>
    <s v=""/>
    <s v="Rejected"/>
    <n v="44716"/>
    <m/>
    <x v="0"/>
    <x v="2"/>
    <n v="3.8"/>
    <n v="1"/>
    <n v="0"/>
    <n v="1"/>
    <n v="0"/>
    <n v="0"/>
    <n v="0"/>
  </r>
  <r>
    <s v="APP0231"/>
    <s v="CAND1189"/>
    <s v="Elliot Curtis"/>
    <s v="Elliot"/>
    <s v="Curtis"/>
    <x v="0"/>
    <x v="3"/>
    <x v="4"/>
    <s v="Emma Wilson"/>
    <x v="0"/>
    <d v="2024-10-02T00:00:00"/>
    <x v="15"/>
    <x v="0"/>
    <s v=""/>
    <s v=""/>
    <s v=""/>
    <s v=""/>
    <s v="Applied"/>
    <n v="38213"/>
    <m/>
    <x v="4"/>
    <x v="0"/>
    <n v="4.4000000000000004"/>
    <n v="1"/>
    <n v="0"/>
    <n v="0"/>
    <n v="0"/>
    <n v="0"/>
    <n v="0"/>
  </r>
  <r>
    <s v="APP0232"/>
    <s v="CAND1147"/>
    <s v="Jason Payne"/>
    <s v="Jason"/>
    <s v="Payne"/>
    <x v="3"/>
    <x v="1"/>
    <x v="4"/>
    <s v="Sarah Green"/>
    <x v="0"/>
    <d v="2024-10-05T00:00:00"/>
    <x v="15"/>
    <x v="0"/>
    <s v=""/>
    <s v=""/>
    <s v=""/>
    <s v=""/>
    <s v="Applied"/>
    <n v="40024"/>
    <m/>
    <x v="3"/>
    <x v="2"/>
    <n v="4.3"/>
    <n v="1"/>
    <n v="0"/>
    <n v="0"/>
    <n v="0"/>
    <n v="0"/>
    <n v="0"/>
  </r>
  <r>
    <s v="APP0233"/>
    <s v="CAND1217"/>
    <s v="Diane Smith"/>
    <s v="Diane"/>
    <s v="Smith"/>
    <x v="3"/>
    <x v="4"/>
    <x v="4"/>
    <s v="Sarah Green"/>
    <x v="3"/>
    <d v="2025-03-15T00:00:00"/>
    <x v="12"/>
    <x v="1"/>
    <s v=""/>
    <s v=""/>
    <s v=""/>
    <s v=""/>
    <s v="Applied"/>
    <n v="50839"/>
    <m/>
    <x v="0"/>
    <x v="0"/>
    <n v="4.5"/>
    <n v="1"/>
    <n v="0"/>
    <n v="0"/>
    <n v="0"/>
    <n v="0"/>
    <n v="0"/>
  </r>
  <r>
    <s v="APP0234"/>
    <s v="CAND1223"/>
    <s v="Samuel Smith"/>
    <s v="Samuel"/>
    <s v="Smith"/>
    <x v="1"/>
    <x v="2"/>
    <x v="4"/>
    <s v="Michael Patel"/>
    <x v="0"/>
    <d v="2024-08-01T00:00:00"/>
    <x v="0"/>
    <x v="0"/>
    <s v=""/>
    <s v=""/>
    <s v=""/>
    <s v=""/>
    <s v="Applied"/>
    <n v="50440"/>
    <m/>
    <x v="2"/>
    <x v="0"/>
    <n v="3.4"/>
    <n v="1"/>
    <n v="0"/>
    <n v="0"/>
    <n v="0"/>
    <n v="0"/>
    <n v="0"/>
  </r>
  <r>
    <s v="APP0235"/>
    <s v="CAND1112"/>
    <s v="Ronald Frost"/>
    <s v="Ronald"/>
    <s v="Frost"/>
    <x v="0"/>
    <x v="2"/>
    <x v="3"/>
    <s v="Michael Patel"/>
    <x v="0"/>
    <d v="2024-07-24T00:00:00"/>
    <x v="1"/>
    <x v="0"/>
    <d v="2024-07-31T00:00:00"/>
    <d v="2024-08-24T00:00:00"/>
    <d v="2024-08-30T00:00:00"/>
    <n v="37"/>
    <s v="Hired"/>
    <n v="34176"/>
    <n v="36770"/>
    <x v="4"/>
    <x v="0"/>
    <n v="2.8"/>
    <n v="1"/>
    <n v="0"/>
    <n v="0"/>
    <n v="1"/>
    <n v="0"/>
    <n v="1"/>
  </r>
  <r>
    <s v="APP0236"/>
    <s v="CAND1172"/>
    <s v="Barry Gill"/>
    <s v="Barry"/>
    <s v="Gill"/>
    <x v="5"/>
    <x v="1"/>
    <x v="0"/>
    <s v="Sarah Green"/>
    <x v="0"/>
    <d v="2024-04-04T00:00:00"/>
    <x v="6"/>
    <x v="0"/>
    <d v="2024-04-17T00:00:00"/>
    <s v=""/>
    <s v=""/>
    <s v=""/>
    <s v="Interviewed"/>
    <n v="31908"/>
    <m/>
    <x v="0"/>
    <x v="0"/>
    <n v="4.5999999999999996"/>
    <n v="1"/>
    <n v="0"/>
    <n v="0"/>
    <n v="1"/>
    <n v="0"/>
    <n v="0"/>
  </r>
  <r>
    <s v="APP0237"/>
    <s v="CAND1004"/>
    <s v="Kevin Hall Davies"/>
    <s v="Kevin"/>
    <s v="Davies"/>
    <x v="0"/>
    <x v="3"/>
    <x v="2"/>
    <s v="Michael Patel"/>
    <x v="0"/>
    <d v="2024-11-25T00:00:00"/>
    <x v="7"/>
    <x v="0"/>
    <s v=""/>
    <s v=""/>
    <s v=""/>
    <s v=""/>
    <s v="Applied"/>
    <n v="46276"/>
    <m/>
    <x v="3"/>
    <x v="1"/>
    <n v="2.6"/>
    <n v="1"/>
    <n v="0"/>
    <n v="0"/>
    <n v="0"/>
    <n v="0"/>
    <n v="0"/>
  </r>
  <r>
    <s v="APP0238"/>
    <s v="CAND1150"/>
    <s v="Rosie Welch"/>
    <s v="Rosie"/>
    <s v="Welch"/>
    <x v="3"/>
    <x v="1"/>
    <x v="0"/>
    <s v="Sarah Green"/>
    <x v="0"/>
    <d v="2024-04-18T00:00:00"/>
    <x v="6"/>
    <x v="0"/>
    <d v="2024-05-14T00:00:00"/>
    <d v="2024-05-12T00:00:00"/>
    <d v="2024-05-23T00:00:00"/>
    <n v="35"/>
    <s v="Hired"/>
    <n v="32708"/>
    <n v="35014"/>
    <x v="2"/>
    <x v="0"/>
    <n v="3.1"/>
    <n v="1"/>
    <n v="0"/>
    <n v="0"/>
    <n v="1"/>
    <n v="0"/>
    <n v="1"/>
  </r>
  <r>
    <s v="APP0239"/>
    <s v="CAND1049"/>
    <s v="Jasmine Cook Vincent"/>
    <s v="Jasmine"/>
    <s v="Vincent"/>
    <x v="2"/>
    <x v="0"/>
    <x v="4"/>
    <s v="Michael Patel"/>
    <x v="2"/>
    <d v="2024-07-08T00:00:00"/>
    <x v="1"/>
    <x v="0"/>
    <s v=""/>
    <s v=""/>
    <s v=""/>
    <s v=""/>
    <s v="Rejected"/>
    <n v="43659"/>
    <m/>
    <x v="1"/>
    <x v="1"/>
    <n v="3.9"/>
    <n v="1"/>
    <n v="0"/>
    <n v="1"/>
    <n v="0"/>
    <n v="0"/>
    <n v="0"/>
  </r>
  <r>
    <s v="APP0240"/>
    <s v="CAND1019"/>
    <s v="Lynne Lewis"/>
    <s v="Lynne"/>
    <s v="Lewis"/>
    <x v="4"/>
    <x v="1"/>
    <x v="4"/>
    <s v="Sarah Green"/>
    <x v="4"/>
    <d v="2024-07-12T00:00:00"/>
    <x v="1"/>
    <x v="0"/>
    <d v="2024-08-08T00:00:00"/>
    <s v=""/>
    <s v=""/>
    <s v=""/>
    <s v="Interviewed"/>
    <n v="48097"/>
    <m/>
    <x v="3"/>
    <x v="0"/>
    <n v="2.4"/>
    <n v="1"/>
    <n v="0"/>
    <n v="0"/>
    <n v="1"/>
    <n v="0"/>
    <n v="0"/>
  </r>
  <r>
    <s v="APP0241"/>
    <s v="CAND1191"/>
    <s v="Mohammed Bevan"/>
    <s v="Mohammed"/>
    <s v="Bevan"/>
    <x v="3"/>
    <x v="0"/>
    <x v="5"/>
    <s v="James Clarke"/>
    <x v="1"/>
    <d v="2025-01-23T00:00:00"/>
    <x v="10"/>
    <x v="1"/>
    <s v=""/>
    <s v=""/>
    <s v=""/>
    <s v=""/>
    <s v="Withdrawn"/>
    <n v="40555"/>
    <m/>
    <x v="3"/>
    <x v="1"/>
    <n v="4.7"/>
    <n v="1"/>
    <n v="1"/>
    <n v="0"/>
    <n v="0"/>
    <n v="0"/>
    <n v="0"/>
  </r>
  <r>
    <s v="APP0242"/>
    <s v="CAND1167"/>
    <s v="Owen Hanson"/>
    <s v="Owen"/>
    <s v="Hanson"/>
    <x v="3"/>
    <x v="4"/>
    <x v="1"/>
    <s v="Michael Patel"/>
    <x v="2"/>
    <d v="2024-06-13T00:00:00"/>
    <x v="13"/>
    <x v="0"/>
    <d v="2024-06-20T00:00:00"/>
    <s v=""/>
    <s v=""/>
    <s v=""/>
    <s v="Interviewed"/>
    <n v="51983"/>
    <m/>
    <x v="3"/>
    <x v="1"/>
    <n v="3.8"/>
    <n v="1"/>
    <n v="0"/>
    <n v="0"/>
    <n v="1"/>
    <n v="0"/>
    <n v="0"/>
  </r>
  <r>
    <s v="APP0243"/>
    <s v="CAND1135"/>
    <s v="Sharon Payne"/>
    <s v="Sharon"/>
    <s v="Payne"/>
    <x v="3"/>
    <x v="0"/>
    <x v="4"/>
    <s v="James Clarke"/>
    <x v="3"/>
    <d v="2024-05-29T00:00:00"/>
    <x v="5"/>
    <x v="0"/>
    <s v=""/>
    <s v=""/>
    <s v=""/>
    <s v=""/>
    <s v="Rejected"/>
    <n v="45843"/>
    <m/>
    <x v="3"/>
    <x v="0"/>
    <n v="4.2"/>
    <n v="1"/>
    <n v="0"/>
    <n v="1"/>
    <n v="0"/>
    <n v="0"/>
    <n v="0"/>
  </r>
  <r>
    <s v="APP0244"/>
    <s v="CAND1151"/>
    <s v="Lynn Baker"/>
    <s v="Lynn"/>
    <s v="Baker"/>
    <x v="5"/>
    <x v="0"/>
    <x v="6"/>
    <s v="Tom Davies"/>
    <x v="0"/>
    <d v="2025-03-29T00:00:00"/>
    <x v="12"/>
    <x v="1"/>
    <d v="2025-04-20T00:00:00"/>
    <d v="2025-05-05T00:00:00"/>
    <s v=""/>
    <s v=""/>
    <s v="Offered"/>
    <n v="41730"/>
    <n v="39142"/>
    <x v="4"/>
    <x v="2"/>
    <n v="2.4"/>
    <n v="1"/>
    <n v="0"/>
    <n v="0"/>
    <n v="1"/>
    <n v="1"/>
    <n v="0"/>
  </r>
  <r>
    <s v="APP0245"/>
    <s v="CAND1013"/>
    <s v="Stuart Nixon"/>
    <s v="Stuart"/>
    <s v="Nixon"/>
    <x v="4"/>
    <x v="3"/>
    <x v="0"/>
    <s v="Emma Wilson"/>
    <x v="3"/>
    <d v="2025-04-17T00:00:00"/>
    <x v="8"/>
    <x v="1"/>
    <s v=""/>
    <s v=""/>
    <s v=""/>
    <s v=""/>
    <s v="Rejected"/>
    <n v="39688"/>
    <m/>
    <x v="4"/>
    <x v="1"/>
    <n v="4.0999999999999996"/>
    <n v="1"/>
    <n v="0"/>
    <n v="1"/>
    <n v="0"/>
    <n v="0"/>
    <n v="0"/>
  </r>
  <r>
    <s v="APP0246"/>
    <s v="CAND1056"/>
    <s v="Carolyn Brown"/>
    <s v="Carolyn"/>
    <s v="Brown"/>
    <x v="4"/>
    <x v="0"/>
    <x v="3"/>
    <s v="Tom Davies"/>
    <x v="3"/>
    <d v="2024-02-09T00:00:00"/>
    <x v="2"/>
    <x v="0"/>
    <s v=""/>
    <s v=""/>
    <s v=""/>
    <s v=""/>
    <s v="Applied"/>
    <n v="37869"/>
    <m/>
    <x v="4"/>
    <x v="1"/>
    <n v="2.2999999999999998"/>
    <n v="1"/>
    <n v="0"/>
    <n v="0"/>
    <n v="0"/>
    <n v="0"/>
    <n v="0"/>
  </r>
  <r>
    <s v="APP0247"/>
    <s v="CAND1034"/>
    <s v="Victoria Kaur"/>
    <s v="Victoria"/>
    <s v="Kaur"/>
    <x v="5"/>
    <x v="4"/>
    <x v="4"/>
    <s v="Michael Patel"/>
    <x v="1"/>
    <d v="2024-08-31T00:00:00"/>
    <x v="0"/>
    <x v="0"/>
    <s v=""/>
    <s v=""/>
    <s v=""/>
    <s v=""/>
    <s v="Rejected"/>
    <n v="35616"/>
    <m/>
    <x v="0"/>
    <x v="0"/>
    <n v="2.5"/>
    <n v="1"/>
    <n v="0"/>
    <n v="1"/>
    <n v="0"/>
    <n v="0"/>
    <n v="0"/>
  </r>
  <r>
    <s v="APP0248"/>
    <s v="CAND1074"/>
    <s v="Elliot Butler"/>
    <s v="Elliot"/>
    <s v="Butler"/>
    <x v="4"/>
    <x v="1"/>
    <x v="4"/>
    <s v="Emma Wilson"/>
    <x v="0"/>
    <d v="2024-02-27T00:00:00"/>
    <x v="2"/>
    <x v="0"/>
    <s v=""/>
    <s v=""/>
    <s v=""/>
    <s v=""/>
    <s v="Applied"/>
    <n v="49544"/>
    <m/>
    <x v="4"/>
    <x v="2"/>
    <m/>
    <n v="1"/>
    <n v="0"/>
    <n v="0"/>
    <n v="0"/>
    <n v="0"/>
    <n v="0"/>
  </r>
  <r>
    <s v="APP0249"/>
    <s v="CAND1088"/>
    <s v="Teresa Walker"/>
    <s v="Teresa"/>
    <s v="Walker"/>
    <x v="1"/>
    <x v="4"/>
    <x v="2"/>
    <s v="Sarah Green"/>
    <x v="3"/>
    <d v="2025-01-30T00:00:00"/>
    <x v="10"/>
    <x v="1"/>
    <s v=""/>
    <s v=""/>
    <s v=""/>
    <s v=""/>
    <s v="Applied"/>
    <n v="38873"/>
    <m/>
    <x v="2"/>
    <x v="0"/>
    <n v="2.9"/>
    <n v="1"/>
    <n v="0"/>
    <n v="0"/>
    <n v="0"/>
    <n v="0"/>
    <n v="0"/>
  </r>
  <r>
    <s v="APP0250"/>
    <s v="CAND1233"/>
    <s v="Hollie Wilson"/>
    <s v="Hollie"/>
    <s v="Wilson"/>
    <x v="0"/>
    <x v="0"/>
    <x v="4"/>
    <s v="Sarah Green"/>
    <x v="1"/>
    <d v="2024-02-27T00:00:00"/>
    <x v="2"/>
    <x v="0"/>
    <s v=""/>
    <s v=""/>
    <s v=""/>
    <s v=""/>
    <s v="Applied"/>
    <n v="33259"/>
    <m/>
    <x v="1"/>
    <x v="1"/>
    <n v="2.8"/>
    <n v="1"/>
    <n v="0"/>
    <n v="0"/>
    <n v="0"/>
    <n v="0"/>
    <n v="0"/>
  </r>
  <r>
    <s v="APP0251"/>
    <s v="CAND1178"/>
    <s v="Kirsty Wright"/>
    <s v="Kirsty"/>
    <s v="Wright"/>
    <x v="4"/>
    <x v="2"/>
    <x v="6"/>
    <s v="Sarah Green"/>
    <x v="3"/>
    <d v="2025-03-18T00:00:00"/>
    <x v="12"/>
    <x v="1"/>
    <d v="2025-04-14T00:00:00"/>
    <d v="2025-04-03T00:00:00"/>
    <s v=""/>
    <s v=""/>
    <s v="Offered"/>
    <n v="45332"/>
    <n v="46484"/>
    <x v="0"/>
    <x v="0"/>
    <n v="4.8"/>
    <n v="1"/>
    <n v="0"/>
    <n v="0"/>
    <n v="1"/>
    <n v="1"/>
    <n v="0"/>
  </r>
  <r>
    <s v="APP0252"/>
    <s v="CAND1125"/>
    <s v="Howard Graham"/>
    <s v="Howard"/>
    <s v="Graham"/>
    <x v="3"/>
    <x v="2"/>
    <x v="4"/>
    <s v="James Clarke"/>
    <x v="4"/>
    <d v="2024-03-04T00:00:00"/>
    <x v="3"/>
    <x v="0"/>
    <d v="2024-03-16T00:00:00"/>
    <d v="2024-03-26T00:00:00"/>
    <s v=""/>
    <s v=""/>
    <s v="Offered"/>
    <n v="50664"/>
    <n v="51046"/>
    <x v="0"/>
    <x v="1"/>
    <n v="2.5"/>
    <n v="1"/>
    <n v="0"/>
    <n v="0"/>
    <n v="1"/>
    <n v="1"/>
    <n v="0"/>
  </r>
  <r>
    <s v="APP0253"/>
    <s v="CAND1178"/>
    <s v="Elaine Steele"/>
    <s v="Elaine"/>
    <s v="Steele"/>
    <x v="0"/>
    <x v="1"/>
    <x v="6"/>
    <s v="Tom Davies"/>
    <x v="0"/>
    <d v="2024-05-30T00:00:00"/>
    <x v="5"/>
    <x v="0"/>
    <s v=""/>
    <s v=""/>
    <s v=""/>
    <s v=""/>
    <s v="Applied"/>
    <n v="36993"/>
    <m/>
    <x v="4"/>
    <x v="1"/>
    <n v="2.5"/>
    <n v="1"/>
    <n v="0"/>
    <n v="0"/>
    <n v="0"/>
    <n v="0"/>
    <n v="0"/>
  </r>
  <r>
    <s v="APP0254"/>
    <s v="CAND1229"/>
    <s v="Joseph Wilson"/>
    <s v="Joseph"/>
    <s v="Wilson"/>
    <x v="1"/>
    <x v="3"/>
    <x v="1"/>
    <s v="Sarah Green"/>
    <x v="0"/>
    <d v="2025-04-16T00:00:00"/>
    <x v="8"/>
    <x v="1"/>
    <d v="2025-05-11T00:00:00"/>
    <s v=""/>
    <s v=""/>
    <s v=""/>
    <s v="Interviewed"/>
    <n v="47168"/>
    <m/>
    <x v="1"/>
    <x v="2"/>
    <n v="4.4000000000000004"/>
    <n v="1"/>
    <n v="0"/>
    <n v="0"/>
    <n v="1"/>
    <n v="0"/>
    <n v="0"/>
  </r>
  <r>
    <s v="APP0255"/>
    <s v="CAND1043"/>
    <s v="Olivia King Barnes"/>
    <s v="Olivia"/>
    <s v="Barnes"/>
    <x v="0"/>
    <x v="3"/>
    <x v="2"/>
    <s v="James Clarke"/>
    <x v="3"/>
    <d v="2024-03-20T00:00:00"/>
    <x v="3"/>
    <x v="0"/>
    <s v=""/>
    <s v=""/>
    <s v=""/>
    <s v=""/>
    <s v="Rejected"/>
    <n v="50986"/>
    <m/>
    <x v="0"/>
    <x v="2"/>
    <n v="4.2"/>
    <n v="1"/>
    <n v="0"/>
    <n v="1"/>
    <n v="0"/>
    <n v="0"/>
    <n v="0"/>
  </r>
  <r>
    <s v="APP0256"/>
    <s v="CAND1071"/>
    <s v="Nigel Freeman"/>
    <s v="Nigel"/>
    <s v="Freeman"/>
    <x v="5"/>
    <x v="2"/>
    <x v="0"/>
    <s v="Emma Wilson"/>
    <x v="2"/>
    <d v="2024-06-20T00:00:00"/>
    <x v="13"/>
    <x v="0"/>
    <d v="2024-07-17T00:00:00"/>
    <d v="2024-07-15T00:00:00"/>
    <d v="2024-08-11T00:00:00"/>
    <n v="52"/>
    <s v="Hired"/>
    <n v="50717"/>
    <n v="47768"/>
    <x v="4"/>
    <x v="0"/>
    <n v="4.4000000000000004"/>
    <n v="1"/>
    <n v="0"/>
    <n v="0"/>
    <n v="1"/>
    <n v="0"/>
    <n v="1"/>
  </r>
  <r>
    <s v="APP0257"/>
    <s v="CAND1057"/>
    <s v="Graham Collins"/>
    <s v="Graham"/>
    <s v="Collins"/>
    <x v="0"/>
    <x v="2"/>
    <x v="4"/>
    <s v="Emma Wilson"/>
    <x v="0"/>
    <d v="2025-01-11T00:00:00"/>
    <x v="10"/>
    <x v="1"/>
    <d v="2025-01-30T00:00:00"/>
    <s v=""/>
    <s v=""/>
    <s v=""/>
    <s v="Interviewed"/>
    <n v="45428"/>
    <m/>
    <x v="3"/>
    <x v="0"/>
    <n v="2.2999999999999998"/>
    <n v="1"/>
    <n v="0"/>
    <n v="0"/>
    <n v="1"/>
    <n v="0"/>
    <n v="0"/>
  </r>
  <r>
    <s v="APP0258"/>
    <s v="CAND1102"/>
    <s v="Jennifer Frost"/>
    <s v="Jennifer"/>
    <s v="Frost"/>
    <x v="5"/>
    <x v="0"/>
    <x v="3"/>
    <s v="Michael Patel"/>
    <x v="4"/>
    <d v="2025-01-13T00:00:00"/>
    <x v="10"/>
    <x v="1"/>
    <d v="2025-01-21T00:00:00"/>
    <s v=""/>
    <s v=""/>
    <s v=""/>
    <s v="Interviewed"/>
    <n v="47732"/>
    <m/>
    <x v="0"/>
    <x v="2"/>
    <n v="3.7"/>
    <n v="1"/>
    <n v="0"/>
    <n v="0"/>
    <n v="1"/>
    <n v="0"/>
    <n v="0"/>
  </r>
  <r>
    <s v="APP0259"/>
    <s v="CAND1070"/>
    <s v="Benjamin Morris"/>
    <s v="Benjamin"/>
    <s v="Morris"/>
    <x v="4"/>
    <x v="4"/>
    <x v="4"/>
    <s v="Michael Patel"/>
    <x v="3"/>
    <d v="2024-06-26T00:00:00"/>
    <x v="13"/>
    <x v="0"/>
    <d v="2024-07-17T00:00:00"/>
    <s v=""/>
    <s v=""/>
    <s v=""/>
    <s v="Interviewed"/>
    <n v="51088"/>
    <m/>
    <x v="1"/>
    <x v="0"/>
    <m/>
    <n v="1"/>
    <n v="0"/>
    <n v="0"/>
    <n v="1"/>
    <n v="0"/>
    <n v="0"/>
  </r>
  <r>
    <s v="APP0260"/>
    <s v="CAND1211"/>
    <s v="Robert Todd"/>
    <s v="Robert"/>
    <s v="Todd"/>
    <x v="4"/>
    <x v="2"/>
    <x v="4"/>
    <s v="Michael Patel"/>
    <x v="4"/>
    <d v="2024-10-10T00:00:00"/>
    <x v="15"/>
    <x v="0"/>
    <d v="2024-10-15T00:00:00"/>
    <d v="2024-10-31T00:00:00"/>
    <d v="2024-11-21T00:00:00"/>
    <n v="42"/>
    <s v="Hired"/>
    <n v="40212"/>
    <n v="40707"/>
    <x v="2"/>
    <x v="2"/>
    <n v="4.0999999999999996"/>
    <n v="1"/>
    <n v="0"/>
    <n v="0"/>
    <n v="1"/>
    <n v="0"/>
    <n v="1"/>
  </r>
  <r>
    <s v="APP0261"/>
    <s v="CAND1080"/>
    <s v="Denis Leach Carter"/>
    <s v="Denis"/>
    <s v="Carter"/>
    <x v="2"/>
    <x v="3"/>
    <x v="1"/>
    <s v="Emma Wilson"/>
    <x v="4"/>
    <d v="2024-11-06T00:00:00"/>
    <x v="7"/>
    <x v="0"/>
    <s v=""/>
    <s v=""/>
    <s v=""/>
    <s v=""/>
    <s v="Rejected"/>
    <n v="34684"/>
    <m/>
    <x v="1"/>
    <x v="1"/>
    <n v="4.0999999999999996"/>
    <n v="1"/>
    <n v="0"/>
    <n v="1"/>
    <n v="0"/>
    <n v="0"/>
    <n v="0"/>
  </r>
  <r>
    <s v="APP0262"/>
    <s v="CAND1131"/>
    <s v="Robin Bishop Clark"/>
    <s v="Robin"/>
    <s v="Clark"/>
    <x v="2"/>
    <x v="4"/>
    <x v="1"/>
    <s v="James Clarke"/>
    <x v="1"/>
    <d v="2024-04-09T00:00:00"/>
    <x v="6"/>
    <x v="0"/>
    <d v="2024-04-21T00:00:00"/>
    <d v="2024-05-22T00:00:00"/>
    <d v="2024-05-30T00:00:00"/>
    <n v="51"/>
    <s v="Hired"/>
    <n v="28134"/>
    <n v="31583"/>
    <x v="1"/>
    <x v="2"/>
    <n v="4.9000000000000004"/>
    <n v="1"/>
    <n v="0"/>
    <n v="0"/>
    <n v="1"/>
    <n v="0"/>
    <n v="1"/>
  </r>
  <r>
    <s v="APP0263"/>
    <s v="CAND1012"/>
    <s v="Eleanor Webb"/>
    <s v="Eleanor"/>
    <s v="Webb"/>
    <x v="0"/>
    <x v="3"/>
    <x v="4"/>
    <s v="Emma Wilson"/>
    <x v="0"/>
    <d v="2024-07-22T00:00:00"/>
    <x v="1"/>
    <x v="0"/>
    <s v=""/>
    <s v=""/>
    <s v=""/>
    <s v=""/>
    <s v="Rejected"/>
    <n v="36009"/>
    <m/>
    <x v="1"/>
    <x v="0"/>
    <n v="3.1"/>
    <n v="1"/>
    <n v="0"/>
    <n v="1"/>
    <n v="0"/>
    <n v="0"/>
    <n v="0"/>
  </r>
  <r>
    <s v="APP0264"/>
    <s v="CAND1177"/>
    <s v="Dylan Coleman"/>
    <s v="Dylan"/>
    <s v="Coleman"/>
    <x v="4"/>
    <x v="1"/>
    <x v="2"/>
    <s v="Emma Wilson"/>
    <x v="3"/>
    <d v="2024-04-14T00:00:00"/>
    <x v="6"/>
    <x v="0"/>
    <d v="2024-04-20T00:00:00"/>
    <d v="2024-04-29T00:00:00"/>
    <d v="2024-05-26T00:00:00"/>
    <n v="42"/>
    <s v="Hired"/>
    <n v="40466"/>
    <n v="37941"/>
    <x v="4"/>
    <x v="2"/>
    <n v="4.3"/>
    <n v="1"/>
    <n v="0"/>
    <n v="0"/>
    <n v="1"/>
    <n v="0"/>
    <n v="1"/>
  </r>
  <r>
    <s v="APP0265"/>
    <s v="CAND1105"/>
    <s v="Douglas Leonard Bennett"/>
    <s v="Douglas"/>
    <s v="Bennett"/>
    <x v="3"/>
    <x v="0"/>
    <x v="5"/>
    <s v="Sarah Green"/>
    <x v="0"/>
    <d v="2024-02-01T00:00:00"/>
    <x v="2"/>
    <x v="0"/>
    <d v="2024-02-17T00:00:00"/>
    <s v=""/>
    <s v=""/>
    <s v=""/>
    <s v="Interviewed"/>
    <n v="40722"/>
    <m/>
    <x v="2"/>
    <x v="2"/>
    <n v="3.2"/>
    <n v="1"/>
    <n v="0"/>
    <n v="0"/>
    <n v="1"/>
    <n v="0"/>
    <n v="0"/>
  </r>
  <r>
    <s v="APP0266"/>
    <s v="CAND1039"/>
    <s v="Jeffrey Wade"/>
    <s v="Jeffrey"/>
    <s v="Wade"/>
    <x v="1"/>
    <x v="1"/>
    <x v="5"/>
    <s v="Emma Wilson"/>
    <x v="3"/>
    <d v="2024-02-22T00:00:00"/>
    <x v="2"/>
    <x v="0"/>
    <d v="2024-03-06T00:00:00"/>
    <s v=""/>
    <s v=""/>
    <s v=""/>
    <s v="Interviewed"/>
    <n v="30710"/>
    <m/>
    <x v="1"/>
    <x v="0"/>
    <n v="3.2"/>
    <n v="1"/>
    <n v="0"/>
    <n v="0"/>
    <n v="1"/>
    <n v="0"/>
    <n v="0"/>
  </r>
  <r>
    <s v="APP0267"/>
    <s v="CAND1136"/>
    <s v="Wendy Moore"/>
    <s v="Wendy"/>
    <s v="Moore"/>
    <x v="1"/>
    <x v="3"/>
    <x v="0"/>
    <s v="James Clarke"/>
    <x v="4"/>
    <d v="2025-02-04T00:00:00"/>
    <x v="11"/>
    <x v="1"/>
    <s v=""/>
    <s v=""/>
    <s v=""/>
    <s v=""/>
    <s v="Rejected"/>
    <n v="35491"/>
    <m/>
    <x v="4"/>
    <x v="1"/>
    <m/>
    <n v="1"/>
    <n v="0"/>
    <n v="1"/>
    <n v="0"/>
    <n v="0"/>
    <n v="0"/>
  </r>
  <r>
    <s v="APP0268"/>
    <s v="CAND1074"/>
    <s v="Justin Howe"/>
    <s v="Justin"/>
    <s v="Howe"/>
    <x v="3"/>
    <x v="4"/>
    <x v="0"/>
    <s v="Michael Patel"/>
    <x v="1"/>
    <d v="2025-02-16T00:00:00"/>
    <x v="11"/>
    <x v="1"/>
    <d v="2025-02-25T00:00:00"/>
    <d v="2025-03-12T00:00:00"/>
    <s v=""/>
    <s v=""/>
    <s v="Offered"/>
    <n v="28035"/>
    <n v="31156"/>
    <x v="1"/>
    <x v="0"/>
    <n v="3.4"/>
    <n v="1"/>
    <n v="0"/>
    <n v="0"/>
    <n v="1"/>
    <n v="1"/>
    <n v="0"/>
  </r>
  <r>
    <s v="APP0269"/>
    <s v="CAND1123"/>
    <s v="Sara Lee"/>
    <s v="Sara"/>
    <s v="Lee"/>
    <x v="2"/>
    <x v="1"/>
    <x v="3"/>
    <s v="James Clarke"/>
    <x v="2"/>
    <d v="2024-03-15T00:00:00"/>
    <x v="3"/>
    <x v="0"/>
    <s v=""/>
    <s v=""/>
    <s v=""/>
    <s v=""/>
    <s v="Applied"/>
    <n v="46255"/>
    <m/>
    <x v="2"/>
    <x v="1"/>
    <n v="2.2999999999999998"/>
    <n v="1"/>
    <n v="0"/>
    <n v="0"/>
    <n v="0"/>
    <n v="0"/>
    <n v="0"/>
  </r>
  <r>
    <s v="APP0270"/>
    <s v="CAND1009"/>
    <s v="Terry Brown"/>
    <s v="Terry"/>
    <s v="Brown"/>
    <x v="3"/>
    <x v="0"/>
    <x v="6"/>
    <s v="Michael Patel"/>
    <x v="0"/>
    <d v="2024-05-25T00:00:00"/>
    <x v="5"/>
    <x v="0"/>
    <s v=""/>
    <s v=""/>
    <s v=""/>
    <s v=""/>
    <s v="Rejected"/>
    <n v="47309"/>
    <m/>
    <x v="0"/>
    <x v="2"/>
    <n v="3.2"/>
    <n v="1"/>
    <n v="0"/>
    <n v="1"/>
    <n v="0"/>
    <n v="0"/>
    <n v="0"/>
  </r>
  <r>
    <s v="APP0271"/>
    <s v="CAND1104"/>
    <s v="Charlie Evans"/>
    <s v="Charlie"/>
    <s v="Evans"/>
    <x v="0"/>
    <x v="1"/>
    <x v="2"/>
    <s v="Sarah Green"/>
    <x v="0"/>
    <d v="2025-02-24T00:00:00"/>
    <x v="11"/>
    <x v="1"/>
    <d v="2025-03-13T00:00:00"/>
    <d v="2025-04-03T00:00:00"/>
    <s v=""/>
    <s v=""/>
    <s v="Offered"/>
    <n v="38059"/>
    <n v="35281"/>
    <x v="4"/>
    <x v="2"/>
    <m/>
    <n v="1"/>
    <n v="0"/>
    <n v="0"/>
    <n v="1"/>
    <n v="1"/>
    <n v="0"/>
  </r>
  <r>
    <s v="APP0272"/>
    <s v="CAND1250"/>
    <s v="Jessica Brown Ford"/>
    <s v="Jessica"/>
    <s v="Ford"/>
    <x v="2"/>
    <x v="0"/>
    <x v="3"/>
    <s v="Emma Wilson"/>
    <x v="0"/>
    <d v="2024-05-11T00:00:00"/>
    <x v="5"/>
    <x v="0"/>
    <d v="2024-06-05T00:00:00"/>
    <s v=""/>
    <s v=""/>
    <s v=""/>
    <s v="Interviewed"/>
    <n v="30155"/>
    <m/>
    <x v="2"/>
    <x v="2"/>
    <n v="2.2000000000000002"/>
    <n v="1"/>
    <n v="0"/>
    <n v="0"/>
    <n v="1"/>
    <n v="0"/>
    <n v="0"/>
  </r>
  <r>
    <s v="APP0273"/>
    <s v="CAND1090"/>
    <s v="Jason Stone"/>
    <s v="Jason"/>
    <s v="Stone"/>
    <x v="5"/>
    <x v="3"/>
    <x v="0"/>
    <s v="Tom Davies"/>
    <x v="0"/>
    <d v="2025-03-30T00:00:00"/>
    <x v="12"/>
    <x v="1"/>
    <s v=""/>
    <s v=""/>
    <s v=""/>
    <s v=""/>
    <s v="Withdrawn"/>
    <n v="32856"/>
    <m/>
    <x v="4"/>
    <x v="1"/>
    <m/>
    <n v="1"/>
    <n v="1"/>
    <n v="0"/>
    <n v="0"/>
    <n v="0"/>
    <n v="0"/>
  </r>
  <r>
    <s v="APP0274"/>
    <s v="CAND1044"/>
    <s v="Nicole Potts"/>
    <s v="Nicole"/>
    <s v="Potts"/>
    <x v="3"/>
    <x v="3"/>
    <x v="1"/>
    <s v="Sarah Green"/>
    <x v="4"/>
    <d v="2024-06-07T00:00:00"/>
    <x v="13"/>
    <x v="0"/>
    <d v="2024-06-16T00:00:00"/>
    <s v=""/>
    <s v=""/>
    <s v=""/>
    <s v="Interviewed"/>
    <n v="49828"/>
    <m/>
    <x v="2"/>
    <x v="0"/>
    <m/>
    <n v="1"/>
    <n v="0"/>
    <n v="0"/>
    <n v="1"/>
    <n v="0"/>
    <n v="0"/>
  </r>
  <r>
    <s v="APP0275"/>
    <s v="CAND1074"/>
    <s v="Aaron Griffin"/>
    <s v="Aaron"/>
    <s v="Griffin"/>
    <x v="1"/>
    <x v="4"/>
    <x v="4"/>
    <s v="James Clarke"/>
    <x v="2"/>
    <d v="2024-05-29T00:00:00"/>
    <x v="5"/>
    <x v="0"/>
    <s v=""/>
    <s v=""/>
    <s v=""/>
    <s v=""/>
    <s v="Rejected"/>
    <n v="33432"/>
    <m/>
    <x v="2"/>
    <x v="1"/>
    <n v="4.0999999999999996"/>
    <n v="1"/>
    <n v="0"/>
    <n v="1"/>
    <n v="0"/>
    <n v="0"/>
    <n v="0"/>
  </r>
  <r>
    <s v="APP0276"/>
    <s v="CAND1164"/>
    <s v="Denise Bradley"/>
    <s v="Denise"/>
    <s v="Bradley"/>
    <x v="2"/>
    <x v="2"/>
    <x v="0"/>
    <s v="Tom Davies"/>
    <x v="2"/>
    <d v="2025-03-27T00:00:00"/>
    <x v="12"/>
    <x v="1"/>
    <s v=""/>
    <s v=""/>
    <s v=""/>
    <s v=""/>
    <s v="Withdrawn"/>
    <n v="40429"/>
    <m/>
    <x v="0"/>
    <x v="2"/>
    <n v="2.5"/>
    <n v="1"/>
    <n v="1"/>
    <n v="0"/>
    <n v="0"/>
    <n v="0"/>
    <n v="0"/>
  </r>
  <r>
    <s v="APP0277"/>
    <s v="CAND1188"/>
    <s v="Rita Bevan"/>
    <s v="Rita"/>
    <s v="Bevan"/>
    <x v="2"/>
    <x v="1"/>
    <x v="1"/>
    <s v="Emma Wilson"/>
    <x v="2"/>
    <d v="2024-01-10T00:00:00"/>
    <x v="9"/>
    <x v="0"/>
    <s v=""/>
    <s v=""/>
    <s v=""/>
    <s v=""/>
    <s v="Withdrawn"/>
    <n v="51179"/>
    <m/>
    <x v="2"/>
    <x v="2"/>
    <n v="4"/>
    <n v="1"/>
    <n v="1"/>
    <n v="0"/>
    <n v="0"/>
    <n v="0"/>
    <n v="0"/>
  </r>
  <r>
    <s v="APP0278"/>
    <s v="CAND1169"/>
    <s v="Robin Wilkinson Smith"/>
    <s v="Robin"/>
    <s v="Smith"/>
    <x v="0"/>
    <x v="4"/>
    <x v="1"/>
    <s v="James Clarke"/>
    <x v="4"/>
    <d v="2024-12-02T00:00:00"/>
    <x v="14"/>
    <x v="0"/>
    <d v="2024-12-09T00:00:00"/>
    <d v="2024-12-21T00:00:00"/>
    <s v=""/>
    <s v=""/>
    <s v="Offered"/>
    <n v="31897"/>
    <n v="31145"/>
    <x v="2"/>
    <x v="0"/>
    <m/>
    <n v="1"/>
    <n v="0"/>
    <n v="0"/>
    <n v="1"/>
    <n v="1"/>
    <n v="0"/>
  </r>
  <r>
    <s v="APP0279"/>
    <s v="CAND1191"/>
    <s v="Barbara Cooke"/>
    <s v="Barbara"/>
    <s v="Cooke"/>
    <x v="5"/>
    <x v="2"/>
    <x v="0"/>
    <s v="James Clarke"/>
    <x v="3"/>
    <d v="2024-01-15T00:00:00"/>
    <x v="9"/>
    <x v="0"/>
    <s v=""/>
    <s v=""/>
    <s v=""/>
    <s v=""/>
    <s v="Rejected"/>
    <n v="44699"/>
    <m/>
    <x v="0"/>
    <x v="2"/>
    <n v="4.7"/>
    <n v="1"/>
    <n v="0"/>
    <n v="1"/>
    <n v="0"/>
    <n v="0"/>
    <n v="0"/>
  </r>
  <r>
    <s v="APP0280"/>
    <s v="CAND1181"/>
    <s v="Justin Bishop"/>
    <s v="Justin"/>
    <s v="Bishop"/>
    <x v="0"/>
    <x v="3"/>
    <x v="0"/>
    <s v="Sarah Green"/>
    <x v="0"/>
    <d v="2025-02-24T00:00:00"/>
    <x v="11"/>
    <x v="1"/>
    <s v=""/>
    <s v=""/>
    <s v=""/>
    <s v=""/>
    <s v="Applied"/>
    <n v="46363"/>
    <m/>
    <x v="2"/>
    <x v="1"/>
    <n v="3.1"/>
    <n v="1"/>
    <n v="0"/>
    <n v="0"/>
    <n v="0"/>
    <n v="0"/>
    <n v="0"/>
  </r>
  <r>
    <s v="APP0281"/>
    <s v="CAND1086"/>
    <s v="Kyle Barnes"/>
    <s v="Kyle"/>
    <s v="Barnes"/>
    <x v="0"/>
    <x v="2"/>
    <x v="0"/>
    <s v="James Clarke"/>
    <x v="3"/>
    <d v="2025-02-13T00:00:00"/>
    <x v="11"/>
    <x v="1"/>
    <s v=""/>
    <s v=""/>
    <s v=""/>
    <s v=""/>
    <s v="Rejected"/>
    <n v="50641"/>
    <m/>
    <x v="2"/>
    <x v="2"/>
    <n v="4.4000000000000004"/>
    <n v="1"/>
    <n v="0"/>
    <n v="1"/>
    <n v="0"/>
    <n v="0"/>
    <n v="0"/>
  </r>
  <r>
    <s v="APP0282"/>
    <s v="CAND1038"/>
    <s v="Margaret Elliott Taylor"/>
    <s v="Margaret"/>
    <s v="Taylor"/>
    <x v="0"/>
    <x v="3"/>
    <x v="4"/>
    <s v="Sarah Green"/>
    <x v="1"/>
    <d v="2025-02-21T00:00:00"/>
    <x v="11"/>
    <x v="1"/>
    <d v="2025-03-05T00:00:00"/>
    <d v="2025-04-02T00:00:00"/>
    <s v=""/>
    <s v=""/>
    <s v="Offered"/>
    <n v="42265"/>
    <n v="45500"/>
    <x v="1"/>
    <x v="2"/>
    <n v="3.6"/>
    <n v="1"/>
    <n v="0"/>
    <n v="0"/>
    <n v="1"/>
    <n v="1"/>
    <n v="0"/>
  </r>
  <r>
    <s v="APP0283"/>
    <s v="CAND1114"/>
    <s v="Leanne Smith"/>
    <s v="Leanne"/>
    <s v="Smith"/>
    <x v="3"/>
    <x v="0"/>
    <x v="0"/>
    <s v="Emma Wilson"/>
    <x v="2"/>
    <d v="2025-02-15T00:00:00"/>
    <x v="11"/>
    <x v="1"/>
    <d v="2025-03-14T00:00:00"/>
    <d v="2025-03-08T00:00:00"/>
    <s v=""/>
    <s v=""/>
    <s v="Offered"/>
    <n v="45025"/>
    <n v="44603"/>
    <x v="4"/>
    <x v="1"/>
    <n v="2.2999999999999998"/>
    <n v="1"/>
    <n v="0"/>
    <n v="0"/>
    <n v="1"/>
    <n v="1"/>
    <n v="0"/>
  </r>
  <r>
    <s v="APP0284"/>
    <s v="CAND1131"/>
    <s v="Owen Brown"/>
    <s v="Owen"/>
    <s v="Brown"/>
    <x v="2"/>
    <x v="2"/>
    <x v="4"/>
    <s v="James Clarke"/>
    <x v="0"/>
    <d v="2025-04-22T00:00:00"/>
    <x v="8"/>
    <x v="1"/>
    <s v=""/>
    <s v=""/>
    <s v=""/>
    <s v=""/>
    <s v="Rejected"/>
    <n v="33469"/>
    <m/>
    <x v="1"/>
    <x v="2"/>
    <n v="2.6"/>
    <n v="1"/>
    <n v="0"/>
    <n v="1"/>
    <n v="0"/>
    <n v="0"/>
    <n v="0"/>
  </r>
  <r>
    <s v="APP0285"/>
    <s v="CAND1139"/>
    <s v="Dean Ross Robinson"/>
    <s v="Dean"/>
    <s v="Robinson"/>
    <x v="0"/>
    <x v="3"/>
    <x v="4"/>
    <s v="Emma Wilson"/>
    <x v="0"/>
    <d v="2024-03-23T00:00:00"/>
    <x v="3"/>
    <x v="0"/>
    <s v=""/>
    <s v=""/>
    <s v=""/>
    <s v=""/>
    <s v="Applied"/>
    <n v="37714"/>
    <m/>
    <x v="3"/>
    <x v="2"/>
    <n v="3.5"/>
    <n v="1"/>
    <n v="0"/>
    <n v="0"/>
    <n v="0"/>
    <n v="0"/>
    <n v="0"/>
  </r>
  <r>
    <s v="APP0286"/>
    <s v="CAND1070"/>
    <s v="Megan Norman"/>
    <s v="Megan"/>
    <s v="Norman"/>
    <x v="1"/>
    <x v="1"/>
    <x v="6"/>
    <s v="Michael Patel"/>
    <x v="0"/>
    <d v="2025-02-08T00:00:00"/>
    <x v="11"/>
    <x v="1"/>
    <d v="2025-03-07T00:00:00"/>
    <s v=""/>
    <s v=""/>
    <s v=""/>
    <s v="Interviewed"/>
    <n v="40739"/>
    <m/>
    <x v="4"/>
    <x v="2"/>
    <m/>
    <n v="1"/>
    <n v="0"/>
    <n v="0"/>
    <n v="1"/>
    <n v="0"/>
    <n v="0"/>
  </r>
  <r>
    <s v="APP0287"/>
    <s v="CAND1186"/>
    <s v="Lisa Daly"/>
    <s v="Lisa"/>
    <s v="Daly"/>
    <x v="3"/>
    <x v="3"/>
    <x v="0"/>
    <s v="Emma Wilson"/>
    <x v="0"/>
    <d v="2024-05-01T00:00:00"/>
    <x v="5"/>
    <x v="0"/>
    <d v="2024-05-16T00:00:00"/>
    <d v="2024-05-17T00:00:00"/>
    <s v=""/>
    <s v=""/>
    <s v="Offered"/>
    <n v="28452"/>
    <n v="25597"/>
    <x v="1"/>
    <x v="2"/>
    <n v="3.3"/>
    <n v="1"/>
    <n v="0"/>
    <n v="0"/>
    <n v="1"/>
    <n v="1"/>
    <n v="0"/>
  </r>
  <r>
    <s v="APP0288"/>
    <s v="CAND1000"/>
    <s v="Carole Bradley"/>
    <s v="Carole"/>
    <s v="Bradley"/>
    <x v="1"/>
    <x v="0"/>
    <x v="4"/>
    <s v="Emma Wilson"/>
    <x v="2"/>
    <d v="2024-11-17T00:00:00"/>
    <x v="7"/>
    <x v="0"/>
    <s v=""/>
    <s v=""/>
    <s v=""/>
    <s v=""/>
    <s v="Applied"/>
    <n v="41179"/>
    <m/>
    <x v="0"/>
    <x v="2"/>
    <n v="4.5"/>
    <n v="1"/>
    <n v="0"/>
    <n v="0"/>
    <n v="0"/>
    <n v="0"/>
    <n v="0"/>
  </r>
  <r>
    <s v="APP0289"/>
    <s v="CAND1053"/>
    <s v="Sian Elliott"/>
    <s v="Sian"/>
    <s v="Elliott"/>
    <x v="2"/>
    <x v="4"/>
    <x v="2"/>
    <s v="Tom Davies"/>
    <x v="2"/>
    <d v="2025-01-22T00:00:00"/>
    <x v="10"/>
    <x v="1"/>
    <s v=""/>
    <s v=""/>
    <s v=""/>
    <s v=""/>
    <s v="Applied"/>
    <n v="28942"/>
    <m/>
    <x v="0"/>
    <x v="2"/>
    <n v="3.7"/>
    <n v="1"/>
    <n v="0"/>
    <n v="0"/>
    <n v="0"/>
    <n v="0"/>
    <n v="0"/>
  </r>
  <r>
    <s v="APP0290"/>
    <s v="CAND1033"/>
    <s v="Dominic Knight"/>
    <s v="Dominic"/>
    <s v="Knight"/>
    <x v="2"/>
    <x v="4"/>
    <x v="0"/>
    <s v="Tom Davies"/>
    <x v="0"/>
    <d v="2024-02-07T00:00:00"/>
    <x v="2"/>
    <x v="0"/>
    <s v=""/>
    <s v=""/>
    <s v=""/>
    <s v=""/>
    <s v="Applied"/>
    <n v="29553"/>
    <m/>
    <x v="1"/>
    <x v="1"/>
    <n v="2.6"/>
    <n v="1"/>
    <n v="0"/>
    <n v="0"/>
    <n v="0"/>
    <n v="0"/>
    <n v="0"/>
  </r>
  <r>
    <s v="APP0291"/>
    <s v="CAND1146"/>
    <s v="Billy Flynn"/>
    <s v="Billy"/>
    <s v="Flynn"/>
    <x v="4"/>
    <x v="4"/>
    <x v="3"/>
    <s v="Emma Wilson"/>
    <x v="0"/>
    <d v="2024-07-21T00:00:00"/>
    <x v="1"/>
    <x v="0"/>
    <s v=""/>
    <s v=""/>
    <s v=""/>
    <s v=""/>
    <s v="Rejected"/>
    <n v="44473"/>
    <m/>
    <x v="3"/>
    <x v="2"/>
    <m/>
    <n v="1"/>
    <n v="0"/>
    <n v="1"/>
    <n v="0"/>
    <n v="0"/>
    <n v="0"/>
  </r>
  <r>
    <s v="APP0292"/>
    <s v="CAND1050"/>
    <s v="Rhys Hall"/>
    <s v="Rhys"/>
    <s v="Hall"/>
    <x v="0"/>
    <x v="1"/>
    <x v="0"/>
    <s v="Sarah Green"/>
    <x v="0"/>
    <d v="2024-10-09T00:00:00"/>
    <x v="15"/>
    <x v="0"/>
    <d v="2024-10-31T00:00:00"/>
    <s v=""/>
    <s v=""/>
    <s v=""/>
    <s v="Interviewed"/>
    <n v="42302"/>
    <m/>
    <x v="1"/>
    <x v="2"/>
    <n v="4.3"/>
    <n v="1"/>
    <n v="0"/>
    <n v="0"/>
    <n v="1"/>
    <n v="0"/>
    <n v="0"/>
  </r>
  <r>
    <s v="APP0293"/>
    <s v="CAND1002"/>
    <s v="Edward Sanderson Harris"/>
    <s v="Edward"/>
    <s v="Harris"/>
    <x v="4"/>
    <x v="2"/>
    <x v="4"/>
    <s v="James Clarke"/>
    <x v="0"/>
    <d v="2024-03-20T00:00:00"/>
    <x v="3"/>
    <x v="0"/>
    <s v=""/>
    <s v=""/>
    <s v=""/>
    <s v=""/>
    <s v="Rejected"/>
    <n v="41705"/>
    <m/>
    <x v="3"/>
    <x v="1"/>
    <n v="4.0999999999999996"/>
    <n v="1"/>
    <n v="0"/>
    <n v="1"/>
    <n v="0"/>
    <n v="0"/>
    <n v="0"/>
  </r>
  <r>
    <s v="APP0294"/>
    <s v="CAND1246"/>
    <s v="Lesley Pope Hughes"/>
    <s v="Lesley"/>
    <s v="Hughes"/>
    <x v="5"/>
    <x v="0"/>
    <x v="6"/>
    <s v="Tom Davies"/>
    <x v="0"/>
    <d v="2025-02-25T00:00:00"/>
    <x v="11"/>
    <x v="1"/>
    <s v=""/>
    <s v=""/>
    <s v=""/>
    <s v=""/>
    <s v="Applied"/>
    <n v="30363"/>
    <m/>
    <x v="4"/>
    <x v="0"/>
    <m/>
    <n v="1"/>
    <n v="0"/>
    <n v="0"/>
    <n v="0"/>
    <n v="0"/>
    <n v="0"/>
  </r>
  <r>
    <s v="APP0295"/>
    <s v="CAND1008"/>
    <s v="Paige Butcher"/>
    <s v="Paige"/>
    <s v="Butcher"/>
    <x v="1"/>
    <x v="0"/>
    <x v="1"/>
    <s v="Sarah Green"/>
    <x v="3"/>
    <d v="2025-05-08T00:00:00"/>
    <x v="16"/>
    <x v="1"/>
    <s v=""/>
    <s v=""/>
    <s v=""/>
    <s v=""/>
    <s v="Applied"/>
    <n v="36961"/>
    <m/>
    <x v="4"/>
    <x v="2"/>
    <n v="3.4"/>
    <n v="1"/>
    <n v="0"/>
    <n v="0"/>
    <n v="0"/>
    <n v="0"/>
    <n v="0"/>
  </r>
  <r>
    <s v="APP0296"/>
    <s v="CAND1047"/>
    <s v="Chelsea Shepherd"/>
    <s v="Chelsea"/>
    <s v="Shepherd"/>
    <x v="4"/>
    <x v="1"/>
    <x v="4"/>
    <s v="James Clarke"/>
    <x v="4"/>
    <d v="2024-09-04T00:00:00"/>
    <x v="4"/>
    <x v="0"/>
    <d v="2024-09-09T00:00:00"/>
    <d v="2024-10-14T00:00:00"/>
    <d v="2024-11-14T00:00:00"/>
    <n v="71"/>
    <s v="Hired"/>
    <n v="39797"/>
    <n v="39531"/>
    <x v="2"/>
    <x v="0"/>
    <n v="2.7"/>
    <n v="1"/>
    <n v="0"/>
    <n v="0"/>
    <n v="1"/>
    <n v="0"/>
    <n v="1"/>
  </r>
  <r>
    <s v="APP0297"/>
    <s v="CAND1092"/>
    <s v="Katie Anderson"/>
    <s v="Katie"/>
    <s v="Anderson"/>
    <x v="5"/>
    <x v="4"/>
    <x v="4"/>
    <s v="Sarah Green"/>
    <x v="3"/>
    <d v="2025-04-19T00:00:00"/>
    <x v="8"/>
    <x v="1"/>
    <s v=""/>
    <s v=""/>
    <s v=""/>
    <s v=""/>
    <s v="Applied"/>
    <n v="31652"/>
    <m/>
    <x v="4"/>
    <x v="1"/>
    <n v="4.2"/>
    <n v="1"/>
    <n v="0"/>
    <n v="0"/>
    <n v="0"/>
    <n v="0"/>
    <n v="0"/>
  </r>
  <r>
    <s v="APP0298"/>
    <s v="CAND1208"/>
    <s v="Declan Hyde"/>
    <s v="Declan"/>
    <s v="Hyde"/>
    <x v="5"/>
    <x v="0"/>
    <x v="4"/>
    <s v="Tom Davies"/>
    <x v="4"/>
    <d v="2024-01-17T00:00:00"/>
    <x v="9"/>
    <x v="0"/>
    <d v="2024-02-09T00:00:00"/>
    <s v=""/>
    <s v=""/>
    <s v=""/>
    <s v="Interviewed"/>
    <n v="30009"/>
    <m/>
    <x v="2"/>
    <x v="0"/>
    <n v="4.2"/>
    <n v="1"/>
    <n v="0"/>
    <n v="0"/>
    <n v="1"/>
    <n v="0"/>
    <n v="0"/>
  </r>
  <r>
    <s v="APP0299"/>
    <s v="CAND1115"/>
    <s v="Sylvia Gilbert"/>
    <s v="Sylvia"/>
    <s v="Gilbert"/>
    <x v="2"/>
    <x v="4"/>
    <x v="4"/>
    <s v="Emma Wilson"/>
    <x v="2"/>
    <d v="2024-06-20T00:00:00"/>
    <x v="13"/>
    <x v="0"/>
    <s v=""/>
    <s v=""/>
    <s v=""/>
    <s v=""/>
    <s v="Applied"/>
    <n v="29865"/>
    <m/>
    <x v="0"/>
    <x v="0"/>
    <n v="2.7"/>
    <n v="1"/>
    <n v="0"/>
    <n v="0"/>
    <n v="0"/>
    <n v="0"/>
    <n v="0"/>
  </r>
  <r>
    <s v="APP0300"/>
    <s v="CAND1032"/>
    <s v="Claire Gregory"/>
    <s v="Claire"/>
    <s v="Gregory"/>
    <x v="1"/>
    <x v="1"/>
    <x v="5"/>
    <s v="Emma Wilson"/>
    <x v="1"/>
    <d v="2024-07-15T00:00:00"/>
    <x v="1"/>
    <x v="0"/>
    <d v="2024-07-20T00:00:00"/>
    <d v="2024-08-22T00:00:00"/>
    <d v="2024-08-21T00:00:00"/>
    <n v="37"/>
    <s v="Hired"/>
    <n v="44712"/>
    <n v="44176"/>
    <x v="0"/>
    <x v="2"/>
    <n v="2.9"/>
    <n v="1"/>
    <n v="0"/>
    <n v="0"/>
    <n v="1"/>
    <n v="0"/>
    <n v="1"/>
  </r>
  <r>
    <s v="APP0301"/>
    <s v="CAND1222"/>
    <s v="Hollie Simpson"/>
    <s v="Hollie"/>
    <s v="Simpson"/>
    <x v="3"/>
    <x v="0"/>
    <x v="6"/>
    <s v="Emma Wilson"/>
    <x v="2"/>
    <d v="2024-09-27T00:00:00"/>
    <x v="4"/>
    <x v="0"/>
    <d v="2024-10-06T00:00:00"/>
    <d v="2024-11-09T00:00:00"/>
    <d v="2024-10-26T00:00:00"/>
    <n v="29"/>
    <s v="Hired"/>
    <n v="47034"/>
    <n v="49759"/>
    <x v="1"/>
    <x v="0"/>
    <n v="4.5"/>
    <n v="1"/>
    <n v="0"/>
    <n v="0"/>
    <n v="1"/>
    <n v="0"/>
    <n v="1"/>
  </r>
  <r>
    <s v="APP0302"/>
    <s v="CAND1193"/>
    <s v="Sophie Miller"/>
    <s v="Sophie"/>
    <s v="Miller"/>
    <x v="1"/>
    <x v="1"/>
    <x v="4"/>
    <s v="James Clarke"/>
    <x v="2"/>
    <d v="2025-03-12T00:00:00"/>
    <x v="12"/>
    <x v="1"/>
    <s v=""/>
    <s v=""/>
    <s v=""/>
    <s v=""/>
    <s v="Applied"/>
    <n v="45927"/>
    <m/>
    <x v="1"/>
    <x v="1"/>
    <n v="2.1"/>
    <n v="1"/>
    <n v="0"/>
    <n v="0"/>
    <n v="0"/>
    <n v="0"/>
    <n v="0"/>
  </r>
  <r>
    <s v="APP0303"/>
    <s v="CAND1060"/>
    <s v="Dean Griffiths"/>
    <s v="Dean"/>
    <s v="Griffiths"/>
    <x v="0"/>
    <x v="4"/>
    <x v="4"/>
    <s v="Sarah Green"/>
    <x v="3"/>
    <d v="2024-04-03T00:00:00"/>
    <x v="6"/>
    <x v="0"/>
    <d v="2024-04-27T00:00:00"/>
    <d v="2024-05-11T00:00:00"/>
    <d v="2024-05-28T00:00:00"/>
    <n v="55"/>
    <s v="Hired"/>
    <n v="28257"/>
    <n v="32088"/>
    <x v="3"/>
    <x v="1"/>
    <n v="4.0999999999999996"/>
    <n v="1"/>
    <n v="0"/>
    <n v="0"/>
    <n v="1"/>
    <n v="0"/>
    <n v="1"/>
  </r>
  <r>
    <s v="APP0304"/>
    <s v="CAND1157"/>
    <s v="Harry Read"/>
    <s v="Harry"/>
    <s v="Read"/>
    <x v="3"/>
    <x v="3"/>
    <x v="4"/>
    <s v="Emma Wilson"/>
    <x v="0"/>
    <d v="2025-01-31T00:00:00"/>
    <x v="10"/>
    <x v="1"/>
    <s v=""/>
    <s v=""/>
    <s v=""/>
    <s v=""/>
    <s v="Rejected"/>
    <n v="40755"/>
    <m/>
    <x v="2"/>
    <x v="2"/>
    <n v="3.7"/>
    <n v="1"/>
    <n v="0"/>
    <n v="1"/>
    <n v="0"/>
    <n v="0"/>
    <n v="0"/>
  </r>
  <r>
    <s v="APP0305"/>
    <s v="CAND1067"/>
    <s v="Benjamin Morley"/>
    <s v="Benjamin"/>
    <s v="Morley"/>
    <x v="5"/>
    <x v="0"/>
    <x v="4"/>
    <s v="Michael Patel"/>
    <x v="1"/>
    <d v="2024-11-24T00:00:00"/>
    <x v="7"/>
    <x v="0"/>
    <s v=""/>
    <s v=""/>
    <s v=""/>
    <s v=""/>
    <s v="Rejected"/>
    <n v="38343"/>
    <m/>
    <x v="1"/>
    <x v="2"/>
    <n v="3.9"/>
    <n v="1"/>
    <n v="0"/>
    <n v="1"/>
    <n v="0"/>
    <n v="0"/>
    <n v="0"/>
  </r>
  <r>
    <s v="APP0306"/>
    <s v="CAND1090"/>
    <s v="Gavin Turner"/>
    <s v="Gavin"/>
    <s v="Turner"/>
    <x v="2"/>
    <x v="3"/>
    <x v="3"/>
    <s v="Sarah Green"/>
    <x v="3"/>
    <d v="2025-04-20T00:00:00"/>
    <x v="8"/>
    <x v="1"/>
    <s v=""/>
    <s v=""/>
    <s v=""/>
    <s v=""/>
    <s v="Rejected"/>
    <n v="42637"/>
    <m/>
    <x v="3"/>
    <x v="0"/>
    <n v="3.6"/>
    <n v="1"/>
    <n v="0"/>
    <n v="1"/>
    <n v="0"/>
    <n v="0"/>
    <n v="0"/>
  </r>
  <r>
    <s v="APP0307"/>
    <s v="CAND1080"/>
    <s v="Kate Chapman"/>
    <s v="Kate"/>
    <s v="Chapman"/>
    <x v="5"/>
    <x v="4"/>
    <x v="0"/>
    <s v="Emma Wilson"/>
    <x v="4"/>
    <d v="2024-03-18T00:00:00"/>
    <x v="3"/>
    <x v="0"/>
    <d v="2024-03-29T00:00:00"/>
    <s v=""/>
    <s v=""/>
    <s v=""/>
    <s v="Interviewed"/>
    <n v="51148"/>
    <m/>
    <x v="3"/>
    <x v="1"/>
    <n v="3.2"/>
    <n v="1"/>
    <n v="0"/>
    <n v="0"/>
    <n v="1"/>
    <n v="0"/>
    <n v="0"/>
  </r>
  <r>
    <s v="APP0308"/>
    <s v="CAND1217"/>
    <s v="Mark Allen Lewis"/>
    <s v="Mark"/>
    <s v="Lewis"/>
    <x v="2"/>
    <x v="1"/>
    <x v="3"/>
    <s v="James Clarke"/>
    <x v="2"/>
    <d v="2024-12-12T00:00:00"/>
    <x v="14"/>
    <x v="0"/>
    <s v=""/>
    <s v=""/>
    <s v=""/>
    <s v=""/>
    <s v="Withdrawn"/>
    <n v="46343"/>
    <m/>
    <x v="3"/>
    <x v="1"/>
    <n v="3.5"/>
    <n v="1"/>
    <n v="1"/>
    <n v="0"/>
    <n v="0"/>
    <n v="0"/>
    <n v="0"/>
  </r>
  <r>
    <s v="APP0309"/>
    <s v="CAND1200"/>
    <s v="Jamie Kent Morris"/>
    <s v="Jamie"/>
    <s v="Morris"/>
    <x v="2"/>
    <x v="3"/>
    <x v="4"/>
    <s v="Emma Wilson"/>
    <x v="4"/>
    <d v="2025-02-03T00:00:00"/>
    <x v="11"/>
    <x v="1"/>
    <s v=""/>
    <s v=""/>
    <s v=""/>
    <s v=""/>
    <s v="Applied"/>
    <n v="47847"/>
    <m/>
    <x v="1"/>
    <x v="0"/>
    <n v="3.7"/>
    <n v="1"/>
    <n v="0"/>
    <n v="0"/>
    <n v="0"/>
    <n v="0"/>
    <n v="0"/>
  </r>
  <r>
    <s v="APP0310"/>
    <s v="CAND1228"/>
    <s v="Ben Walker"/>
    <s v="Ben"/>
    <s v="Walker"/>
    <x v="1"/>
    <x v="2"/>
    <x v="3"/>
    <s v="Michael Patel"/>
    <x v="0"/>
    <d v="2025-04-09T00:00:00"/>
    <x v="8"/>
    <x v="1"/>
    <s v=""/>
    <s v=""/>
    <s v=""/>
    <s v=""/>
    <s v="Applied"/>
    <n v="30506"/>
    <m/>
    <x v="4"/>
    <x v="1"/>
    <n v="2.1"/>
    <n v="1"/>
    <n v="0"/>
    <n v="0"/>
    <n v="0"/>
    <n v="0"/>
    <n v="0"/>
  </r>
  <r>
    <s v="APP0311"/>
    <s v="CAND1041"/>
    <s v="Kelly Wilson"/>
    <s v="Kelly"/>
    <s v="Wilson"/>
    <x v="5"/>
    <x v="4"/>
    <x v="5"/>
    <s v="James Clarke"/>
    <x v="1"/>
    <d v="2024-01-13T00:00:00"/>
    <x v="9"/>
    <x v="0"/>
    <s v=""/>
    <s v=""/>
    <s v=""/>
    <s v=""/>
    <s v="Applied"/>
    <n v="50055"/>
    <m/>
    <x v="1"/>
    <x v="1"/>
    <n v="4.3"/>
    <n v="1"/>
    <n v="0"/>
    <n v="0"/>
    <n v="0"/>
    <n v="0"/>
    <n v="0"/>
  </r>
  <r>
    <s v="APP0312"/>
    <s v="CAND1108"/>
    <s v="Harriet Potter"/>
    <s v="Harriet"/>
    <s v="Potter"/>
    <x v="1"/>
    <x v="0"/>
    <x v="6"/>
    <s v="Sarah Green"/>
    <x v="1"/>
    <d v="2024-08-21T00:00:00"/>
    <x v="0"/>
    <x v="0"/>
    <s v=""/>
    <s v=""/>
    <s v=""/>
    <s v=""/>
    <s v="Applied"/>
    <n v="29031"/>
    <m/>
    <x v="3"/>
    <x v="0"/>
    <n v="3.3"/>
    <n v="1"/>
    <n v="0"/>
    <n v="0"/>
    <n v="0"/>
    <n v="0"/>
    <n v="0"/>
  </r>
  <r>
    <s v="APP0313"/>
    <s v="CAND1075"/>
    <s v="Tracey Phillips"/>
    <s v="Tracey"/>
    <s v="Phillips"/>
    <x v="3"/>
    <x v="1"/>
    <x v="4"/>
    <s v="Tom Davies"/>
    <x v="0"/>
    <d v="2024-06-30T00:00:00"/>
    <x v="13"/>
    <x v="0"/>
    <s v=""/>
    <s v=""/>
    <s v=""/>
    <s v=""/>
    <s v="Applied"/>
    <n v="51917"/>
    <m/>
    <x v="0"/>
    <x v="2"/>
    <m/>
    <n v="1"/>
    <n v="0"/>
    <n v="0"/>
    <n v="0"/>
    <n v="0"/>
    <n v="0"/>
  </r>
  <r>
    <s v="APP0314"/>
    <s v="CAND1225"/>
    <s v="Susan James"/>
    <s v="Susan"/>
    <s v="James"/>
    <x v="0"/>
    <x v="2"/>
    <x v="0"/>
    <s v="Michael Patel"/>
    <x v="0"/>
    <d v="2024-09-28T00:00:00"/>
    <x v="4"/>
    <x v="0"/>
    <s v=""/>
    <s v=""/>
    <s v=""/>
    <s v=""/>
    <s v="Applied"/>
    <n v="50952"/>
    <m/>
    <x v="3"/>
    <x v="1"/>
    <n v="3.4"/>
    <n v="1"/>
    <n v="0"/>
    <n v="0"/>
    <n v="0"/>
    <n v="0"/>
    <n v="0"/>
  </r>
  <r>
    <s v="APP0315"/>
    <s v="CAND1065"/>
    <s v="Guy Brown"/>
    <s v="Guy"/>
    <s v="Brown"/>
    <x v="0"/>
    <x v="2"/>
    <x v="3"/>
    <s v="Michael Patel"/>
    <x v="3"/>
    <d v="2024-09-19T00:00:00"/>
    <x v="4"/>
    <x v="0"/>
    <d v="2024-10-06T00:00:00"/>
    <d v="2024-10-31T00:00:00"/>
    <s v=""/>
    <s v=""/>
    <s v="Offered"/>
    <n v="47635"/>
    <n v="50381"/>
    <x v="4"/>
    <x v="0"/>
    <n v="3.6"/>
    <n v="1"/>
    <n v="0"/>
    <n v="0"/>
    <n v="1"/>
    <n v="1"/>
    <n v="0"/>
  </r>
  <r>
    <s v="APP0316"/>
    <s v="CAND1163"/>
    <s v="Sylvia Stephens"/>
    <s v="Sylvia"/>
    <s v="Stephens"/>
    <x v="3"/>
    <x v="4"/>
    <x v="4"/>
    <s v="James Clarke"/>
    <x v="2"/>
    <d v="2025-04-22T00:00:00"/>
    <x v="8"/>
    <x v="1"/>
    <d v="2025-05-11T00:00:00"/>
    <s v=""/>
    <s v=""/>
    <s v=""/>
    <s v="Interviewed"/>
    <n v="47134"/>
    <m/>
    <x v="4"/>
    <x v="2"/>
    <n v="3.3"/>
    <n v="1"/>
    <n v="0"/>
    <n v="0"/>
    <n v="1"/>
    <n v="0"/>
    <n v="0"/>
  </r>
  <r>
    <s v="APP0317"/>
    <s v="CAND1079"/>
    <s v="Hayley Parry"/>
    <s v="Hayley"/>
    <s v="Parry"/>
    <x v="5"/>
    <x v="2"/>
    <x v="6"/>
    <s v="Sarah Green"/>
    <x v="4"/>
    <d v="2024-05-17T00:00:00"/>
    <x v="5"/>
    <x v="0"/>
    <s v=""/>
    <s v=""/>
    <s v=""/>
    <s v=""/>
    <s v="Applied"/>
    <n v="35541"/>
    <m/>
    <x v="3"/>
    <x v="2"/>
    <n v="4.9000000000000004"/>
    <n v="1"/>
    <n v="0"/>
    <n v="0"/>
    <n v="0"/>
    <n v="0"/>
    <n v="0"/>
  </r>
  <r>
    <s v="APP0318"/>
    <s v="CAND1021"/>
    <s v="Christine Young"/>
    <s v="Christine"/>
    <s v="Young"/>
    <x v="5"/>
    <x v="1"/>
    <x v="3"/>
    <s v="Tom Davies"/>
    <x v="0"/>
    <d v="2024-02-24T00:00:00"/>
    <x v="2"/>
    <x v="0"/>
    <s v=""/>
    <s v=""/>
    <s v=""/>
    <s v=""/>
    <s v="Rejected"/>
    <n v="45957"/>
    <m/>
    <x v="3"/>
    <x v="1"/>
    <n v="4.0999999999999996"/>
    <n v="1"/>
    <n v="0"/>
    <n v="1"/>
    <n v="0"/>
    <n v="0"/>
    <n v="0"/>
  </r>
  <r>
    <s v="APP0319"/>
    <s v="CAND1243"/>
    <s v="George Moore"/>
    <s v="George"/>
    <s v="Moore"/>
    <x v="3"/>
    <x v="3"/>
    <x v="4"/>
    <s v="Tom Davies"/>
    <x v="0"/>
    <d v="2025-02-09T00:00:00"/>
    <x v="11"/>
    <x v="1"/>
    <d v="2025-03-04T00:00:00"/>
    <s v=""/>
    <s v=""/>
    <s v=""/>
    <s v="Interviewed"/>
    <n v="49445"/>
    <m/>
    <x v="3"/>
    <x v="2"/>
    <n v="4.5"/>
    <n v="1"/>
    <n v="0"/>
    <n v="0"/>
    <n v="1"/>
    <n v="0"/>
    <n v="0"/>
  </r>
  <r>
    <s v="APP0320"/>
    <s v="CAND1161"/>
    <s v="Aaron Andrews"/>
    <s v="Aaron"/>
    <s v="Andrews"/>
    <x v="0"/>
    <x v="0"/>
    <x v="1"/>
    <s v="Sarah Green"/>
    <x v="0"/>
    <d v="2024-02-08T00:00:00"/>
    <x v="2"/>
    <x v="0"/>
    <d v="2024-02-19T00:00:00"/>
    <d v="2024-02-25T00:00:00"/>
    <s v=""/>
    <s v=""/>
    <s v="Offered"/>
    <n v="34414"/>
    <n v="35275"/>
    <x v="2"/>
    <x v="2"/>
    <n v="3.6"/>
    <n v="1"/>
    <n v="0"/>
    <n v="0"/>
    <n v="1"/>
    <n v="1"/>
    <n v="0"/>
  </r>
  <r>
    <s v="APP0321"/>
    <s v="CAND1052"/>
    <s v="Nathan Martin Cross"/>
    <s v="Nathan"/>
    <s v="Cross"/>
    <x v="1"/>
    <x v="1"/>
    <x v="6"/>
    <s v="Michael Patel"/>
    <x v="0"/>
    <d v="2024-01-05T00:00:00"/>
    <x v="9"/>
    <x v="0"/>
    <s v=""/>
    <s v=""/>
    <s v=""/>
    <s v=""/>
    <s v="Rejected"/>
    <n v="34505"/>
    <m/>
    <x v="3"/>
    <x v="2"/>
    <n v="2.9"/>
    <n v="1"/>
    <n v="0"/>
    <n v="1"/>
    <n v="0"/>
    <n v="0"/>
    <n v="0"/>
  </r>
  <r>
    <s v="APP0322"/>
    <s v="CAND1215"/>
    <s v="Sian Collins"/>
    <s v="Sian"/>
    <s v="Collins"/>
    <x v="0"/>
    <x v="1"/>
    <x v="0"/>
    <s v="Tom Davies"/>
    <x v="4"/>
    <d v="2025-03-20T00:00:00"/>
    <x v="12"/>
    <x v="1"/>
    <d v="2025-04-07T00:00:00"/>
    <s v=""/>
    <s v=""/>
    <s v=""/>
    <s v="Interviewed"/>
    <n v="39091"/>
    <m/>
    <x v="2"/>
    <x v="1"/>
    <n v="2.9"/>
    <n v="1"/>
    <n v="0"/>
    <n v="0"/>
    <n v="1"/>
    <n v="0"/>
    <n v="0"/>
  </r>
  <r>
    <s v="APP0323"/>
    <s v="CAND1006"/>
    <s v="Jordan Ross"/>
    <s v="Jordan"/>
    <s v="Ross"/>
    <x v="5"/>
    <x v="3"/>
    <x v="5"/>
    <s v="Emma Wilson"/>
    <x v="1"/>
    <d v="2025-03-06T00:00:00"/>
    <x v="12"/>
    <x v="1"/>
    <s v=""/>
    <s v=""/>
    <s v=""/>
    <s v=""/>
    <s v="Rejected"/>
    <n v="48279"/>
    <m/>
    <x v="1"/>
    <x v="0"/>
    <n v="2.6"/>
    <n v="1"/>
    <n v="0"/>
    <n v="1"/>
    <n v="0"/>
    <n v="0"/>
    <n v="0"/>
  </r>
  <r>
    <s v="APP0324"/>
    <s v="CAND1219"/>
    <s v="David Walker"/>
    <s v="David"/>
    <s v="Walker"/>
    <x v="1"/>
    <x v="2"/>
    <x v="6"/>
    <s v="Michael Patel"/>
    <x v="3"/>
    <d v="2024-04-07T00:00:00"/>
    <x v="6"/>
    <x v="0"/>
    <d v="2024-04-21T00:00:00"/>
    <s v=""/>
    <s v=""/>
    <s v=""/>
    <s v="Interviewed"/>
    <n v="40759"/>
    <m/>
    <x v="3"/>
    <x v="1"/>
    <n v="2.7"/>
    <n v="1"/>
    <n v="0"/>
    <n v="0"/>
    <n v="1"/>
    <n v="0"/>
    <n v="0"/>
  </r>
  <r>
    <s v="APP0325"/>
    <s v="CAND1145"/>
    <s v="Tony O'Neill"/>
    <s v="Tony"/>
    <s v="O'Neill"/>
    <x v="5"/>
    <x v="4"/>
    <x v="3"/>
    <s v="James Clarke"/>
    <x v="0"/>
    <d v="2024-08-06T00:00:00"/>
    <x v="0"/>
    <x v="0"/>
    <s v=""/>
    <s v=""/>
    <s v=""/>
    <s v=""/>
    <s v="Rejected"/>
    <n v="46853"/>
    <m/>
    <x v="2"/>
    <x v="0"/>
    <n v="3.9"/>
    <n v="1"/>
    <n v="0"/>
    <n v="1"/>
    <n v="0"/>
    <n v="0"/>
    <n v="0"/>
  </r>
  <r>
    <s v="APP0326"/>
    <s v="CAND1078"/>
    <s v="Matthew Harris"/>
    <s v="Matthew"/>
    <s v="Harris"/>
    <x v="2"/>
    <x v="1"/>
    <x v="5"/>
    <s v="James Clarke"/>
    <x v="2"/>
    <d v="2024-10-17T00:00:00"/>
    <x v="15"/>
    <x v="0"/>
    <s v=""/>
    <s v=""/>
    <s v=""/>
    <s v=""/>
    <s v="Withdrawn"/>
    <n v="33442"/>
    <m/>
    <x v="1"/>
    <x v="0"/>
    <n v="4.9000000000000004"/>
    <n v="1"/>
    <n v="1"/>
    <n v="0"/>
    <n v="0"/>
    <n v="0"/>
    <n v="0"/>
  </r>
  <r>
    <s v="APP0327"/>
    <s v="CAND1244"/>
    <s v="Irene Read"/>
    <s v="Irene"/>
    <s v="Read"/>
    <x v="2"/>
    <x v="0"/>
    <x v="3"/>
    <s v="Emma Wilson"/>
    <x v="0"/>
    <d v="2024-11-27T00:00:00"/>
    <x v="7"/>
    <x v="0"/>
    <s v=""/>
    <s v=""/>
    <s v=""/>
    <s v=""/>
    <s v="Applied"/>
    <n v="45063"/>
    <m/>
    <x v="4"/>
    <x v="2"/>
    <n v="2.4"/>
    <n v="1"/>
    <n v="0"/>
    <n v="0"/>
    <n v="0"/>
    <n v="0"/>
    <n v="0"/>
  </r>
  <r>
    <s v="APP0328"/>
    <s v="CAND1212"/>
    <s v="Ellie Law Perry"/>
    <s v="Ellie"/>
    <s v="Perry"/>
    <x v="0"/>
    <x v="0"/>
    <x v="4"/>
    <s v="Michael Patel"/>
    <x v="0"/>
    <d v="2024-09-23T00:00:00"/>
    <x v="4"/>
    <x v="0"/>
    <d v="2024-10-23T00:00:00"/>
    <s v=""/>
    <s v=""/>
    <s v=""/>
    <s v="Interviewed"/>
    <n v="32951"/>
    <m/>
    <x v="4"/>
    <x v="0"/>
    <n v="2.7"/>
    <n v="1"/>
    <n v="0"/>
    <n v="0"/>
    <n v="1"/>
    <n v="0"/>
    <n v="0"/>
  </r>
  <r>
    <s v="APP0329"/>
    <s v="CAND1163"/>
    <s v="Christian Rowley"/>
    <s v="Christian"/>
    <s v="Rowley"/>
    <x v="5"/>
    <x v="3"/>
    <x v="2"/>
    <s v="Sarah Green"/>
    <x v="2"/>
    <d v="2024-06-21T00:00:00"/>
    <x v="13"/>
    <x v="0"/>
    <d v="2024-06-30T00:00:00"/>
    <d v="2024-07-18T00:00:00"/>
    <d v="2024-09-03T00:00:00"/>
    <n v="74"/>
    <s v="Hired"/>
    <n v="29411"/>
    <n v="30101"/>
    <x v="4"/>
    <x v="1"/>
    <n v="3.3"/>
    <n v="1"/>
    <n v="0"/>
    <n v="0"/>
    <n v="1"/>
    <n v="0"/>
    <n v="1"/>
  </r>
  <r>
    <s v="APP0330"/>
    <s v="CAND1058"/>
    <s v="Lauren Green"/>
    <s v="Lauren"/>
    <s v="Green"/>
    <x v="4"/>
    <x v="4"/>
    <x v="4"/>
    <s v="Tom Davies"/>
    <x v="1"/>
    <d v="2025-04-14T00:00:00"/>
    <x v="8"/>
    <x v="1"/>
    <d v="2025-04-20T00:00:00"/>
    <d v="2025-05-23T00:00:00"/>
    <s v=""/>
    <s v=""/>
    <s v="Offered"/>
    <n v="39377"/>
    <n v="41798"/>
    <x v="0"/>
    <x v="2"/>
    <n v="3.9"/>
    <n v="1"/>
    <n v="0"/>
    <n v="0"/>
    <n v="1"/>
    <n v="1"/>
    <n v="0"/>
  </r>
  <r>
    <s v="APP0331"/>
    <s v="CAND1121"/>
    <s v="Sophie Foster"/>
    <s v="Sophie"/>
    <s v="Foster"/>
    <x v="0"/>
    <x v="0"/>
    <x v="6"/>
    <s v="Michael Patel"/>
    <x v="4"/>
    <d v="2024-03-27T00:00:00"/>
    <x v="3"/>
    <x v="0"/>
    <s v=""/>
    <s v=""/>
    <s v=""/>
    <s v=""/>
    <s v="Applied"/>
    <n v="50815"/>
    <m/>
    <x v="4"/>
    <x v="2"/>
    <n v="3.8"/>
    <n v="1"/>
    <n v="0"/>
    <n v="0"/>
    <n v="0"/>
    <n v="0"/>
    <n v="0"/>
  </r>
  <r>
    <s v="APP0332"/>
    <s v="CAND1179"/>
    <s v="Denise Graham"/>
    <s v="Denise"/>
    <s v="Graham"/>
    <x v="3"/>
    <x v="2"/>
    <x v="2"/>
    <s v="Tom Davies"/>
    <x v="0"/>
    <d v="2024-09-10T00:00:00"/>
    <x v="4"/>
    <x v="0"/>
    <d v="2024-09-25T00:00:00"/>
    <d v="2024-09-28T00:00:00"/>
    <d v="2024-11-12T00:00:00"/>
    <n v="63"/>
    <s v="Hired"/>
    <n v="49474"/>
    <n v="51883"/>
    <x v="0"/>
    <x v="1"/>
    <m/>
    <n v="1"/>
    <n v="0"/>
    <n v="0"/>
    <n v="1"/>
    <n v="0"/>
    <n v="1"/>
  </r>
  <r>
    <s v="APP0333"/>
    <s v="CAND1082"/>
    <s v="Dominic Mason"/>
    <s v="Dominic"/>
    <s v="Mason"/>
    <x v="1"/>
    <x v="0"/>
    <x v="0"/>
    <s v="James Clarke"/>
    <x v="0"/>
    <d v="2024-01-19T00:00:00"/>
    <x v="9"/>
    <x v="0"/>
    <s v=""/>
    <s v=""/>
    <s v=""/>
    <s v=""/>
    <s v="Applied"/>
    <n v="38087"/>
    <m/>
    <x v="3"/>
    <x v="1"/>
    <n v="3.2"/>
    <n v="1"/>
    <n v="0"/>
    <n v="0"/>
    <n v="0"/>
    <n v="0"/>
    <n v="0"/>
  </r>
  <r>
    <s v="APP0334"/>
    <s v="CAND1201"/>
    <s v="Annette Williams"/>
    <s v="Annette"/>
    <s v="Williams"/>
    <x v="4"/>
    <x v="0"/>
    <x v="4"/>
    <s v="Michael Patel"/>
    <x v="0"/>
    <d v="2025-04-25T00:00:00"/>
    <x v="8"/>
    <x v="1"/>
    <s v=""/>
    <s v=""/>
    <s v=""/>
    <s v=""/>
    <s v="Rejected"/>
    <n v="47937"/>
    <m/>
    <x v="3"/>
    <x v="1"/>
    <n v="3.7"/>
    <n v="1"/>
    <n v="0"/>
    <n v="1"/>
    <n v="0"/>
    <n v="0"/>
    <n v="0"/>
  </r>
  <r>
    <s v="APP0335"/>
    <s v="CAND1147"/>
    <s v="Lesley Ali"/>
    <s v="Lesley"/>
    <s v="Ali"/>
    <x v="0"/>
    <x v="3"/>
    <x v="5"/>
    <s v="Emma Wilson"/>
    <x v="1"/>
    <d v="2025-02-06T00:00:00"/>
    <x v="11"/>
    <x v="1"/>
    <d v="2025-02-28T00:00:00"/>
    <d v="2025-02-21T00:00:00"/>
    <d v="2025-04-04T00:00:00"/>
    <n v="57"/>
    <s v="Hired"/>
    <n v="29079"/>
    <n v="28407"/>
    <x v="3"/>
    <x v="2"/>
    <n v="3.7"/>
    <n v="1"/>
    <n v="0"/>
    <n v="0"/>
    <n v="1"/>
    <n v="0"/>
    <n v="1"/>
  </r>
  <r>
    <s v="APP0336"/>
    <s v="CAND1104"/>
    <s v="Annette Jordan"/>
    <s v="Annette"/>
    <s v="Jordan"/>
    <x v="0"/>
    <x v="4"/>
    <x v="6"/>
    <s v="Tom Davies"/>
    <x v="0"/>
    <d v="2025-04-09T00:00:00"/>
    <x v="8"/>
    <x v="1"/>
    <s v=""/>
    <s v=""/>
    <s v=""/>
    <s v=""/>
    <s v="Applied"/>
    <n v="48019"/>
    <m/>
    <x v="1"/>
    <x v="2"/>
    <n v="5"/>
    <n v="1"/>
    <n v="0"/>
    <n v="0"/>
    <n v="0"/>
    <n v="0"/>
    <n v="0"/>
  </r>
  <r>
    <s v="APP0337"/>
    <s v="CAND1041"/>
    <s v="Kimberley Patel"/>
    <s v="Kimberley"/>
    <s v="Patel"/>
    <x v="0"/>
    <x v="4"/>
    <x v="1"/>
    <s v="Tom Davies"/>
    <x v="1"/>
    <d v="2024-11-18T00:00:00"/>
    <x v="7"/>
    <x v="0"/>
    <d v="2024-12-10T00:00:00"/>
    <s v=""/>
    <s v=""/>
    <s v=""/>
    <s v="Interviewed"/>
    <n v="38058"/>
    <m/>
    <x v="3"/>
    <x v="1"/>
    <n v="2.2999999999999998"/>
    <n v="1"/>
    <n v="0"/>
    <n v="0"/>
    <n v="1"/>
    <n v="0"/>
    <n v="0"/>
  </r>
  <r>
    <s v="APP0338"/>
    <s v="CAND1140"/>
    <s v="Lewis Kelly"/>
    <s v="Lewis"/>
    <s v="Kelly"/>
    <x v="2"/>
    <x v="4"/>
    <x v="6"/>
    <s v="Michael Patel"/>
    <x v="1"/>
    <d v="2025-01-20T00:00:00"/>
    <x v="10"/>
    <x v="1"/>
    <s v=""/>
    <s v=""/>
    <s v=""/>
    <s v=""/>
    <s v="Withdrawn"/>
    <n v="47606"/>
    <m/>
    <x v="0"/>
    <x v="1"/>
    <n v="3.2"/>
    <n v="1"/>
    <n v="1"/>
    <n v="0"/>
    <n v="0"/>
    <n v="0"/>
    <n v="0"/>
  </r>
  <r>
    <s v="APP0339"/>
    <s v="CAND1186"/>
    <s v="Eileen Shepherd"/>
    <s v="Eileen"/>
    <s v="Shepherd"/>
    <x v="1"/>
    <x v="1"/>
    <x v="4"/>
    <s v="Sarah Green"/>
    <x v="2"/>
    <d v="2024-01-07T00:00:00"/>
    <x v="9"/>
    <x v="0"/>
    <s v=""/>
    <s v=""/>
    <s v=""/>
    <s v=""/>
    <s v="Applied"/>
    <n v="49929"/>
    <m/>
    <x v="0"/>
    <x v="1"/>
    <n v="3.2"/>
    <n v="1"/>
    <n v="0"/>
    <n v="0"/>
    <n v="0"/>
    <n v="0"/>
    <n v="0"/>
  </r>
  <r>
    <s v="APP0340"/>
    <s v="CAND1156"/>
    <s v="Tony Willis"/>
    <s v="Tony"/>
    <s v="Willis"/>
    <x v="4"/>
    <x v="2"/>
    <x v="1"/>
    <s v="Sarah Green"/>
    <x v="1"/>
    <d v="2024-03-21T00:00:00"/>
    <x v="3"/>
    <x v="0"/>
    <d v="2024-04-01T00:00:00"/>
    <s v=""/>
    <s v=""/>
    <s v=""/>
    <s v="Interviewed"/>
    <n v="46043"/>
    <m/>
    <x v="4"/>
    <x v="0"/>
    <m/>
    <n v="1"/>
    <n v="0"/>
    <n v="0"/>
    <n v="1"/>
    <n v="0"/>
    <n v="0"/>
  </r>
  <r>
    <s v="APP0341"/>
    <s v="CAND1199"/>
    <s v="Margaret Smith"/>
    <s v="Margaret"/>
    <s v="Smith"/>
    <x v="5"/>
    <x v="3"/>
    <x v="5"/>
    <s v="James Clarke"/>
    <x v="0"/>
    <d v="2025-05-03T00:00:00"/>
    <x v="16"/>
    <x v="1"/>
    <d v="2025-05-30T00:00:00"/>
    <s v=""/>
    <s v=""/>
    <s v=""/>
    <s v="Interviewed"/>
    <n v="29646"/>
    <m/>
    <x v="3"/>
    <x v="1"/>
    <n v="3.5"/>
    <n v="1"/>
    <n v="0"/>
    <n v="0"/>
    <n v="1"/>
    <n v="0"/>
    <n v="0"/>
  </r>
  <r>
    <s v="APP0342"/>
    <s v="CAND1150"/>
    <s v="Lynn Hill"/>
    <s v="Lynn"/>
    <s v="Hill"/>
    <x v="4"/>
    <x v="3"/>
    <x v="1"/>
    <s v="Sarah Green"/>
    <x v="2"/>
    <d v="2024-06-28T00:00:00"/>
    <x v="13"/>
    <x v="0"/>
    <s v=""/>
    <s v=""/>
    <s v=""/>
    <s v=""/>
    <s v="Rejected"/>
    <n v="30109"/>
    <m/>
    <x v="0"/>
    <x v="1"/>
    <n v="3"/>
    <n v="1"/>
    <n v="0"/>
    <n v="1"/>
    <n v="0"/>
    <n v="0"/>
    <n v="0"/>
  </r>
  <r>
    <s v="APP0343"/>
    <s v="CAND1035"/>
    <s v="Michelle Evans"/>
    <s v="Michelle"/>
    <s v="Evans"/>
    <x v="1"/>
    <x v="3"/>
    <x v="4"/>
    <s v="Tom Davies"/>
    <x v="4"/>
    <d v="2024-06-12T00:00:00"/>
    <x v="13"/>
    <x v="0"/>
    <d v="2024-06-22T00:00:00"/>
    <s v=""/>
    <s v=""/>
    <s v=""/>
    <s v="Interviewed"/>
    <n v="42672"/>
    <m/>
    <x v="0"/>
    <x v="2"/>
    <n v="4.5"/>
    <n v="1"/>
    <n v="0"/>
    <n v="0"/>
    <n v="1"/>
    <n v="0"/>
    <n v="0"/>
  </r>
  <r>
    <s v="APP0344"/>
    <s v="CAND1159"/>
    <s v="Brenda Russell Baker"/>
    <s v="Brenda"/>
    <s v="Baker"/>
    <x v="2"/>
    <x v="3"/>
    <x v="1"/>
    <s v="Sarah Green"/>
    <x v="4"/>
    <d v="2024-03-03T00:00:00"/>
    <x v="3"/>
    <x v="0"/>
    <s v=""/>
    <s v=""/>
    <s v=""/>
    <s v=""/>
    <s v="Rejected"/>
    <n v="35345"/>
    <m/>
    <x v="4"/>
    <x v="2"/>
    <n v="2.9"/>
    <n v="1"/>
    <n v="0"/>
    <n v="1"/>
    <n v="0"/>
    <n v="0"/>
    <n v="0"/>
  </r>
  <r>
    <s v="APP0345"/>
    <s v="CAND1197"/>
    <s v="Andrew Lee"/>
    <s v="Andrew"/>
    <s v="Lee"/>
    <x v="5"/>
    <x v="4"/>
    <x v="0"/>
    <s v="James Clarke"/>
    <x v="0"/>
    <d v="2025-05-12T00:00:00"/>
    <x v="16"/>
    <x v="1"/>
    <s v=""/>
    <s v=""/>
    <s v=""/>
    <s v=""/>
    <s v="Rejected"/>
    <n v="28023"/>
    <m/>
    <x v="1"/>
    <x v="1"/>
    <n v="3.5"/>
    <n v="1"/>
    <n v="0"/>
    <n v="1"/>
    <n v="0"/>
    <n v="0"/>
    <n v="0"/>
  </r>
  <r>
    <s v="APP0346"/>
    <s v="CAND1133"/>
    <s v="Lauren Gray"/>
    <s v="Lauren"/>
    <s v="Gray"/>
    <x v="4"/>
    <x v="4"/>
    <x v="1"/>
    <s v="Tom Davies"/>
    <x v="0"/>
    <d v="2024-11-11T00:00:00"/>
    <x v="7"/>
    <x v="0"/>
    <d v="2024-12-10T00:00:00"/>
    <d v="2024-12-26T00:00:00"/>
    <s v=""/>
    <s v=""/>
    <s v="Offered"/>
    <n v="45470"/>
    <n v="48498"/>
    <x v="2"/>
    <x v="2"/>
    <n v="4.3"/>
    <n v="1"/>
    <n v="0"/>
    <n v="0"/>
    <n v="1"/>
    <n v="1"/>
    <n v="0"/>
  </r>
  <r>
    <s v="APP0347"/>
    <s v="CAND1130"/>
    <s v="Kyle Patel Fisher"/>
    <s v="Kyle"/>
    <s v="Fisher"/>
    <x v="1"/>
    <x v="2"/>
    <x v="0"/>
    <s v="Michael Patel"/>
    <x v="0"/>
    <d v="2024-08-22T00:00:00"/>
    <x v="0"/>
    <x v="0"/>
    <d v="2024-09-10T00:00:00"/>
    <d v="2024-09-26T00:00:00"/>
    <d v="2024-11-01T00:00:00"/>
    <n v="71"/>
    <s v="Hired"/>
    <n v="34339"/>
    <n v="34253"/>
    <x v="3"/>
    <x v="1"/>
    <n v="2.2000000000000002"/>
    <n v="1"/>
    <n v="0"/>
    <n v="0"/>
    <n v="1"/>
    <n v="0"/>
    <n v="1"/>
  </r>
  <r>
    <s v="APP0348"/>
    <s v="CAND1027"/>
    <s v="Rosie John"/>
    <s v="Rosie"/>
    <s v="John"/>
    <x v="4"/>
    <x v="2"/>
    <x v="4"/>
    <s v="Michael Patel"/>
    <x v="0"/>
    <d v="2024-07-06T00:00:00"/>
    <x v="1"/>
    <x v="0"/>
    <d v="2024-07-22T00:00:00"/>
    <d v="2024-08-12T00:00:00"/>
    <s v=""/>
    <s v=""/>
    <s v="Offered"/>
    <n v="42484"/>
    <n v="40835"/>
    <x v="4"/>
    <x v="1"/>
    <n v="2.6"/>
    <n v="1"/>
    <n v="0"/>
    <n v="0"/>
    <n v="1"/>
    <n v="1"/>
    <n v="0"/>
  </r>
  <r>
    <s v="APP0349"/>
    <s v="CAND1212"/>
    <s v="Duncan Morris"/>
    <s v="Duncan"/>
    <s v="Morris"/>
    <x v="2"/>
    <x v="4"/>
    <x v="4"/>
    <s v="Sarah Green"/>
    <x v="0"/>
    <d v="2024-06-22T00:00:00"/>
    <x v="13"/>
    <x v="0"/>
    <d v="2024-07-02T00:00:00"/>
    <s v=""/>
    <s v=""/>
    <s v=""/>
    <s v="Interviewed"/>
    <n v="44962"/>
    <m/>
    <x v="0"/>
    <x v="0"/>
    <n v="2.6"/>
    <n v="1"/>
    <n v="0"/>
    <n v="0"/>
    <n v="1"/>
    <n v="0"/>
    <n v="0"/>
  </r>
  <r>
    <s v="APP0350"/>
    <s v="CAND1083"/>
    <s v="Linda Wilson"/>
    <s v="Linda"/>
    <s v="Wilson"/>
    <x v="4"/>
    <x v="4"/>
    <x v="4"/>
    <s v="Michael Patel"/>
    <x v="0"/>
    <d v="2024-08-22T00:00:00"/>
    <x v="0"/>
    <x v="0"/>
    <s v=""/>
    <s v=""/>
    <s v=""/>
    <s v=""/>
    <s v="Withdrawn"/>
    <n v="49755"/>
    <m/>
    <x v="1"/>
    <x v="2"/>
    <n v="3.8"/>
    <n v="1"/>
    <n v="1"/>
    <n v="0"/>
    <n v="0"/>
    <n v="0"/>
    <n v="0"/>
  </r>
  <r>
    <s v="APP0351"/>
    <s v="CAND1150"/>
    <s v="Leslie Brooks Burrows"/>
    <s v="Leslie"/>
    <s v="Burrows"/>
    <x v="4"/>
    <x v="1"/>
    <x v="0"/>
    <s v="James Clarke"/>
    <x v="1"/>
    <d v="2025-02-23T00:00:00"/>
    <x v="11"/>
    <x v="1"/>
    <s v=""/>
    <s v=""/>
    <s v=""/>
    <s v=""/>
    <s v="Applied"/>
    <n v="45314"/>
    <m/>
    <x v="4"/>
    <x v="1"/>
    <n v="2.5"/>
    <n v="1"/>
    <n v="0"/>
    <n v="0"/>
    <n v="0"/>
    <n v="0"/>
    <n v="0"/>
  </r>
  <r>
    <s v="APP0352"/>
    <s v="CAND1184"/>
    <s v="Grace Hill"/>
    <s v="Grace"/>
    <s v="Hill"/>
    <x v="0"/>
    <x v="4"/>
    <x v="4"/>
    <s v="Tom Davies"/>
    <x v="4"/>
    <d v="2025-02-28T00:00:00"/>
    <x v="11"/>
    <x v="1"/>
    <s v=""/>
    <s v=""/>
    <s v=""/>
    <s v=""/>
    <s v="Applied"/>
    <n v="36630"/>
    <m/>
    <x v="4"/>
    <x v="0"/>
    <n v="3.5"/>
    <n v="1"/>
    <n v="0"/>
    <n v="0"/>
    <n v="0"/>
    <n v="0"/>
    <n v="0"/>
  </r>
  <r>
    <s v="APP0353"/>
    <s v="CAND1175"/>
    <s v="Gemma Collins"/>
    <s v="Gemma"/>
    <s v="Collins"/>
    <x v="0"/>
    <x v="0"/>
    <x v="4"/>
    <s v="James Clarke"/>
    <x v="0"/>
    <d v="2025-03-02T00:00:00"/>
    <x v="12"/>
    <x v="1"/>
    <s v=""/>
    <s v=""/>
    <s v=""/>
    <s v=""/>
    <s v="Rejected"/>
    <n v="38487"/>
    <m/>
    <x v="0"/>
    <x v="2"/>
    <n v="4.3"/>
    <n v="1"/>
    <n v="0"/>
    <n v="1"/>
    <n v="0"/>
    <n v="0"/>
    <n v="0"/>
  </r>
  <r>
    <s v="APP0354"/>
    <s v="CAND1167"/>
    <s v="Ian Norman"/>
    <s v="Ian"/>
    <s v="Norman"/>
    <x v="3"/>
    <x v="3"/>
    <x v="6"/>
    <s v="James Clarke"/>
    <x v="2"/>
    <d v="2024-12-11T00:00:00"/>
    <x v="14"/>
    <x v="0"/>
    <d v="2024-12-29T00:00:00"/>
    <s v=""/>
    <s v=""/>
    <s v=""/>
    <s v="Interviewed"/>
    <n v="34222"/>
    <m/>
    <x v="1"/>
    <x v="0"/>
    <n v="3.7"/>
    <n v="1"/>
    <n v="0"/>
    <n v="0"/>
    <n v="1"/>
    <n v="0"/>
    <n v="0"/>
  </r>
  <r>
    <s v="APP0355"/>
    <s v="CAND1130"/>
    <s v="Samuel Reynolds"/>
    <s v="Samuel"/>
    <s v="Reynolds"/>
    <x v="3"/>
    <x v="0"/>
    <x v="5"/>
    <s v="Emma Wilson"/>
    <x v="0"/>
    <d v="2024-03-13T00:00:00"/>
    <x v="3"/>
    <x v="0"/>
    <d v="2024-04-11T00:00:00"/>
    <s v=""/>
    <s v=""/>
    <s v=""/>
    <s v="Interviewed"/>
    <n v="47075"/>
    <m/>
    <x v="0"/>
    <x v="2"/>
    <n v="4.0999999999999996"/>
    <n v="1"/>
    <n v="0"/>
    <n v="0"/>
    <n v="1"/>
    <n v="0"/>
    <n v="0"/>
  </r>
  <r>
    <s v="APP0356"/>
    <s v="CAND1026"/>
    <s v="Anna Smith"/>
    <s v="Anna"/>
    <s v="Smith"/>
    <x v="1"/>
    <x v="4"/>
    <x v="5"/>
    <s v="Emma Wilson"/>
    <x v="2"/>
    <d v="2025-04-01T00:00:00"/>
    <x v="8"/>
    <x v="1"/>
    <d v="2025-05-01T00:00:00"/>
    <d v="2025-04-24T00:00:00"/>
    <d v="2025-05-03T00:00:00"/>
    <n v="32"/>
    <s v="Hired"/>
    <n v="43197"/>
    <n v="45464"/>
    <x v="3"/>
    <x v="2"/>
    <n v="3.6"/>
    <n v="1"/>
    <n v="0"/>
    <n v="0"/>
    <n v="1"/>
    <n v="0"/>
    <n v="1"/>
  </r>
  <r>
    <s v="APP0357"/>
    <s v="CAND1117"/>
    <s v="Darren Lloyd"/>
    <s v="Darren"/>
    <s v="Lloyd"/>
    <x v="4"/>
    <x v="4"/>
    <x v="5"/>
    <s v="Michael Patel"/>
    <x v="0"/>
    <d v="2025-03-25T00:00:00"/>
    <x v="12"/>
    <x v="1"/>
    <s v=""/>
    <s v=""/>
    <s v=""/>
    <s v=""/>
    <s v="Rejected"/>
    <n v="37366"/>
    <m/>
    <x v="3"/>
    <x v="1"/>
    <n v="3"/>
    <n v="1"/>
    <n v="0"/>
    <n v="1"/>
    <n v="0"/>
    <n v="0"/>
    <n v="0"/>
  </r>
  <r>
    <s v="APP0358"/>
    <s v="CAND1125"/>
    <s v="Mary Mason"/>
    <s v="Mary"/>
    <s v="Mason"/>
    <x v="3"/>
    <x v="2"/>
    <x v="2"/>
    <s v="James Clarke"/>
    <x v="2"/>
    <d v="2025-01-30T00:00:00"/>
    <x v="10"/>
    <x v="1"/>
    <d v="2025-02-13T00:00:00"/>
    <s v=""/>
    <s v=""/>
    <s v=""/>
    <s v="Interviewed"/>
    <n v="31420"/>
    <m/>
    <x v="2"/>
    <x v="2"/>
    <n v="3.5"/>
    <n v="1"/>
    <n v="0"/>
    <n v="0"/>
    <n v="1"/>
    <n v="0"/>
    <n v="0"/>
  </r>
  <r>
    <s v="APP0359"/>
    <s v="CAND1054"/>
    <s v="Jane Fox Quinn"/>
    <s v="Jane"/>
    <s v="Quinn"/>
    <x v="1"/>
    <x v="3"/>
    <x v="2"/>
    <s v="James Clarke"/>
    <x v="0"/>
    <d v="2024-07-19T00:00:00"/>
    <x v="1"/>
    <x v="0"/>
    <d v="2024-08-07T00:00:00"/>
    <s v=""/>
    <s v=""/>
    <s v=""/>
    <s v="Interviewed"/>
    <n v="38348"/>
    <m/>
    <x v="1"/>
    <x v="2"/>
    <n v="4.7"/>
    <n v="1"/>
    <n v="0"/>
    <n v="0"/>
    <n v="1"/>
    <n v="0"/>
    <n v="0"/>
  </r>
  <r>
    <s v="APP0360"/>
    <s v="CAND1121"/>
    <s v="Lynne Harris"/>
    <s v="Lynne"/>
    <s v="Harris"/>
    <x v="1"/>
    <x v="3"/>
    <x v="0"/>
    <s v="Emma Wilson"/>
    <x v="3"/>
    <d v="2025-04-26T00:00:00"/>
    <x v="8"/>
    <x v="1"/>
    <s v=""/>
    <s v=""/>
    <s v=""/>
    <s v=""/>
    <s v="Rejected"/>
    <n v="38245"/>
    <m/>
    <x v="4"/>
    <x v="0"/>
    <n v="2.9"/>
    <n v="1"/>
    <n v="0"/>
    <n v="1"/>
    <n v="0"/>
    <n v="0"/>
    <n v="0"/>
  </r>
  <r>
    <s v="APP0361"/>
    <s v="CAND1157"/>
    <s v="Bernard Weston"/>
    <s v="Bernard"/>
    <s v="Weston"/>
    <x v="2"/>
    <x v="2"/>
    <x v="1"/>
    <s v="Emma Wilson"/>
    <x v="0"/>
    <d v="2024-10-28T00:00:00"/>
    <x v="15"/>
    <x v="0"/>
    <d v="2024-11-26T00:00:00"/>
    <d v="2024-12-09T00:00:00"/>
    <s v=""/>
    <s v=""/>
    <s v="Offered"/>
    <n v="33643"/>
    <n v="37376"/>
    <x v="1"/>
    <x v="2"/>
    <n v="2.2999999999999998"/>
    <n v="1"/>
    <n v="0"/>
    <n v="0"/>
    <n v="1"/>
    <n v="1"/>
    <n v="0"/>
  </r>
  <r>
    <s v="APP0362"/>
    <s v="CAND1043"/>
    <s v="Janice Robinson"/>
    <s v="Janice"/>
    <s v="Robinson"/>
    <x v="1"/>
    <x v="0"/>
    <x v="6"/>
    <s v="Sarah Green"/>
    <x v="0"/>
    <d v="2025-04-07T00:00:00"/>
    <x v="8"/>
    <x v="1"/>
    <s v=""/>
    <s v=""/>
    <s v=""/>
    <s v=""/>
    <s v="Rejected"/>
    <n v="50808"/>
    <m/>
    <x v="1"/>
    <x v="1"/>
    <n v="4.2"/>
    <n v="1"/>
    <n v="0"/>
    <n v="1"/>
    <n v="0"/>
    <n v="0"/>
    <n v="0"/>
  </r>
  <r>
    <s v="APP0363"/>
    <s v="CAND1243"/>
    <s v="Amanda Moore Knight"/>
    <s v="Amanda"/>
    <s v="Knight"/>
    <x v="3"/>
    <x v="3"/>
    <x v="3"/>
    <s v="Emma Wilson"/>
    <x v="1"/>
    <d v="2024-01-20T00:00:00"/>
    <x v="9"/>
    <x v="0"/>
    <s v=""/>
    <s v=""/>
    <s v=""/>
    <s v=""/>
    <s v="Withdrawn"/>
    <n v="44698"/>
    <m/>
    <x v="0"/>
    <x v="0"/>
    <m/>
    <n v="1"/>
    <n v="1"/>
    <n v="0"/>
    <n v="0"/>
    <n v="0"/>
    <n v="0"/>
  </r>
  <r>
    <s v="APP0364"/>
    <s v="CAND1182"/>
    <s v="Ben Graham"/>
    <s v="Ben"/>
    <s v="Graham"/>
    <x v="3"/>
    <x v="4"/>
    <x v="0"/>
    <s v="Emma Wilson"/>
    <x v="1"/>
    <d v="2025-03-14T00:00:00"/>
    <x v="12"/>
    <x v="1"/>
    <d v="2025-03-23T00:00:00"/>
    <s v=""/>
    <s v=""/>
    <s v=""/>
    <s v="Interviewed"/>
    <n v="40908"/>
    <m/>
    <x v="2"/>
    <x v="0"/>
    <n v="4.3"/>
    <n v="1"/>
    <n v="0"/>
    <n v="0"/>
    <n v="1"/>
    <n v="0"/>
    <n v="0"/>
  </r>
  <r>
    <s v="APP0365"/>
    <s v="CAND1234"/>
    <s v="Joanna Harrison"/>
    <s v="Joanna"/>
    <s v="Harrison"/>
    <x v="4"/>
    <x v="4"/>
    <x v="5"/>
    <s v="Tom Davies"/>
    <x v="0"/>
    <d v="2024-03-14T00:00:00"/>
    <x v="3"/>
    <x v="0"/>
    <s v=""/>
    <s v=""/>
    <s v=""/>
    <s v=""/>
    <s v="Rejected"/>
    <n v="33027"/>
    <m/>
    <x v="1"/>
    <x v="1"/>
    <n v="2.9"/>
    <n v="1"/>
    <n v="0"/>
    <n v="1"/>
    <n v="0"/>
    <n v="0"/>
    <n v="0"/>
  </r>
  <r>
    <s v="APP0366"/>
    <s v="CAND1034"/>
    <s v="Francesca Hodgson"/>
    <s v="Francesca"/>
    <s v="Hodgson"/>
    <x v="1"/>
    <x v="0"/>
    <x v="6"/>
    <s v="Tom Davies"/>
    <x v="1"/>
    <d v="2024-01-24T00:00:00"/>
    <x v="9"/>
    <x v="0"/>
    <d v="2024-02-17T00:00:00"/>
    <s v=""/>
    <s v=""/>
    <s v=""/>
    <s v="Interviewed"/>
    <n v="37706"/>
    <m/>
    <x v="4"/>
    <x v="2"/>
    <n v="3.4"/>
    <n v="1"/>
    <n v="0"/>
    <n v="0"/>
    <n v="1"/>
    <n v="0"/>
    <n v="0"/>
  </r>
  <r>
    <s v="APP0367"/>
    <s v="CAND1175"/>
    <s v="Deborah Rice"/>
    <s v="Deborah"/>
    <s v="Rice"/>
    <x v="1"/>
    <x v="3"/>
    <x v="5"/>
    <s v="Sarah Green"/>
    <x v="0"/>
    <d v="2025-05-05T00:00:00"/>
    <x v="16"/>
    <x v="1"/>
    <s v=""/>
    <s v=""/>
    <s v=""/>
    <s v=""/>
    <s v="Rejected"/>
    <n v="38124"/>
    <m/>
    <x v="3"/>
    <x v="0"/>
    <n v="3.9"/>
    <n v="1"/>
    <n v="0"/>
    <n v="1"/>
    <n v="0"/>
    <n v="0"/>
    <n v="0"/>
  </r>
  <r>
    <s v="APP0368"/>
    <s v="CAND1136"/>
    <s v="Albert Hanson Robinson"/>
    <s v="Albert"/>
    <s v="Robinson"/>
    <x v="3"/>
    <x v="2"/>
    <x v="0"/>
    <s v="Tom Davies"/>
    <x v="4"/>
    <d v="2025-01-27T00:00:00"/>
    <x v="10"/>
    <x v="1"/>
    <d v="2025-02-11T00:00:00"/>
    <d v="2025-03-04T00:00:00"/>
    <s v=""/>
    <s v=""/>
    <s v="Offered"/>
    <n v="49760"/>
    <n v="48432"/>
    <x v="1"/>
    <x v="2"/>
    <n v="4.0999999999999996"/>
    <n v="1"/>
    <n v="0"/>
    <n v="0"/>
    <n v="1"/>
    <n v="1"/>
    <n v="0"/>
  </r>
  <r>
    <s v="APP0369"/>
    <s v="CAND1111"/>
    <s v="Nicola Wilson"/>
    <s v="Nicola"/>
    <s v="Wilson"/>
    <x v="5"/>
    <x v="2"/>
    <x v="4"/>
    <s v="Michael Patel"/>
    <x v="1"/>
    <d v="2025-01-11T00:00:00"/>
    <x v="10"/>
    <x v="1"/>
    <s v=""/>
    <s v=""/>
    <s v=""/>
    <s v=""/>
    <s v="Withdrawn"/>
    <n v="49678"/>
    <m/>
    <x v="1"/>
    <x v="0"/>
    <n v="2.2999999999999998"/>
    <n v="1"/>
    <n v="1"/>
    <n v="0"/>
    <n v="0"/>
    <n v="0"/>
    <n v="0"/>
  </r>
  <r>
    <s v="APP0370"/>
    <s v="CAND1010"/>
    <s v="Jeffrey Wyatt"/>
    <s v="Jeffrey"/>
    <s v="Wyatt"/>
    <x v="3"/>
    <x v="1"/>
    <x v="1"/>
    <s v="Sarah Green"/>
    <x v="4"/>
    <d v="2025-04-03T00:00:00"/>
    <x v="8"/>
    <x v="1"/>
    <s v=""/>
    <s v=""/>
    <s v=""/>
    <s v=""/>
    <s v="Applied"/>
    <n v="39335"/>
    <m/>
    <x v="0"/>
    <x v="2"/>
    <n v="3"/>
    <n v="1"/>
    <n v="0"/>
    <n v="0"/>
    <n v="0"/>
    <n v="0"/>
    <n v="0"/>
  </r>
  <r>
    <s v="APP0371"/>
    <s v="CAND1006"/>
    <s v="Joshua Moore"/>
    <s v="Joshua"/>
    <s v="Moore"/>
    <x v="0"/>
    <x v="0"/>
    <x v="1"/>
    <s v="Michael Patel"/>
    <x v="3"/>
    <d v="2024-01-17T00:00:00"/>
    <x v="9"/>
    <x v="0"/>
    <s v=""/>
    <s v=""/>
    <s v=""/>
    <s v=""/>
    <s v="Applied"/>
    <n v="39558"/>
    <m/>
    <x v="1"/>
    <x v="2"/>
    <n v="3.2"/>
    <n v="1"/>
    <n v="0"/>
    <n v="0"/>
    <n v="0"/>
    <n v="0"/>
    <n v="0"/>
  </r>
  <r>
    <s v="APP0372"/>
    <s v="CAND1096"/>
    <s v="Sarah Palmer"/>
    <s v="Sarah"/>
    <s v="Palmer"/>
    <x v="1"/>
    <x v="3"/>
    <x v="4"/>
    <s v="Tom Davies"/>
    <x v="2"/>
    <d v="2024-09-17T00:00:00"/>
    <x v="4"/>
    <x v="0"/>
    <d v="2024-10-04T00:00:00"/>
    <s v=""/>
    <s v=""/>
    <s v=""/>
    <s v="Interviewed"/>
    <n v="51076"/>
    <m/>
    <x v="1"/>
    <x v="1"/>
    <n v="3.2"/>
    <n v="1"/>
    <n v="0"/>
    <n v="0"/>
    <n v="1"/>
    <n v="0"/>
    <n v="0"/>
  </r>
  <r>
    <s v="APP0373"/>
    <s v="CAND1214"/>
    <s v="Amy Conway"/>
    <s v="Amy"/>
    <s v="Conway"/>
    <x v="2"/>
    <x v="3"/>
    <x v="6"/>
    <s v="Tom Davies"/>
    <x v="3"/>
    <d v="2025-01-23T00:00:00"/>
    <x v="10"/>
    <x v="1"/>
    <d v="2025-02-18T00:00:00"/>
    <s v=""/>
    <s v=""/>
    <s v=""/>
    <s v="Interviewed"/>
    <n v="39249"/>
    <m/>
    <x v="0"/>
    <x v="0"/>
    <n v="3.1"/>
    <n v="1"/>
    <n v="0"/>
    <n v="0"/>
    <n v="1"/>
    <n v="0"/>
    <n v="0"/>
  </r>
  <r>
    <s v="APP0374"/>
    <s v="CAND1247"/>
    <s v="Trevor Hooper"/>
    <s v="Trevor"/>
    <s v="Hooper"/>
    <x v="3"/>
    <x v="0"/>
    <x v="3"/>
    <s v="Michael Patel"/>
    <x v="4"/>
    <d v="2024-04-23T00:00:00"/>
    <x v="6"/>
    <x v="0"/>
    <s v=""/>
    <s v=""/>
    <s v=""/>
    <s v=""/>
    <s v="Rejected"/>
    <n v="38760"/>
    <m/>
    <x v="0"/>
    <x v="1"/>
    <n v="4.7"/>
    <n v="1"/>
    <n v="0"/>
    <n v="1"/>
    <n v="0"/>
    <n v="0"/>
    <n v="0"/>
  </r>
  <r>
    <s v="APP0375"/>
    <s v="CAND1037"/>
    <s v="Reece Humphries"/>
    <s v="Reece"/>
    <s v="Humphries"/>
    <x v="0"/>
    <x v="1"/>
    <x v="1"/>
    <s v="Michael Patel"/>
    <x v="2"/>
    <d v="2025-03-02T00:00:00"/>
    <x v="12"/>
    <x v="1"/>
    <s v=""/>
    <s v=""/>
    <s v=""/>
    <s v=""/>
    <s v="Applied"/>
    <n v="49934"/>
    <m/>
    <x v="3"/>
    <x v="2"/>
    <n v="3.9"/>
    <n v="1"/>
    <n v="0"/>
    <n v="0"/>
    <n v="0"/>
    <n v="0"/>
    <n v="0"/>
  </r>
  <r>
    <s v="APP0376"/>
    <s v="CAND1022"/>
    <s v="Alexandra Gill Boyle"/>
    <s v="Alexandra"/>
    <s v="Boyle"/>
    <x v="2"/>
    <x v="3"/>
    <x v="4"/>
    <s v="Michael Patel"/>
    <x v="0"/>
    <d v="2024-05-08T00:00:00"/>
    <x v="5"/>
    <x v="0"/>
    <s v=""/>
    <s v=""/>
    <s v=""/>
    <s v=""/>
    <s v="Applied"/>
    <n v="38101"/>
    <m/>
    <x v="0"/>
    <x v="0"/>
    <n v="4.7"/>
    <n v="1"/>
    <n v="0"/>
    <n v="0"/>
    <n v="0"/>
    <n v="0"/>
    <n v="0"/>
  </r>
  <r>
    <s v="APP0377"/>
    <s v="CAND1125"/>
    <s v="Kimberley Williams Stephens"/>
    <s v="Kimberley"/>
    <s v="Stephens"/>
    <x v="4"/>
    <x v="3"/>
    <x v="0"/>
    <s v="Michael Patel"/>
    <x v="2"/>
    <d v="2024-11-17T00:00:00"/>
    <x v="7"/>
    <x v="0"/>
    <s v=""/>
    <s v=""/>
    <s v=""/>
    <s v=""/>
    <s v="Applied"/>
    <n v="41825"/>
    <m/>
    <x v="3"/>
    <x v="2"/>
    <n v="4.0999999999999996"/>
    <n v="1"/>
    <n v="0"/>
    <n v="0"/>
    <n v="0"/>
    <n v="0"/>
    <n v="0"/>
  </r>
  <r>
    <s v="APP0378"/>
    <s v="CAND1014"/>
    <s v="Mathew Fisher"/>
    <s v="Mathew"/>
    <s v="Fisher"/>
    <x v="3"/>
    <x v="1"/>
    <x v="5"/>
    <s v="Michael Patel"/>
    <x v="0"/>
    <d v="2025-05-02T00:00:00"/>
    <x v="16"/>
    <x v="1"/>
    <d v="2025-05-14T00:00:00"/>
    <d v="2025-06-05T00:00:00"/>
    <s v=""/>
    <s v=""/>
    <s v="Offered"/>
    <n v="39300"/>
    <n v="37750"/>
    <x v="0"/>
    <x v="0"/>
    <n v="4.3"/>
    <n v="1"/>
    <n v="0"/>
    <n v="0"/>
    <n v="1"/>
    <n v="1"/>
    <n v="0"/>
  </r>
  <r>
    <s v="APP0379"/>
    <s v="CAND1201"/>
    <s v="Elliot Turner"/>
    <s v="Elliot"/>
    <s v="Turner"/>
    <x v="3"/>
    <x v="3"/>
    <x v="5"/>
    <s v="Emma Wilson"/>
    <x v="1"/>
    <d v="2025-05-14T00:00:00"/>
    <x v="16"/>
    <x v="1"/>
    <s v=""/>
    <s v=""/>
    <s v=""/>
    <s v=""/>
    <s v="Applied"/>
    <n v="40589"/>
    <m/>
    <x v="1"/>
    <x v="2"/>
    <n v="3"/>
    <n v="1"/>
    <n v="0"/>
    <n v="0"/>
    <n v="0"/>
    <n v="0"/>
    <n v="0"/>
  </r>
  <r>
    <s v="APP0380"/>
    <s v="CAND1096"/>
    <s v="Rachael Peters"/>
    <s v="Rachael"/>
    <s v="Peters"/>
    <x v="4"/>
    <x v="3"/>
    <x v="5"/>
    <s v="Emma Wilson"/>
    <x v="4"/>
    <d v="2024-08-13T00:00:00"/>
    <x v="0"/>
    <x v="0"/>
    <d v="2024-09-03T00:00:00"/>
    <d v="2024-09-15T00:00:00"/>
    <d v="2024-09-25T00:00:00"/>
    <n v="43"/>
    <s v="Hired"/>
    <n v="41693"/>
    <n v="39094"/>
    <x v="0"/>
    <x v="1"/>
    <m/>
    <n v="1"/>
    <n v="0"/>
    <n v="0"/>
    <n v="1"/>
    <n v="0"/>
    <n v="1"/>
  </r>
  <r>
    <s v="APP0381"/>
    <s v="CAND1091"/>
    <s v="June Wilkinson"/>
    <s v="June"/>
    <s v="Wilkinson"/>
    <x v="2"/>
    <x v="3"/>
    <x v="3"/>
    <s v="Emma Wilson"/>
    <x v="0"/>
    <d v="2024-09-26T00:00:00"/>
    <x v="4"/>
    <x v="0"/>
    <d v="2024-10-25T00:00:00"/>
    <s v=""/>
    <s v=""/>
    <s v=""/>
    <s v="Interviewed"/>
    <n v="42462"/>
    <m/>
    <x v="2"/>
    <x v="1"/>
    <n v="4.0999999999999996"/>
    <n v="1"/>
    <n v="0"/>
    <n v="0"/>
    <n v="1"/>
    <n v="0"/>
    <n v="0"/>
  </r>
  <r>
    <s v="APP0382"/>
    <s v="CAND1078"/>
    <s v="Sally Davies"/>
    <s v="Sally"/>
    <s v="Davies"/>
    <x v="1"/>
    <x v="3"/>
    <x v="1"/>
    <s v="Michael Patel"/>
    <x v="3"/>
    <d v="2024-06-14T00:00:00"/>
    <x v="13"/>
    <x v="0"/>
    <s v=""/>
    <s v=""/>
    <s v=""/>
    <s v=""/>
    <s v="Withdrawn"/>
    <n v="43240"/>
    <m/>
    <x v="3"/>
    <x v="0"/>
    <n v="4.4000000000000004"/>
    <n v="1"/>
    <n v="1"/>
    <n v="0"/>
    <n v="0"/>
    <n v="0"/>
    <n v="0"/>
  </r>
  <r>
    <s v="APP0383"/>
    <s v="CAND1045"/>
    <s v="Ricky Turner"/>
    <s v="Ricky"/>
    <s v="Turner"/>
    <x v="0"/>
    <x v="1"/>
    <x v="4"/>
    <s v="Emma Wilson"/>
    <x v="0"/>
    <d v="2025-01-15T00:00:00"/>
    <x v="10"/>
    <x v="1"/>
    <d v="2025-01-30T00:00:00"/>
    <s v=""/>
    <s v=""/>
    <s v=""/>
    <s v="Interviewed"/>
    <n v="38048"/>
    <m/>
    <x v="1"/>
    <x v="2"/>
    <n v="2.1"/>
    <n v="1"/>
    <n v="0"/>
    <n v="0"/>
    <n v="1"/>
    <n v="0"/>
    <n v="0"/>
  </r>
  <r>
    <s v="APP0384"/>
    <s v="CAND1192"/>
    <s v="Adam Barnett"/>
    <s v="Adam"/>
    <s v="Barnett"/>
    <x v="5"/>
    <x v="4"/>
    <x v="0"/>
    <s v="Sarah Green"/>
    <x v="3"/>
    <d v="2024-11-19T00:00:00"/>
    <x v="7"/>
    <x v="0"/>
    <d v="2024-12-19T00:00:00"/>
    <d v="2024-12-15T00:00:00"/>
    <d v="2025-01-09T00:00:00"/>
    <n v="51"/>
    <s v="Hired"/>
    <n v="36086"/>
    <n v="36532"/>
    <x v="1"/>
    <x v="0"/>
    <m/>
    <n v="1"/>
    <n v="0"/>
    <n v="0"/>
    <n v="1"/>
    <n v="0"/>
    <n v="1"/>
  </r>
  <r>
    <s v="APP0385"/>
    <s v="CAND1111"/>
    <s v="Douglas Nash"/>
    <s v="Douglas"/>
    <s v="Nash"/>
    <x v="2"/>
    <x v="2"/>
    <x v="1"/>
    <s v="James Clarke"/>
    <x v="4"/>
    <d v="2024-01-25T00:00:00"/>
    <x v="9"/>
    <x v="0"/>
    <d v="2024-02-10T00:00:00"/>
    <s v=""/>
    <s v=""/>
    <s v=""/>
    <s v="Interviewed"/>
    <n v="45771"/>
    <m/>
    <x v="0"/>
    <x v="0"/>
    <n v="3.1"/>
    <n v="1"/>
    <n v="0"/>
    <n v="0"/>
    <n v="1"/>
    <n v="0"/>
    <n v="0"/>
  </r>
  <r>
    <s v="APP0386"/>
    <s v="CAND1129"/>
    <s v="Roger Rowe"/>
    <s v="Roger"/>
    <s v="Rowe"/>
    <x v="3"/>
    <x v="0"/>
    <x v="6"/>
    <s v="Tom Davies"/>
    <x v="0"/>
    <d v="2024-01-25T00:00:00"/>
    <x v="9"/>
    <x v="0"/>
    <s v=""/>
    <s v=""/>
    <s v=""/>
    <s v=""/>
    <s v="Rejected"/>
    <n v="44639"/>
    <m/>
    <x v="2"/>
    <x v="0"/>
    <m/>
    <n v="1"/>
    <n v="0"/>
    <n v="1"/>
    <n v="0"/>
    <n v="0"/>
    <n v="0"/>
  </r>
  <r>
    <s v="APP0387"/>
    <s v="CAND1183"/>
    <s v="Geraldine Morley"/>
    <s v="Geraldine"/>
    <s v="Morley"/>
    <x v="2"/>
    <x v="2"/>
    <x v="2"/>
    <s v="Michael Patel"/>
    <x v="3"/>
    <d v="2024-10-10T00:00:00"/>
    <x v="15"/>
    <x v="0"/>
    <d v="2024-10-22T00:00:00"/>
    <d v="2024-11-18T00:00:00"/>
    <s v=""/>
    <s v=""/>
    <s v="Offered"/>
    <n v="43007"/>
    <n v="45383"/>
    <x v="0"/>
    <x v="0"/>
    <n v="3.9"/>
    <n v="1"/>
    <n v="0"/>
    <n v="0"/>
    <n v="1"/>
    <n v="1"/>
    <n v="0"/>
  </r>
  <r>
    <s v="APP0388"/>
    <s v="CAND1235"/>
    <s v="Kelly Sanderson Thomson"/>
    <s v="Kelly"/>
    <s v="Thomson"/>
    <x v="5"/>
    <x v="0"/>
    <x v="1"/>
    <s v="Tom Davies"/>
    <x v="4"/>
    <d v="2024-10-18T00:00:00"/>
    <x v="15"/>
    <x v="0"/>
    <d v="2024-11-16T00:00:00"/>
    <d v="2024-11-22T00:00:00"/>
    <d v="2025-01-01T00:00:00"/>
    <n v="75"/>
    <s v="Hired"/>
    <n v="31928"/>
    <n v="35549"/>
    <x v="2"/>
    <x v="0"/>
    <n v="3.2"/>
    <n v="1"/>
    <n v="0"/>
    <n v="0"/>
    <n v="1"/>
    <n v="0"/>
    <n v="1"/>
  </r>
  <r>
    <s v="APP0389"/>
    <s v="CAND1181"/>
    <s v="Oliver Thomson"/>
    <s v="Oliver"/>
    <s v="Thomson"/>
    <x v="0"/>
    <x v="4"/>
    <x v="4"/>
    <s v="Emma Wilson"/>
    <x v="0"/>
    <d v="2025-02-28T00:00:00"/>
    <x v="11"/>
    <x v="1"/>
    <s v=""/>
    <s v=""/>
    <s v=""/>
    <s v=""/>
    <s v="Rejected"/>
    <n v="48244"/>
    <m/>
    <x v="1"/>
    <x v="0"/>
    <n v="4.7"/>
    <n v="1"/>
    <n v="0"/>
    <n v="1"/>
    <n v="0"/>
    <n v="0"/>
    <n v="0"/>
  </r>
  <r>
    <s v="APP0390"/>
    <s v="CAND1000"/>
    <s v="Lawrence Simpson"/>
    <s v="Lawrence"/>
    <s v="Simpson"/>
    <x v="5"/>
    <x v="3"/>
    <x v="2"/>
    <s v="James Clarke"/>
    <x v="0"/>
    <d v="2025-03-05T00:00:00"/>
    <x v="12"/>
    <x v="1"/>
    <d v="2025-03-15T00:00:00"/>
    <s v=""/>
    <s v=""/>
    <s v=""/>
    <s v="Interviewed"/>
    <n v="49686"/>
    <m/>
    <x v="4"/>
    <x v="1"/>
    <n v="3.8"/>
    <n v="1"/>
    <n v="0"/>
    <n v="0"/>
    <n v="1"/>
    <n v="0"/>
    <n v="0"/>
  </r>
  <r>
    <s v="APP0391"/>
    <s v="CAND1000"/>
    <s v="Roger Sutton"/>
    <s v="Roger"/>
    <s v="Sutton"/>
    <x v="0"/>
    <x v="1"/>
    <x v="3"/>
    <s v="Michael Patel"/>
    <x v="0"/>
    <d v="2024-10-26T00:00:00"/>
    <x v="15"/>
    <x v="0"/>
    <d v="2024-11-09T00:00:00"/>
    <s v=""/>
    <s v=""/>
    <s v=""/>
    <s v="Interviewed"/>
    <n v="36172"/>
    <m/>
    <x v="0"/>
    <x v="1"/>
    <n v="4.5"/>
    <n v="1"/>
    <n v="0"/>
    <n v="0"/>
    <n v="1"/>
    <n v="0"/>
    <n v="0"/>
  </r>
  <r>
    <s v="APP0392"/>
    <s v="CAND1071"/>
    <s v="Dominic Bond"/>
    <s v="Dominic"/>
    <s v="Bond"/>
    <x v="4"/>
    <x v="1"/>
    <x v="4"/>
    <s v="Sarah Green"/>
    <x v="1"/>
    <d v="2025-04-17T00:00:00"/>
    <x v="8"/>
    <x v="1"/>
    <d v="2025-05-01T00:00:00"/>
    <s v=""/>
    <s v=""/>
    <s v=""/>
    <s v="Interviewed"/>
    <n v="45605"/>
    <m/>
    <x v="0"/>
    <x v="1"/>
    <n v="4.7"/>
    <n v="1"/>
    <n v="0"/>
    <n v="0"/>
    <n v="1"/>
    <n v="0"/>
    <n v="0"/>
  </r>
  <r>
    <s v="APP0393"/>
    <s v="CAND1227"/>
    <s v="Damien Young"/>
    <s v="Damien"/>
    <s v="Young"/>
    <x v="2"/>
    <x v="2"/>
    <x v="4"/>
    <s v="Sarah Green"/>
    <x v="4"/>
    <d v="2024-09-06T00:00:00"/>
    <x v="4"/>
    <x v="0"/>
    <s v=""/>
    <s v=""/>
    <s v=""/>
    <s v=""/>
    <s v="Rejected"/>
    <n v="43413"/>
    <m/>
    <x v="0"/>
    <x v="2"/>
    <m/>
    <n v="1"/>
    <n v="0"/>
    <n v="1"/>
    <n v="0"/>
    <n v="0"/>
    <n v="0"/>
  </r>
  <r>
    <s v="APP0394"/>
    <s v="CAND1152"/>
    <s v="Kathryn Newman Davies"/>
    <s v="Kathryn"/>
    <s v="Davies"/>
    <x v="0"/>
    <x v="1"/>
    <x v="4"/>
    <s v="Emma Wilson"/>
    <x v="3"/>
    <d v="2024-04-06T00:00:00"/>
    <x v="6"/>
    <x v="0"/>
    <d v="2024-05-03T00:00:00"/>
    <s v=""/>
    <s v=""/>
    <s v=""/>
    <s v="Interviewed"/>
    <n v="50892"/>
    <m/>
    <x v="3"/>
    <x v="0"/>
    <n v="2.6"/>
    <n v="1"/>
    <n v="0"/>
    <n v="0"/>
    <n v="1"/>
    <n v="0"/>
    <n v="0"/>
  </r>
  <r>
    <s v="APP0395"/>
    <s v="CAND1063"/>
    <s v="Kate Lee"/>
    <s v="Kate"/>
    <s v="Lee"/>
    <x v="4"/>
    <x v="2"/>
    <x v="1"/>
    <s v="Sarah Green"/>
    <x v="0"/>
    <d v="2024-01-04T00:00:00"/>
    <x v="9"/>
    <x v="0"/>
    <d v="2024-01-23T00:00:00"/>
    <d v="2024-02-13T00:00:00"/>
    <s v=""/>
    <s v=""/>
    <s v="Offered"/>
    <n v="42701"/>
    <n v="46598"/>
    <x v="4"/>
    <x v="0"/>
    <n v="4.8"/>
    <n v="1"/>
    <n v="0"/>
    <n v="0"/>
    <n v="1"/>
    <n v="1"/>
    <n v="0"/>
  </r>
  <r>
    <s v="APP0396"/>
    <s v="CAND1135"/>
    <s v="Abdul Williamson"/>
    <s v="Abdul"/>
    <s v="Williamson"/>
    <x v="5"/>
    <x v="2"/>
    <x v="1"/>
    <s v="Sarah Green"/>
    <x v="3"/>
    <d v="2025-01-27T00:00:00"/>
    <x v="10"/>
    <x v="1"/>
    <d v="2025-02-01T00:00:00"/>
    <s v=""/>
    <s v=""/>
    <s v=""/>
    <s v="Interviewed"/>
    <n v="49138"/>
    <m/>
    <x v="3"/>
    <x v="1"/>
    <n v="3.6"/>
    <n v="1"/>
    <n v="0"/>
    <n v="0"/>
    <n v="1"/>
    <n v="0"/>
    <n v="0"/>
  </r>
  <r>
    <s v="APP0397"/>
    <s v="CAND1018"/>
    <s v="Scott Dean"/>
    <s v="Scott"/>
    <s v="Dean"/>
    <x v="4"/>
    <x v="4"/>
    <x v="4"/>
    <s v="Emma Wilson"/>
    <x v="0"/>
    <d v="2024-01-30T00:00:00"/>
    <x v="9"/>
    <x v="0"/>
    <s v=""/>
    <s v=""/>
    <s v=""/>
    <s v=""/>
    <s v="Rejected"/>
    <n v="46013"/>
    <m/>
    <x v="0"/>
    <x v="0"/>
    <n v="2.2999999999999998"/>
    <n v="1"/>
    <n v="0"/>
    <n v="1"/>
    <n v="0"/>
    <n v="0"/>
    <n v="0"/>
  </r>
  <r>
    <s v="APP0398"/>
    <s v="CAND1212"/>
    <s v="Alex Smith"/>
    <s v="Alex"/>
    <s v="Smith"/>
    <x v="4"/>
    <x v="0"/>
    <x v="2"/>
    <s v="James Clarke"/>
    <x v="0"/>
    <d v="2024-09-29T00:00:00"/>
    <x v="4"/>
    <x v="0"/>
    <d v="2024-10-24T00:00:00"/>
    <s v=""/>
    <s v=""/>
    <s v=""/>
    <s v="Interviewed"/>
    <n v="40076"/>
    <m/>
    <x v="4"/>
    <x v="2"/>
    <n v="2.5"/>
    <n v="1"/>
    <n v="0"/>
    <n v="0"/>
    <n v="1"/>
    <n v="0"/>
    <n v="0"/>
  </r>
  <r>
    <s v="APP0399"/>
    <s v="CAND1150"/>
    <s v="Bethan Begum"/>
    <s v="Bethan"/>
    <s v="Begum"/>
    <x v="5"/>
    <x v="3"/>
    <x v="1"/>
    <s v="Michael Patel"/>
    <x v="3"/>
    <d v="2024-07-02T00:00:00"/>
    <x v="1"/>
    <x v="0"/>
    <s v=""/>
    <s v=""/>
    <s v=""/>
    <s v=""/>
    <s v="Applied"/>
    <n v="35106"/>
    <m/>
    <x v="3"/>
    <x v="2"/>
    <m/>
    <n v="1"/>
    <n v="0"/>
    <n v="0"/>
    <n v="0"/>
    <n v="0"/>
    <n v="0"/>
  </r>
  <r>
    <s v="APP0400"/>
    <s v="CAND1052"/>
    <s v="Jeffrey Taylor"/>
    <s v="Jeffrey"/>
    <s v="Taylor"/>
    <x v="2"/>
    <x v="4"/>
    <x v="5"/>
    <s v="James Clarke"/>
    <x v="0"/>
    <d v="2024-01-04T00:00:00"/>
    <x v="9"/>
    <x v="0"/>
    <s v=""/>
    <s v=""/>
    <s v=""/>
    <s v=""/>
    <s v="Withdrawn"/>
    <n v="34573"/>
    <m/>
    <x v="2"/>
    <x v="2"/>
    <n v="2.2999999999999998"/>
    <n v="1"/>
    <n v="1"/>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APP0001"/>
    <s v="CAND1095"/>
    <s v="Guy Owen Rogers"/>
    <s v="Guy"/>
    <s v="Rogers"/>
    <s v="Reporting Analyst"/>
    <s v="HR"/>
    <s v="Midlands"/>
    <s v="James Clarke"/>
    <s v="Linkedln"/>
    <d v="2024-08-30T00:00:00"/>
    <x v="0"/>
    <n v="2024"/>
    <d v="2024-09-20T00:00:00"/>
    <s v=""/>
    <s v=""/>
    <s v=""/>
    <s v="Interviewed"/>
    <n v="49836"/>
    <m/>
    <s v="Mark"/>
    <s v="Female"/>
    <n v="3.1"/>
    <n v="1"/>
    <n v="0"/>
    <n v="0"/>
    <n v="1"/>
  </r>
  <r>
    <s v="APP0002"/>
    <s v="CAND1019"/>
    <s v="Alexandra Thomas"/>
    <s v="Alexandra"/>
    <s v="Thomas"/>
    <s v="HR Analyst"/>
    <s v="HR"/>
    <s v="Scotland"/>
    <s v="Sarah Green"/>
    <s v="Linkedln"/>
    <d v="2024-07-07T00:00:00"/>
    <x v="1"/>
    <n v="2024"/>
    <s v=""/>
    <s v=""/>
    <s v=""/>
    <s v=""/>
    <s v="Applied"/>
    <n v="34889"/>
    <m/>
    <s v="Rebecca"/>
    <s v="Male"/>
    <n v="2.2999999999999998"/>
    <n v="1"/>
    <n v="0"/>
    <n v="0"/>
    <n v="0"/>
  </r>
  <r>
    <s v="APP0003"/>
    <s v="CAND1108"/>
    <s v="Catherine Ford Barker"/>
    <s v="Catherine"/>
    <s v="Barker"/>
    <s v="Business Analyst"/>
    <s v="Commercial"/>
    <s v="Yorkshire"/>
    <s v="James Clarke"/>
    <s v="Referral"/>
    <d v="2024-02-16T00:00:00"/>
    <x v="2"/>
    <n v="2024"/>
    <s v=""/>
    <s v=""/>
    <s v=""/>
    <s v=""/>
    <s v="Withdrawn"/>
    <n v="41887"/>
    <m/>
    <s v="Anna"/>
    <s v="Prefer not to say"/>
    <n v="4.8"/>
    <n v="1"/>
    <n v="1"/>
    <n v="0"/>
    <n v="0"/>
  </r>
  <r>
    <s v="APP0004"/>
    <s v="CAND1155"/>
    <s v="Mohammad Morris"/>
    <s v="Mohammad"/>
    <s v="Morris"/>
    <s v="Reporting Analyst"/>
    <s v="Commercial"/>
    <s v="London"/>
    <s v="Sarah Green"/>
    <s v="Linkedln"/>
    <d v="2024-03-28T00:00:00"/>
    <x v="3"/>
    <n v="2024"/>
    <d v="2024-04-04T00:00:00"/>
    <d v="2024-04-24T00:00:00"/>
    <s v=""/>
    <s v=""/>
    <s v="Offered"/>
    <n v="47904"/>
    <n v="48335"/>
    <s v="Helen"/>
    <s v="Prefer not to say"/>
    <n v="4"/>
    <n v="1"/>
    <n v="0"/>
    <n v="0"/>
    <n v="1"/>
  </r>
  <r>
    <s v="APP0005"/>
    <s v="CAND1095"/>
    <s v="Toby Adams"/>
    <s v="Toby"/>
    <s v="Adams"/>
    <s v="HR Analyst"/>
    <s v="Commercial"/>
    <s v="East Midlands"/>
    <s v="Sarah Green"/>
    <s v="Indeed"/>
    <d v="2024-07-16T00:00:00"/>
    <x v="1"/>
    <n v="2024"/>
    <s v=""/>
    <s v=""/>
    <s v=""/>
    <s v=""/>
    <s v="Rejected"/>
    <n v="31730"/>
    <m/>
    <s v="Joe"/>
    <s v="Male"/>
    <n v="2.8"/>
    <n v="1"/>
    <n v="0"/>
    <n v="1"/>
    <n v="0"/>
  </r>
  <r>
    <s v="APP0006"/>
    <s v="CAND1197"/>
    <s v="Kieran Brown"/>
    <s v="Kieran"/>
    <s v="Brown"/>
    <s v="HR Analyst"/>
    <s v="Finance"/>
    <s v="East Midlands"/>
    <s v="Michael Patel"/>
    <s v="Linkedln"/>
    <d v="2024-09-22T00:00:00"/>
    <x v="4"/>
    <n v="2024"/>
    <s v=""/>
    <s v=""/>
    <s v=""/>
    <s v=""/>
    <s v="Applied"/>
    <n v="50139"/>
    <m/>
    <s v="Anna"/>
    <s v="Female"/>
    <n v="3.3"/>
    <n v="1"/>
    <n v="0"/>
    <n v="0"/>
    <n v="0"/>
  </r>
  <r>
    <s v="APP0007"/>
    <s v="CAND1086"/>
    <s v="Jacob Palmer"/>
    <s v="Jacob"/>
    <s v="Palmer"/>
    <s v="Finance Analyst"/>
    <s v="Technology"/>
    <s v="Midlands"/>
    <s v="Emma Wilson"/>
    <s v="Linkedln"/>
    <d v="2024-05-21T00:00:00"/>
    <x v="5"/>
    <n v="2024"/>
    <d v="5461-10-15T00:00:00"/>
    <d v="2024-06-25T00:00:00"/>
    <s v=""/>
    <s v=""/>
    <s v="Offered"/>
    <n v="51785"/>
    <n v="49211"/>
    <s v="Helen"/>
    <s v="Male"/>
    <n v="3.6"/>
    <n v="1"/>
    <n v="0"/>
    <n v="0"/>
    <n v="1"/>
  </r>
  <r>
    <s v="APP0008"/>
    <s v="CAND1068"/>
    <s v="Philip Murray"/>
    <s v="Philip"/>
    <s v="Murray"/>
    <s v="Finance Analyst"/>
    <s v="Operations"/>
    <s v="East Midlands"/>
    <s v="Sarah Green"/>
    <s v="Referral"/>
    <d v="2024-04-06T00:00:00"/>
    <x v="6"/>
    <n v="2024"/>
    <s v=""/>
    <s v=""/>
    <s v=""/>
    <s v=""/>
    <s v="Rejected"/>
    <n v="35205"/>
    <m/>
    <s v="Rebecca"/>
    <s v="Male"/>
    <m/>
    <n v="1"/>
    <n v="0"/>
    <n v="1"/>
    <n v="0"/>
  </r>
  <r>
    <s v="APP0009"/>
    <s v="CAND1225"/>
    <s v="Hilary Harrison"/>
    <s v="Hilary"/>
    <s v="Harrison"/>
    <s v="BI Analyst"/>
    <s v="HR"/>
    <s v="South East"/>
    <s v="Michael Patel"/>
    <s v="Reed"/>
    <d v="2024-07-03T00:00:00"/>
    <x v="1"/>
    <n v="2024"/>
    <s v=""/>
    <s v=""/>
    <s v=""/>
    <s v=""/>
    <s v="Withdrawn"/>
    <n v="44501"/>
    <m/>
    <s v="Joe"/>
    <s v="Female"/>
    <n v="2.5"/>
    <n v="1"/>
    <n v="1"/>
    <n v="0"/>
    <n v="0"/>
  </r>
  <r>
    <s v="APP0010"/>
    <s v="CAND1074"/>
    <s v="Shane Young"/>
    <s v="Shane"/>
    <s v="Young"/>
    <s v="HR Analyst"/>
    <s v="Finance"/>
    <s v="North West"/>
    <s v="Tom Davies"/>
    <s v="Reed"/>
    <d v="2024-11-17T00:00:00"/>
    <x v="7"/>
    <n v="2024"/>
    <d v="2024-12-13T00:00:00"/>
    <s v=""/>
    <s v=""/>
    <s v=""/>
    <s v="Interviewed"/>
    <n v="42576"/>
    <m/>
    <s v="Mark"/>
    <s v="Prefer not to say"/>
    <n v="4.7"/>
    <n v="1"/>
    <n v="0"/>
    <n v="0"/>
    <n v="1"/>
  </r>
  <r>
    <s v="APP0011"/>
    <s v="CAND1068"/>
    <s v="Chloe Bishop"/>
    <s v="Chloe"/>
    <s v="Bishop"/>
    <s v="Reporting Analyst"/>
    <s v="Operations"/>
    <s v="East Midlands"/>
    <s v="Michael Patel"/>
    <s v="Indeed"/>
    <d v="2024-05-25T00:00:00"/>
    <x v="5"/>
    <n v="2024"/>
    <d v="2024-05-30T00:00:00"/>
    <d v="2024-06-30T00:00:00"/>
    <s v=""/>
    <s v=""/>
    <s v="Offered"/>
    <n v="28120"/>
    <n v="30806"/>
    <s v="Helen"/>
    <s v="Male"/>
    <n v="2.2000000000000002"/>
    <n v="1"/>
    <n v="0"/>
    <n v="0"/>
    <n v="1"/>
  </r>
  <r>
    <s v="APP0012"/>
    <s v="CAND1088"/>
    <s v="Dorothy Stevens Peacock"/>
    <s v="Dorothy"/>
    <s v="Peacock"/>
    <s v="Finance Analyst"/>
    <s v="Technology"/>
    <s v="East Midlands"/>
    <s v="Sarah Green"/>
    <s v="CV Library"/>
    <d v="2024-08-01T00:00:00"/>
    <x v="0"/>
    <n v="2024"/>
    <d v="2024-08-08T00:00:00"/>
    <s v=""/>
    <s v=""/>
    <s v=""/>
    <s v="Interviewed"/>
    <n v="41262"/>
    <m/>
    <s v="Anna"/>
    <s v="Male"/>
    <n v="4.4000000000000004"/>
    <n v="1"/>
    <n v="0"/>
    <n v="0"/>
    <n v="1"/>
  </r>
  <r>
    <s v="APP0013"/>
    <s v="CAND1048"/>
    <s v="Rita Bates"/>
    <s v="Rita"/>
    <s v="Bates"/>
    <s v="Finance Analyst"/>
    <s v="HR"/>
    <s v="Midlands"/>
    <s v="James Clarke"/>
    <s v="Referral"/>
    <d v="2025-04-11T00:00:00"/>
    <x v="8"/>
    <n v="2025"/>
    <d v="2025-04-22T00:00:00"/>
    <s v=""/>
    <s v=""/>
    <s v=""/>
    <s v="Interviewed"/>
    <n v="40434"/>
    <m/>
    <s v="Joe"/>
    <s v="Prefer not to say"/>
    <n v="4.4000000000000004"/>
    <n v="1"/>
    <n v="0"/>
    <n v="0"/>
    <n v="1"/>
  </r>
  <r>
    <s v="APP0014"/>
    <s v="CAND1036"/>
    <s v="Ryan Atkinson"/>
    <s v="Ryan"/>
    <s v="Atkinson"/>
    <s v="BI Analyst"/>
    <s v="Finance"/>
    <s v="North West"/>
    <s v="Tom Davies"/>
    <s v="CV Library"/>
    <d v="2024-05-05T00:00:00"/>
    <x v="5"/>
    <n v="2024"/>
    <s v=""/>
    <s v=""/>
    <s v=""/>
    <s v=""/>
    <s v="Applied"/>
    <n v="39657"/>
    <m/>
    <s v="Joe"/>
    <s v="Female"/>
    <n v="3"/>
    <n v="1"/>
    <n v="0"/>
    <n v="0"/>
    <n v="0"/>
  </r>
  <r>
    <s v="APP0015"/>
    <s v="CAND1014"/>
    <s v="Frances Anderson"/>
    <s v="Frances"/>
    <s v="Anderson"/>
    <s v="BI Analyst"/>
    <s v="Commercial"/>
    <s v="Yorkshire"/>
    <s v="Emma Wilson"/>
    <s v="Linkedln"/>
    <d v="2024-03-31T00:00:00"/>
    <x v="3"/>
    <n v="2024"/>
    <s v=""/>
    <s v=""/>
    <s v=""/>
    <s v=""/>
    <s v="Applied"/>
    <n v="43984"/>
    <m/>
    <s v="Anna"/>
    <s v="Male"/>
    <n v="3.9"/>
    <n v="1"/>
    <n v="0"/>
    <n v="0"/>
    <n v="0"/>
  </r>
  <r>
    <s v="APP0016"/>
    <s v="CAND1110"/>
    <s v="William Clarke"/>
    <s v="William"/>
    <s v="Clarke"/>
    <s v="Finance Analyst"/>
    <s v="Operations"/>
    <s v="East Midlands"/>
    <s v="James Clarke"/>
    <s v="CV Library"/>
    <d v="2024-01-04T00:00:00"/>
    <x v="9"/>
    <n v="2024"/>
    <s v=""/>
    <s v=""/>
    <s v=""/>
    <s v=""/>
    <s v="Withdrawn"/>
    <n v="40008"/>
    <m/>
    <s v="Rebecca"/>
    <s v="Female"/>
    <n v="2.9"/>
    <n v="1"/>
    <n v="1"/>
    <n v="0"/>
    <n v="0"/>
  </r>
  <r>
    <s v="APP0017"/>
    <s v="CAND1058"/>
    <s v="Michelle Elliott"/>
    <s v="Michelle"/>
    <s v="Elliott"/>
    <s v="Reporting Analyst"/>
    <s v="Commercial"/>
    <s v="Scotland"/>
    <s v="James Clarke"/>
    <s v="CV Library"/>
    <d v="2024-07-18T00:00:00"/>
    <x v="1"/>
    <n v="2024"/>
    <d v="2024-08-14T00:00:00"/>
    <d v="2024-08-09T00:00:00"/>
    <d v="2024-09-05T00:00:00"/>
    <n v="49"/>
    <s v="Hired"/>
    <n v="43061"/>
    <n v="46495"/>
    <s v="Helen"/>
    <s v="Female"/>
    <n v="4.5999999999999996"/>
    <n v="1"/>
    <n v="0"/>
    <n v="0"/>
    <n v="1"/>
  </r>
  <r>
    <s v="APP0018"/>
    <s v="CAND1161"/>
    <s v="Sally Stewart"/>
    <s v="Sally"/>
    <s v="Stewart"/>
    <s v="Finance Analyst"/>
    <s v="Operations"/>
    <s v="East Midlands"/>
    <s v="Emma Wilson"/>
    <s v="Linkedln"/>
    <d v="2025-01-25T00:00:00"/>
    <x v="10"/>
    <n v="2025"/>
    <s v=""/>
    <s v=""/>
    <s v=""/>
    <s v=""/>
    <s v="Rejected"/>
    <n v="38559"/>
    <m/>
    <s v="Mark"/>
    <s v="Female"/>
    <n v="4.3"/>
    <n v="1"/>
    <n v="0"/>
    <n v="1"/>
    <n v="0"/>
  </r>
  <r>
    <s v="APP0019"/>
    <s v="CAND1153"/>
    <s v="Jacqueline Rahman"/>
    <s v="Jacqueline"/>
    <s v="Rahman"/>
    <s v="Finance Analyst"/>
    <s v="Technology"/>
    <s v="Yorkshire"/>
    <s v="Michael Patel"/>
    <s v="Linkedln"/>
    <d v="2024-09-10T00:00:00"/>
    <x v="4"/>
    <n v="2024"/>
    <s v=""/>
    <s v=""/>
    <s v=""/>
    <s v=""/>
    <s v="Applied"/>
    <n v="39953"/>
    <m/>
    <s v="Anna"/>
    <s v="Prefer not to say"/>
    <n v="2.9"/>
    <n v="1"/>
    <n v="0"/>
    <n v="0"/>
    <n v="0"/>
  </r>
  <r>
    <s v="APP0020"/>
    <s v="CAND1067"/>
    <s v="Vanessa Patterson"/>
    <s v="Vanessa"/>
    <s v="Patterson"/>
    <s v="Finance Analyst"/>
    <s v="Technology"/>
    <s v="Scotland"/>
    <s v="Emma Wilson"/>
    <s v="Indeed"/>
    <d v="2024-11-07T00:00:00"/>
    <x v="7"/>
    <n v="2024"/>
    <s v=""/>
    <s v=""/>
    <s v=""/>
    <s v=""/>
    <s v="Rejected"/>
    <n v="40400"/>
    <m/>
    <s v="Mark"/>
    <s v="Male"/>
    <n v="3.3"/>
    <n v="1"/>
    <n v="0"/>
    <n v="1"/>
    <n v="0"/>
  </r>
  <r>
    <s v="APP0021"/>
    <s v="CAND1227"/>
    <s v="Amy Carpenter"/>
    <s v="Amy"/>
    <s v="Carpenter"/>
    <s v="Data Analyst"/>
    <s v="HR"/>
    <s v="North West"/>
    <s v="Michael Patel"/>
    <s v="Reed"/>
    <d v="2025-02-07T00:00:00"/>
    <x v="11"/>
    <n v="2025"/>
    <s v=""/>
    <s v=""/>
    <s v=""/>
    <s v=""/>
    <s v="Applied"/>
    <n v="36345"/>
    <m/>
    <s v="Mark"/>
    <s v="Prefer not to say"/>
    <n v="2.4"/>
    <n v="1"/>
    <n v="0"/>
    <n v="0"/>
    <n v="0"/>
  </r>
  <r>
    <s v="APP0022"/>
    <s v="CAND1043"/>
    <s v="Joshua Baker"/>
    <s v="Joshua"/>
    <s v="Baker"/>
    <s v="Business Analyst"/>
    <s v="Operations"/>
    <s v="East Midlands"/>
    <s v="Tom Davies"/>
    <s v="Linkedln"/>
    <d v="2025-03-26T00:00:00"/>
    <x v="12"/>
    <n v="2025"/>
    <s v=""/>
    <s v=""/>
    <s v=""/>
    <s v=""/>
    <s v="Rejected"/>
    <n v="46206"/>
    <m/>
    <s v="Helen"/>
    <s v="Prefer not to say"/>
    <m/>
    <n v="1"/>
    <n v="0"/>
    <n v="1"/>
    <n v="0"/>
  </r>
  <r>
    <s v="APP0023"/>
    <s v="CAND1051"/>
    <s v="Stanley Flynn"/>
    <s v="Stanley"/>
    <s v="Flynn"/>
    <s v="Reporting Analyst"/>
    <s v="Finance"/>
    <s v="London"/>
    <s v="Michael Patel"/>
    <s v="Reed"/>
    <d v="2025-03-17T00:00:00"/>
    <x v="12"/>
    <n v="2025"/>
    <s v=""/>
    <s v=""/>
    <s v=""/>
    <s v=""/>
    <s v="Applied"/>
    <n v="31353"/>
    <m/>
    <s v="Joe"/>
    <s v="Prefer not to say"/>
    <n v="3.2"/>
    <n v="1"/>
    <n v="0"/>
    <n v="0"/>
    <n v="0"/>
  </r>
  <r>
    <s v="APP0024"/>
    <s v="CAND1183"/>
    <s v="Katherine Oliver"/>
    <s v="Katherine"/>
    <s v="Oliver"/>
    <s v="Finance Analyst"/>
    <s v="Finance"/>
    <s v="East Midlands"/>
    <s v="Emma Wilson"/>
    <s v="Reed"/>
    <d v="2024-05-30T00:00:00"/>
    <x v="5"/>
    <n v="2024"/>
    <d v="2024-06-24T00:00:00"/>
    <d v="2024-07-10T00:00:00"/>
    <s v=""/>
    <s v=""/>
    <s v="Offered"/>
    <n v="40729"/>
    <n v="44715"/>
    <s v="Joe"/>
    <s v="Prefer not to say"/>
    <n v="3.3"/>
    <n v="1"/>
    <n v="0"/>
    <n v="0"/>
    <n v="1"/>
  </r>
  <r>
    <s v="APP0025"/>
    <s v="CAND1033"/>
    <s v="Leah Simmons"/>
    <s v="Leah"/>
    <s v="Simmons"/>
    <s v="Finance Analyst"/>
    <s v="Finance"/>
    <s v="East Midlands"/>
    <s v="Sarah Green"/>
    <s v="Indeed"/>
    <d v="2024-07-26T00:00:00"/>
    <x v="1"/>
    <n v="2024"/>
    <s v=""/>
    <s v=""/>
    <s v=""/>
    <s v=""/>
    <s v="Withdrawn"/>
    <n v="40287"/>
    <m/>
    <s v="Anna"/>
    <s v="Male"/>
    <n v="4.3"/>
    <n v="1"/>
    <n v="1"/>
    <n v="0"/>
    <n v="0"/>
  </r>
  <r>
    <s v="APP0026"/>
    <s v="CAND1236"/>
    <s v="Martin Bowen"/>
    <s v="Martin"/>
    <s v="Bowen"/>
    <s v="BI Analyst"/>
    <s v="Finance"/>
    <s v="East Midlands"/>
    <s v="James Clarke"/>
    <s v="Reed"/>
    <d v="2025-04-22T00:00:00"/>
    <x v="8"/>
    <n v="2025"/>
    <s v=""/>
    <s v=""/>
    <s v=""/>
    <s v=""/>
    <s v="Applied"/>
    <n v="31708"/>
    <m/>
    <s v="Mark"/>
    <s v="Female"/>
    <n v="4.0999999999999996"/>
    <n v="1"/>
    <n v="0"/>
    <n v="0"/>
    <n v="0"/>
  </r>
  <r>
    <s v="APP0027"/>
    <s v="CAND1100"/>
    <s v="Charlene Russell"/>
    <s v="Charlene"/>
    <s v="Russell"/>
    <s v="Data Analyst"/>
    <s v="Commercial"/>
    <s v="Yorkshire"/>
    <s v="Sarah Green"/>
    <s v="Reed"/>
    <d v="2025-01-22T00:00:00"/>
    <x v="10"/>
    <n v="2025"/>
    <d v="2025-02-16T00:00:00"/>
    <s v=""/>
    <s v=""/>
    <s v=""/>
    <s v="Interviewed"/>
    <n v="45796"/>
    <m/>
    <s v="Helen"/>
    <s v="Male"/>
    <n v="4.5"/>
    <n v="1"/>
    <n v="0"/>
    <n v="0"/>
    <n v="1"/>
  </r>
  <r>
    <s v="APP0028"/>
    <s v="CAND1003"/>
    <s v="Frances Collins"/>
    <s v="Frances"/>
    <s v="Collins"/>
    <s v="Business Analyst"/>
    <s v="Operations"/>
    <s v="South East"/>
    <s v="Emma Wilson"/>
    <s v="Indeed"/>
    <d v="2024-06-01T00:00:00"/>
    <x v="13"/>
    <n v="2024"/>
    <s v=""/>
    <s v=""/>
    <s v=""/>
    <s v=""/>
    <s v="Applied"/>
    <n v="43911"/>
    <m/>
    <s v="Joe"/>
    <s v="Female"/>
    <n v="3.8"/>
    <n v="1"/>
    <n v="0"/>
    <n v="0"/>
    <n v="0"/>
  </r>
  <r>
    <s v="APP0029"/>
    <s v="CAND1137"/>
    <s v="Janice Bird"/>
    <s v="Janice"/>
    <s v="Bird"/>
    <s v="HR Analyst"/>
    <s v="HR"/>
    <s v="South East"/>
    <s v="Michael Patel"/>
    <s v="Linkedln"/>
    <d v="2024-06-22T00:00:00"/>
    <x v="13"/>
    <n v="2024"/>
    <d v="2024-07-21T00:00:00"/>
    <d v="2024-08-03T00:00:00"/>
    <d v="2024-09-01T00:00:00"/>
    <n v="71"/>
    <s v="Hired"/>
    <n v="43892"/>
    <n v="43698"/>
    <s v="Joe"/>
    <s v="Prefer not to say"/>
    <n v="2.7"/>
    <n v="1"/>
    <n v="0"/>
    <n v="0"/>
    <n v="1"/>
  </r>
  <r>
    <s v="APP0030"/>
    <s v="CAND1126"/>
    <s v="Stanley Reid"/>
    <s v="Stanley"/>
    <s v="Reid"/>
    <s v="Business Analyst"/>
    <s v="HR"/>
    <s v="East Midlands"/>
    <s v="James Clarke"/>
    <s v="Referral"/>
    <d v="2024-05-22T00:00:00"/>
    <x v="5"/>
    <n v="2024"/>
    <d v="2024-06-09T00:00:00"/>
    <s v=""/>
    <s v=""/>
    <s v=""/>
    <s v="Interviewed"/>
    <n v="31353"/>
    <m/>
    <s v="Helen"/>
    <s v="Female"/>
    <n v="2.4"/>
    <n v="1"/>
    <n v="0"/>
    <n v="0"/>
    <n v="1"/>
  </r>
  <r>
    <s v="APP0031"/>
    <s v="CAND1018"/>
    <s v="Carolyn Begum"/>
    <s v="Carolyn"/>
    <s v="Begum"/>
    <s v="Business Analyst"/>
    <s v="Commercial"/>
    <s v="Scotland"/>
    <s v="Michael Patel"/>
    <s v="Linkedln"/>
    <d v="2024-06-30T00:00:00"/>
    <x v="13"/>
    <n v="2024"/>
    <s v=""/>
    <s v=""/>
    <s v=""/>
    <s v=""/>
    <s v="Rejected"/>
    <n v="38825"/>
    <m/>
    <s v="Rebecca"/>
    <s v="Female"/>
    <n v="4.8"/>
    <n v="1"/>
    <n v="0"/>
    <n v="1"/>
    <n v="0"/>
  </r>
  <r>
    <s v="APP0032"/>
    <s v="CAND1164"/>
    <s v="Barry Price"/>
    <s v="Barry"/>
    <s v="Price"/>
    <s v="Reporting Analyst"/>
    <s v="Finance"/>
    <s v="Yorkshire"/>
    <s v="James Clarke"/>
    <s v="Linkedln"/>
    <d v="2025-03-15T00:00:00"/>
    <x v="12"/>
    <n v="2025"/>
    <s v=""/>
    <s v=""/>
    <s v=""/>
    <s v=""/>
    <s v="Withdrawn"/>
    <n v="37727"/>
    <m/>
    <s v="Rebecca"/>
    <s v="Male"/>
    <n v="3.1"/>
    <n v="1"/>
    <n v="1"/>
    <n v="0"/>
    <n v="0"/>
  </r>
  <r>
    <s v="APP0033"/>
    <s v="CAND1043"/>
    <s v="Ricky Mason"/>
    <s v="Ricky"/>
    <s v="Mason"/>
    <s v="Reporting Analyst"/>
    <s v="Operations"/>
    <s v="North West"/>
    <s v="Sarah Green"/>
    <s v="Reed"/>
    <d v="2025-03-19T00:00:00"/>
    <x v="12"/>
    <n v="2025"/>
    <d v="2025-04-18T00:00:00"/>
    <s v=""/>
    <s v=""/>
    <s v=""/>
    <s v="Interviewed"/>
    <n v="43908"/>
    <m/>
    <s v="Helen"/>
    <s v="Prefer not to say"/>
    <n v="5"/>
    <n v="1"/>
    <n v="0"/>
    <n v="0"/>
    <n v="1"/>
  </r>
  <r>
    <s v="APP0034"/>
    <s v="CAND1112"/>
    <s v="Holly Powell"/>
    <s v="Holly"/>
    <s v="Powell"/>
    <s v="Reporting Analyst"/>
    <s v="Technology"/>
    <s v="Yorkshire"/>
    <s v="Tom Davies"/>
    <s v="CV Library"/>
    <d v="2024-03-03T00:00:00"/>
    <x v="3"/>
    <n v="2024"/>
    <d v="2024-03-26T00:00:00"/>
    <d v="2024-03-23T00:00:00"/>
    <d v="2024-04-22T00:00:00"/>
    <n v="50"/>
    <s v="Hired"/>
    <n v="38161"/>
    <n v="38916"/>
    <s v="Joe"/>
    <s v="Prefer not to say"/>
    <n v="2.5"/>
    <n v="1"/>
    <n v="0"/>
    <n v="0"/>
    <n v="1"/>
  </r>
  <r>
    <s v="APP0035"/>
    <s v="CAND1019"/>
    <s v="Lesley Bishop"/>
    <s v="Lesley"/>
    <s v="Bishop"/>
    <s v="BI Analyst"/>
    <s v="HR"/>
    <s v="Scotland"/>
    <s v="Tom Davies"/>
    <s v="Indeed"/>
    <d v="2024-12-03T00:00:00"/>
    <x v="14"/>
    <n v="2024"/>
    <d v="2024-12-27T00:00:00"/>
    <d v="2025-01-14T00:00:00"/>
    <d v="2025-02-06T00:00:00"/>
    <n v="65"/>
    <s v="Hired"/>
    <n v="39128"/>
    <n v="39038"/>
    <s v="Helen"/>
    <s v="Female"/>
    <n v="3.3"/>
    <n v="1"/>
    <n v="0"/>
    <n v="0"/>
    <n v="1"/>
  </r>
  <r>
    <s v="APP0036"/>
    <s v="CAND1078"/>
    <s v="Beth Spencer"/>
    <s v="Beth"/>
    <s v="Spencer"/>
    <s v="Business Analyst"/>
    <s v="Operations"/>
    <s v="East Midlands"/>
    <s v="Sarah Green"/>
    <s v="Reed"/>
    <d v="2024-07-30T00:00:00"/>
    <x v="1"/>
    <n v="2024"/>
    <s v=""/>
    <s v=""/>
    <s v=""/>
    <s v=""/>
    <s v="Rejected"/>
    <n v="32659"/>
    <m/>
    <s v="Joe"/>
    <s v="Prefer not to say"/>
    <n v="2.2000000000000002"/>
    <n v="1"/>
    <n v="0"/>
    <n v="1"/>
    <n v="0"/>
  </r>
  <r>
    <s v="APP0037"/>
    <s v="CAND1220"/>
    <s v="Bryan Cunningham"/>
    <s v="Bryan"/>
    <s v="Cunningham"/>
    <s v="HR Analyst"/>
    <s v="HR"/>
    <s v="Yorkshire"/>
    <s v="Michael Patel"/>
    <s v="Linkedln"/>
    <d v="2024-09-08T00:00:00"/>
    <x v="4"/>
    <n v="2024"/>
    <d v="2024-09-15T00:00:00"/>
    <s v=""/>
    <s v=""/>
    <s v=""/>
    <s v="Interviewed"/>
    <n v="34309"/>
    <m/>
    <s v="Rebecca"/>
    <s v="Male"/>
    <n v="2.5"/>
    <n v="1"/>
    <n v="0"/>
    <n v="0"/>
    <n v="1"/>
  </r>
  <r>
    <s v="APP0038"/>
    <s v="CAND1027"/>
    <s v="Jacqueline Bailey"/>
    <s v="Jacqueline"/>
    <s v="Bailey"/>
    <s v="Reporting Analyst"/>
    <s v="Commercial"/>
    <s v="East Midlands"/>
    <s v="James Clarke"/>
    <s v="Reed"/>
    <d v="2025-02-09T00:00:00"/>
    <x v="11"/>
    <n v="2025"/>
    <s v=""/>
    <s v=""/>
    <s v=""/>
    <s v=""/>
    <s v="Applied"/>
    <n v="29123"/>
    <m/>
    <s v="Anna"/>
    <s v="Female"/>
    <n v="3.6"/>
    <n v="1"/>
    <n v="0"/>
    <n v="0"/>
    <n v="0"/>
  </r>
  <r>
    <s v="APP0039"/>
    <s v="CAND1021"/>
    <s v="Rosie Lane"/>
    <s v="Rosie"/>
    <s v="Lane"/>
    <s v="Data Analyst"/>
    <s v="Commercial"/>
    <s v="Midlands"/>
    <s v="James Clarke"/>
    <s v="Reed"/>
    <d v="2024-06-03T00:00:00"/>
    <x v="13"/>
    <n v="2024"/>
    <s v=""/>
    <s v=""/>
    <s v=""/>
    <s v=""/>
    <s v="Applied"/>
    <n v="44189"/>
    <m/>
    <s v="Rebecca"/>
    <s v="Female"/>
    <n v="3.2"/>
    <n v="1"/>
    <n v="0"/>
    <n v="0"/>
    <n v="0"/>
  </r>
  <r>
    <s v="APP0040"/>
    <s v="CAND1006"/>
    <s v="Roy Jones"/>
    <s v="Roy"/>
    <s v="Jones"/>
    <s v="Finance Analyst"/>
    <s v="Finance"/>
    <s v="North West"/>
    <s v="Tom Davies"/>
    <s v="Linkedln"/>
    <d v="2024-10-05T00:00:00"/>
    <x v="15"/>
    <n v="2024"/>
    <s v=""/>
    <s v=""/>
    <s v=""/>
    <s v=""/>
    <s v="Applied"/>
    <n v="44526"/>
    <m/>
    <s v="Helen"/>
    <s v="Prefer not to say"/>
    <n v="3.2"/>
    <n v="1"/>
    <n v="0"/>
    <n v="0"/>
    <n v="0"/>
  </r>
  <r>
    <s v="APP0041"/>
    <s v="CAND1166"/>
    <s v="Lesley Hudson"/>
    <s v="Lesley"/>
    <s v="Hudson"/>
    <s v="Finance Analyst"/>
    <s v="HR"/>
    <s v="Yorkshire"/>
    <s v="Sarah Green"/>
    <s v="CV Library"/>
    <d v="2025-01-17T00:00:00"/>
    <x v="10"/>
    <n v="2025"/>
    <d v="2025-01-24T00:00:00"/>
    <s v=""/>
    <s v=""/>
    <s v=""/>
    <s v="Interviewed"/>
    <n v="50270"/>
    <m/>
    <s v="Mark"/>
    <s v="Male"/>
    <n v="4.0999999999999996"/>
    <n v="1"/>
    <n v="0"/>
    <n v="0"/>
    <n v="1"/>
  </r>
  <r>
    <s v="APP0042"/>
    <s v="CAND1211"/>
    <s v="Karen Sutton"/>
    <s v="Karen"/>
    <s v="Sutton"/>
    <s v="Finance Analyst"/>
    <s v="Operations"/>
    <s v="Scotland"/>
    <s v="Sarah Green"/>
    <s v="CV Library"/>
    <d v="2024-11-04T00:00:00"/>
    <x v="7"/>
    <n v="2024"/>
    <s v=""/>
    <s v=""/>
    <s v=""/>
    <s v=""/>
    <s v="Applied"/>
    <n v="44498"/>
    <m/>
    <s v="Joe"/>
    <s v="Prefer not to say"/>
    <n v="3.6"/>
    <n v="1"/>
    <n v="0"/>
    <n v="0"/>
    <n v="0"/>
  </r>
  <r>
    <s v="APP0043"/>
    <s v="CAND1073"/>
    <s v="Rebecca Andrews"/>
    <s v="Rebecca"/>
    <s v="Andrews"/>
    <s v="Reporting Analyst"/>
    <s v="Technology"/>
    <s v="East Midlands"/>
    <s v="Michael Patel"/>
    <s v="Linkedln"/>
    <d v="2024-08-21T00:00:00"/>
    <x v="0"/>
    <n v="2024"/>
    <s v=""/>
    <s v=""/>
    <s v=""/>
    <s v=""/>
    <s v="Rejected"/>
    <n v="33498"/>
    <m/>
    <s v="Helen"/>
    <s v="Female"/>
    <n v="4.5"/>
    <n v="1"/>
    <n v="0"/>
    <n v="1"/>
    <n v="0"/>
  </r>
  <r>
    <s v="APP0044"/>
    <s v="CAND1010"/>
    <s v="Lewis Reynolds"/>
    <s v="Lewis"/>
    <s v="Reynolds"/>
    <s v="HR Analyst"/>
    <s v="HR"/>
    <s v="London"/>
    <s v="Tom Davies"/>
    <s v="Referral"/>
    <d v="2024-05-29T00:00:00"/>
    <x v="5"/>
    <n v="2024"/>
    <s v=""/>
    <s v=""/>
    <s v=""/>
    <s v=""/>
    <s v="Applied"/>
    <n v="44058"/>
    <m/>
    <s v="Helen"/>
    <s v="Male"/>
    <n v="3.2"/>
    <n v="1"/>
    <n v="0"/>
    <n v="0"/>
    <n v="0"/>
  </r>
  <r>
    <s v="APP0045"/>
    <s v="CAND1200"/>
    <s v="Rachel Ellis"/>
    <s v="Rachel"/>
    <s v="Ellis"/>
    <s v="BI Analyst"/>
    <s v="Operations"/>
    <s v="South East"/>
    <s v="Sarah Green"/>
    <s v="Linkedln"/>
    <d v="2025-04-24T00:00:00"/>
    <x v="8"/>
    <n v="2025"/>
    <s v=""/>
    <s v=""/>
    <s v=""/>
    <s v=""/>
    <s v="Rejected"/>
    <n v="38421"/>
    <m/>
    <s v="Joe"/>
    <s v="Prefer not to say"/>
    <n v="2.8"/>
    <n v="1"/>
    <n v="0"/>
    <n v="1"/>
    <n v="0"/>
  </r>
  <r>
    <s v="APP0046"/>
    <s v="CAND1081"/>
    <s v="Anthony Whittaker Griffiths"/>
    <s v="Anthony"/>
    <s v="Griffiths"/>
    <s v="Finance Analyst"/>
    <s v="Finance"/>
    <s v="Yorkshire"/>
    <s v="Emma Wilson"/>
    <s v="Linkedln"/>
    <d v="2024-06-23T00:00:00"/>
    <x v="13"/>
    <n v="2024"/>
    <s v=""/>
    <s v=""/>
    <s v=""/>
    <s v=""/>
    <s v="Withdrawn"/>
    <n v="29475"/>
    <m/>
    <s v="Rebecca"/>
    <s v="Male"/>
    <n v="3.4"/>
    <n v="1"/>
    <n v="1"/>
    <n v="0"/>
    <n v="0"/>
  </r>
  <r>
    <s v="APP0047"/>
    <s v="CAND1041"/>
    <s v="Lynne Daniels"/>
    <s v="Lynne"/>
    <s v="Daniels"/>
    <s v="HR Analyst"/>
    <s v="Operations"/>
    <s v="Midlands"/>
    <s v="James Clarke"/>
    <s v="Reed"/>
    <d v="2025-02-26T00:00:00"/>
    <x v="11"/>
    <n v="2025"/>
    <s v=""/>
    <s v=""/>
    <s v=""/>
    <s v=""/>
    <s v="Applied"/>
    <n v="43698"/>
    <m/>
    <s v="Helen"/>
    <s v="Male"/>
    <n v="3.5"/>
    <n v="1"/>
    <n v="0"/>
    <n v="0"/>
    <n v="0"/>
  </r>
  <r>
    <s v="APP0048"/>
    <s v="CAND1120"/>
    <s v="Claire Cox"/>
    <s v="Claire"/>
    <s v="Cox"/>
    <s v="BI Analyst"/>
    <s v="Technology"/>
    <s v="East Midlands"/>
    <s v="Sarah Green"/>
    <s v="Linkedln"/>
    <d v="2025-03-08T00:00:00"/>
    <x v="12"/>
    <n v="2025"/>
    <s v=""/>
    <s v=""/>
    <s v=""/>
    <s v=""/>
    <s v="Rejected"/>
    <n v="32416"/>
    <m/>
    <s v="Mark"/>
    <s v="Male"/>
    <n v="3.8"/>
    <n v="1"/>
    <n v="0"/>
    <n v="1"/>
    <n v="0"/>
  </r>
  <r>
    <s v="APP0049"/>
    <s v="CAND1232"/>
    <s v="Hugh Pearson"/>
    <s v="Hugh"/>
    <s v="Pearson"/>
    <s v="Business Analyst"/>
    <s v="Operations"/>
    <s v="East Midlands"/>
    <s v="James Clarke"/>
    <s v="Linkedln"/>
    <d v="2024-05-11T00:00:00"/>
    <x v="5"/>
    <n v="2024"/>
    <d v="2024-05-26T00:00:00"/>
    <d v="2024-06-10T00:00:00"/>
    <d v="2024-07-13T00:00:00"/>
    <n v="63"/>
    <s v="Hired"/>
    <n v="42769"/>
    <n v="44001"/>
    <s v="Mark"/>
    <s v="Male"/>
    <n v="2.4"/>
    <n v="1"/>
    <n v="0"/>
    <n v="0"/>
    <n v="1"/>
  </r>
  <r>
    <s v="APP0050"/>
    <s v="CAND1117"/>
    <s v="Victoria Smith"/>
    <s v="Victoria"/>
    <s v="Smith"/>
    <s v="HR Analyst"/>
    <s v="Commercial"/>
    <s v="East Midlands"/>
    <s v="Michael Patel"/>
    <s v="Indeed"/>
    <d v="2024-04-29T00:00:00"/>
    <x v="6"/>
    <n v="2024"/>
    <d v="2024-05-19T00:00:00"/>
    <d v="2024-06-06T00:00:00"/>
    <s v=""/>
    <s v=""/>
    <s v="Offered"/>
    <n v="32582"/>
    <n v="30886"/>
    <s v="Rebecca"/>
    <s v="Prefer not to say"/>
    <n v="4.7"/>
    <n v="1"/>
    <n v="0"/>
    <n v="0"/>
    <n v="1"/>
  </r>
  <r>
    <s v="APP0051"/>
    <s v="CAND1041"/>
    <s v="Max Johnson"/>
    <s v="Max"/>
    <s v="Johnson"/>
    <s v="HR Analyst"/>
    <s v="HR"/>
    <s v="London"/>
    <s v="Emma Wilson"/>
    <s v="Referral"/>
    <d v="2024-10-31T00:00:00"/>
    <x v="15"/>
    <n v="2024"/>
    <s v=""/>
    <s v=""/>
    <s v=""/>
    <s v=""/>
    <s v="Applied"/>
    <n v="48670"/>
    <m/>
    <s v="Rebecca"/>
    <s v="Male"/>
    <m/>
    <n v="1"/>
    <n v="0"/>
    <n v="0"/>
    <n v="0"/>
  </r>
  <r>
    <s v="APP0052"/>
    <s v="CAND1172"/>
    <s v="Kerry Pugh"/>
    <s v="Kerry"/>
    <s v="Pugh"/>
    <s v="Data Analyst"/>
    <s v="Finance"/>
    <s v="London"/>
    <s v="Sarah Green"/>
    <s v="CV Library"/>
    <d v="2025-05-08T00:00:00"/>
    <x v="16"/>
    <n v="2025"/>
    <s v=""/>
    <s v=""/>
    <s v=""/>
    <s v=""/>
    <s v="Applied"/>
    <n v="42256"/>
    <m/>
    <s v="Joe"/>
    <s v="Female"/>
    <n v="4.3"/>
    <n v="1"/>
    <n v="0"/>
    <n v="0"/>
    <n v="0"/>
  </r>
  <r>
    <s v="APP0053"/>
    <s v="CAND1214"/>
    <s v="Kathryn Houghton"/>
    <s v="Kathryn"/>
    <s v="Houghton"/>
    <s v="HR Analyst"/>
    <s v="Finance"/>
    <s v="East Midlands"/>
    <s v="Tom Davies"/>
    <s v="Linkedln"/>
    <d v="2024-10-12T00:00:00"/>
    <x v="15"/>
    <n v="2024"/>
    <s v=""/>
    <s v=""/>
    <s v=""/>
    <s v=""/>
    <s v="Applied"/>
    <n v="42381"/>
    <m/>
    <s v="Joe"/>
    <s v="Male"/>
    <n v="4"/>
    <n v="1"/>
    <n v="0"/>
    <n v="0"/>
    <n v="0"/>
  </r>
  <r>
    <s v="APP0054"/>
    <s v="CAND1194"/>
    <s v="Charlie Bennett"/>
    <s v="Charlie"/>
    <s v="Bennett"/>
    <s v="Finance Analyst"/>
    <s v="HR"/>
    <s v="North West"/>
    <s v="Tom Davies"/>
    <s v="Linkedln"/>
    <d v="2025-03-07T00:00:00"/>
    <x v="12"/>
    <n v="2025"/>
    <d v="2025-03-12T00:00:00"/>
    <s v=""/>
    <s v=""/>
    <s v=""/>
    <s v="Interviewed"/>
    <n v="32945"/>
    <m/>
    <s v="Joe"/>
    <s v="Prefer not to say"/>
    <m/>
    <n v="1"/>
    <n v="0"/>
    <n v="0"/>
    <n v="1"/>
  </r>
  <r>
    <s v="APP0055"/>
    <s v="CAND1104"/>
    <s v="Declan Phillips"/>
    <s v="Declan"/>
    <s v="Phillips"/>
    <s v="Finance Analyst"/>
    <s v="HR"/>
    <s v="Yorkshire"/>
    <s v="Sarah Green"/>
    <s v="Linkedln"/>
    <d v="2025-02-12T00:00:00"/>
    <x v="11"/>
    <n v="2025"/>
    <s v=""/>
    <s v=""/>
    <s v=""/>
    <s v=""/>
    <s v="Rejected"/>
    <n v="50972"/>
    <m/>
    <s v="Mark"/>
    <s v="Prefer not to say"/>
    <n v="3.4"/>
    <n v="1"/>
    <n v="0"/>
    <n v="1"/>
    <n v="0"/>
  </r>
  <r>
    <s v="APP0056"/>
    <s v="CAND1087"/>
    <s v="Frances Ryan"/>
    <s v="Frances"/>
    <s v="Ryan"/>
    <s v="Data Analyst"/>
    <s v="Finance"/>
    <s v="South East"/>
    <s v="Emma Wilson"/>
    <s v="Linkedln"/>
    <d v="2024-06-15T00:00:00"/>
    <x v="13"/>
    <n v="2024"/>
    <s v=""/>
    <s v=""/>
    <s v=""/>
    <s v=""/>
    <s v="Rejected"/>
    <n v="36413"/>
    <m/>
    <s v="Joe"/>
    <s v="Female"/>
    <n v="4.4000000000000004"/>
    <n v="1"/>
    <n v="0"/>
    <n v="1"/>
    <n v="0"/>
  </r>
  <r>
    <s v="APP0057"/>
    <s v="CAND1023"/>
    <s v="Shirley Russell Gill"/>
    <s v="Shirley"/>
    <s v="Gill"/>
    <s v="Business Analyst"/>
    <s v="Commercial"/>
    <s v="Midlands"/>
    <s v="Michael Patel"/>
    <s v="CV Library"/>
    <d v="2024-12-13T00:00:00"/>
    <x v="14"/>
    <n v="2024"/>
    <d v="2025-01-12T00:00:00"/>
    <d v="2025-01-09T00:00:00"/>
    <s v=""/>
    <s v=""/>
    <s v="Offered"/>
    <n v="50813"/>
    <n v="54082"/>
    <s v="Rebecca"/>
    <s v="Female"/>
    <n v="4"/>
    <n v="1"/>
    <n v="0"/>
    <n v="0"/>
    <n v="1"/>
  </r>
  <r>
    <s v="APP0058"/>
    <s v="CAND1126"/>
    <s v="Donna John"/>
    <s v="Donna"/>
    <s v="John"/>
    <s v="Reporting Analyst"/>
    <s v="Commercial"/>
    <s v="Yorkshire"/>
    <s v="Michael Patel"/>
    <s v="Linkedln"/>
    <d v="2025-05-07T00:00:00"/>
    <x v="16"/>
    <n v="2025"/>
    <s v=""/>
    <s v=""/>
    <s v=""/>
    <s v=""/>
    <s v="Rejected"/>
    <n v="29541"/>
    <m/>
    <s v="Joe"/>
    <s v="Male"/>
    <n v="2.1"/>
    <n v="1"/>
    <n v="0"/>
    <n v="1"/>
    <n v="0"/>
  </r>
  <r>
    <s v="APP0059"/>
    <s v="CAND1087"/>
    <s v="Rita Burke"/>
    <s v="Rita"/>
    <s v="Burke"/>
    <s v="Data Analyst"/>
    <s v="Finance"/>
    <s v="Yorkshire"/>
    <s v="Emma Wilson"/>
    <s v="Linkedln"/>
    <d v="2024-02-10T00:00:00"/>
    <x v="2"/>
    <n v="2024"/>
    <d v="2024-02-27T00:00:00"/>
    <d v="2024-02-25T00:00:00"/>
    <d v="2024-03-21T00:00:00"/>
    <n v="40"/>
    <s v="Hired"/>
    <n v="43147"/>
    <n v="42406"/>
    <s v="Rebecca"/>
    <s v="Male"/>
    <n v="3.1"/>
    <n v="1"/>
    <n v="0"/>
    <n v="0"/>
    <n v="1"/>
  </r>
  <r>
    <s v="APP0060"/>
    <s v="CAND1175"/>
    <s v="Barbara Tucker"/>
    <s v="Barbara"/>
    <s v="Tucker"/>
    <s v="BI Analyst"/>
    <s v="Operations"/>
    <s v="London"/>
    <s v="Tom Davies"/>
    <s v="Referral"/>
    <d v="2025-01-13T00:00:00"/>
    <x v="10"/>
    <n v="2025"/>
    <s v=""/>
    <s v=""/>
    <s v=""/>
    <s v=""/>
    <s v="Rejected"/>
    <n v="37498"/>
    <m/>
    <s v="Helen"/>
    <s v="Male"/>
    <n v="2.4"/>
    <n v="1"/>
    <n v="0"/>
    <n v="1"/>
    <n v="0"/>
  </r>
  <r>
    <s v="APP0061"/>
    <s v="CAND1236"/>
    <s v="Susan Browne Jackson"/>
    <s v="Susan"/>
    <s v="Jackson"/>
    <s v="HR Analyst"/>
    <s v="HR"/>
    <s v="Midlands"/>
    <s v="Michael Patel"/>
    <s v="Linkedln"/>
    <d v="2024-03-29T00:00:00"/>
    <x v="3"/>
    <n v="2024"/>
    <s v=""/>
    <s v=""/>
    <s v=""/>
    <s v=""/>
    <s v="Withdrawn"/>
    <n v="48404"/>
    <m/>
    <s v="Joe"/>
    <s v="Female"/>
    <n v="2.4"/>
    <n v="1"/>
    <n v="1"/>
    <n v="0"/>
    <n v="0"/>
  </r>
  <r>
    <s v="APP0062"/>
    <s v="CAND1234"/>
    <s v="Jeffrey Patterson"/>
    <s v="Jeffrey"/>
    <s v="Patterson"/>
    <s v="Data Analyst"/>
    <s v="Finance"/>
    <s v="Midlands"/>
    <s v="Sarah Green"/>
    <s v="Linkedln"/>
    <d v="2024-08-06T00:00:00"/>
    <x v="0"/>
    <n v="2024"/>
    <s v=""/>
    <s v=""/>
    <s v=""/>
    <s v=""/>
    <s v="Applied"/>
    <n v="32933"/>
    <m/>
    <s v="Mark"/>
    <s v="Female"/>
    <n v="3"/>
    <n v="1"/>
    <n v="0"/>
    <n v="0"/>
    <n v="0"/>
  </r>
  <r>
    <s v="APP0063"/>
    <s v="CAND1106"/>
    <s v="Andrew Williams"/>
    <s v="Andrew"/>
    <s v="Williams"/>
    <s v="Data Analyst"/>
    <s v="HR"/>
    <s v="South East"/>
    <s v="Sarah Green"/>
    <s v="Indeed"/>
    <d v="2024-12-27T00:00:00"/>
    <x v="14"/>
    <n v="2024"/>
    <s v=""/>
    <s v=""/>
    <s v=""/>
    <s v=""/>
    <s v="Applied"/>
    <n v="38199"/>
    <m/>
    <s v="Anna"/>
    <s v="Male"/>
    <n v="2.6"/>
    <n v="1"/>
    <n v="0"/>
    <n v="0"/>
    <n v="0"/>
  </r>
  <r>
    <s v="APP0064"/>
    <s v="CAND1165"/>
    <s v="Jamie Carey"/>
    <s v="Jamie"/>
    <s v="Carey"/>
    <s v="HR Analyst"/>
    <s v="Technology"/>
    <s v="Midlands"/>
    <s v="Emma Wilson"/>
    <s v="Referral"/>
    <d v="2024-08-29T00:00:00"/>
    <x v="0"/>
    <n v="2024"/>
    <s v=""/>
    <s v=""/>
    <s v=""/>
    <s v=""/>
    <s v="Rejected"/>
    <n v="41832"/>
    <m/>
    <s v="Joe"/>
    <s v="Female"/>
    <n v="4.4000000000000004"/>
    <n v="1"/>
    <n v="0"/>
    <n v="1"/>
    <n v="0"/>
  </r>
  <r>
    <s v="APP0065"/>
    <s v="CAND1123"/>
    <s v="Leonard Lloyd"/>
    <s v="Leonard"/>
    <s v="Lloyd"/>
    <s v="Finance Analyst"/>
    <s v="Commercial"/>
    <s v="South East"/>
    <s v="Michael Patel"/>
    <s v="Linkedln"/>
    <d v="2024-03-08T00:00:00"/>
    <x v="3"/>
    <n v="2024"/>
    <d v="2024-03-31T00:00:00"/>
    <d v="2024-03-23T00:00:00"/>
    <d v="2024-04-26T00:00:00"/>
    <n v="49"/>
    <s v="Hired"/>
    <n v="38809"/>
    <n v="37212"/>
    <s v="Joe"/>
    <s v="Male"/>
    <n v="4.2"/>
    <n v="1"/>
    <n v="0"/>
    <n v="0"/>
    <n v="1"/>
  </r>
  <r>
    <s v="APP0066"/>
    <s v="CAND1174"/>
    <s v="Lynne Morris"/>
    <s v="Lynne"/>
    <s v="Morris"/>
    <s v="Finance Analyst"/>
    <s v="Commercial"/>
    <s v="Midlands"/>
    <s v="Tom Davies"/>
    <s v="CV Library"/>
    <d v="2024-11-01T00:00:00"/>
    <x v="7"/>
    <n v="2024"/>
    <s v=""/>
    <s v=""/>
    <s v=""/>
    <s v=""/>
    <s v="Rejected"/>
    <n v="49724"/>
    <m/>
    <s v="Joe"/>
    <s v="Male"/>
    <n v="3.4"/>
    <n v="1"/>
    <n v="0"/>
    <n v="1"/>
    <n v="0"/>
  </r>
  <r>
    <s v="APP0067"/>
    <s v="CAND1201"/>
    <s v="Ann Barker"/>
    <s v="Ann"/>
    <s v="Barker"/>
    <s v="HR Analyst"/>
    <s v="HR"/>
    <s v="Scotland"/>
    <s v="James Clarke"/>
    <s v="Linkedln"/>
    <d v="2024-01-11T00:00:00"/>
    <x v="9"/>
    <n v="2024"/>
    <s v=""/>
    <s v=""/>
    <s v=""/>
    <s v=""/>
    <s v="Withdrawn"/>
    <n v="45671"/>
    <m/>
    <s v="Joe"/>
    <s v="Female"/>
    <n v="2.4"/>
    <n v="1"/>
    <n v="1"/>
    <n v="0"/>
    <n v="0"/>
  </r>
  <r>
    <s v="APP0068"/>
    <s v="CAND1180"/>
    <s v="Amy Coleman"/>
    <s v="Amy"/>
    <s v="Coleman"/>
    <s v="HR Analyst"/>
    <s v="Finance"/>
    <s v="London"/>
    <s v="Michael Patel"/>
    <s v="Reed"/>
    <d v="2024-12-02T00:00:00"/>
    <x v="14"/>
    <n v="2024"/>
    <s v=""/>
    <s v=""/>
    <s v=""/>
    <s v=""/>
    <s v="Applied"/>
    <n v="48447"/>
    <m/>
    <s v="Anna"/>
    <s v="Male"/>
    <n v="2.1"/>
    <n v="1"/>
    <n v="0"/>
    <n v="0"/>
    <n v="0"/>
  </r>
  <r>
    <s v="APP0069"/>
    <s v="CAND1007"/>
    <s v="Rachael George"/>
    <s v="Rachael"/>
    <s v="George"/>
    <s v="HR Analyst"/>
    <s v="Technology"/>
    <s v="Scotland"/>
    <s v="Sarah Green"/>
    <s v="Linkedln"/>
    <d v="2025-04-06T00:00:00"/>
    <x v="8"/>
    <n v="2025"/>
    <s v=""/>
    <s v=""/>
    <s v=""/>
    <s v=""/>
    <s v="Rejected"/>
    <n v="42167"/>
    <m/>
    <s v="Mark"/>
    <s v="Female"/>
    <n v="3.2"/>
    <n v="1"/>
    <n v="0"/>
    <n v="1"/>
    <n v="0"/>
  </r>
  <r>
    <s v="APP0070"/>
    <s v="CAND1175"/>
    <s v="Barbara Bishop Green"/>
    <s v="Barbara"/>
    <s v="Green"/>
    <s v="Reporting Analyst"/>
    <s v="Operations"/>
    <s v="Yorkshire"/>
    <s v="Michael Patel"/>
    <s v="Linkedln"/>
    <d v="2024-02-23T00:00:00"/>
    <x v="2"/>
    <n v="2024"/>
    <d v="2024-03-19T00:00:00"/>
    <s v=""/>
    <s v=""/>
    <s v=""/>
    <s v="Interviewed"/>
    <n v="46045"/>
    <m/>
    <s v="Joe"/>
    <s v="Prefer not to say"/>
    <n v="2.9"/>
    <n v="1"/>
    <n v="0"/>
    <n v="0"/>
    <n v="1"/>
  </r>
  <r>
    <s v="APP0071"/>
    <s v="CAND1138"/>
    <s v="Victoria Smith"/>
    <s v="Victoria"/>
    <s v="Smith"/>
    <s v="Data Analyst"/>
    <s v="Finance"/>
    <s v="East Midlands"/>
    <s v="Emma Wilson"/>
    <s v="Reed"/>
    <d v="2024-08-20T00:00:00"/>
    <x v="0"/>
    <n v="2024"/>
    <s v=""/>
    <s v=""/>
    <s v=""/>
    <s v=""/>
    <s v="Rejected"/>
    <n v="34310"/>
    <m/>
    <s v="Joe"/>
    <s v="Female"/>
    <n v="4.3"/>
    <n v="1"/>
    <n v="0"/>
    <n v="1"/>
    <n v="0"/>
  </r>
  <r>
    <s v="APP0072"/>
    <s v="CAND1173"/>
    <s v="Nicole Murray"/>
    <s v="Nicole"/>
    <s v="Murray"/>
    <s v="Business Analyst"/>
    <s v="Operations"/>
    <s v="North West"/>
    <s v="Emma Wilson"/>
    <s v="Indeed"/>
    <d v="2024-03-03T00:00:00"/>
    <x v="3"/>
    <n v="2024"/>
    <d v="2024-03-27T00:00:00"/>
    <d v="2024-04-13T00:00:00"/>
    <s v=""/>
    <s v=""/>
    <s v="Offered"/>
    <n v="46030"/>
    <n v="47097"/>
    <s v="Anna"/>
    <s v="Male"/>
    <n v="3.9"/>
    <n v="1"/>
    <n v="0"/>
    <n v="0"/>
    <n v="1"/>
  </r>
  <r>
    <s v="APP0073"/>
    <s v="CAND1022"/>
    <s v="Andrea Richardson Dobson"/>
    <s v="Andrea"/>
    <s v="Dobson"/>
    <s v="Data Analyst"/>
    <s v="Technology"/>
    <s v="London"/>
    <s v="James Clarke"/>
    <s v="CV Library"/>
    <d v="2024-05-02T00:00:00"/>
    <x v="5"/>
    <n v="2024"/>
    <s v=""/>
    <s v=""/>
    <s v=""/>
    <s v=""/>
    <s v="Rejected"/>
    <n v="41765"/>
    <m/>
    <s v="Mark"/>
    <s v="Male"/>
    <n v="3.9"/>
    <n v="1"/>
    <n v="0"/>
    <n v="1"/>
    <n v="0"/>
  </r>
  <r>
    <s v="APP0074"/>
    <s v="CAND1122"/>
    <s v="Michelle King"/>
    <s v="Michelle"/>
    <s v="King"/>
    <s v="Data Analyst"/>
    <s v="HR"/>
    <s v="South East"/>
    <s v="Sarah Green"/>
    <s v="Linkedln"/>
    <d v="2024-01-23T00:00:00"/>
    <x v="9"/>
    <n v="2024"/>
    <s v=""/>
    <s v=""/>
    <s v=""/>
    <s v=""/>
    <s v="Applied"/>
    <n v="51338"/>
    <m/>
    <s v="Rebecca"/>
    <s v="Prefer not to say"/>
    <n v="3.4"/>
    <n v="1"/>
    <n v="0"/>
    <n v="0"/>
    <n v="0"/>
  </r>
  <r>
    <s v="APP0075"/>
    <s v="CAND1204"/>
    <s v="Lorraine Woods"/>
    <s v="Lorraine"/>
    <s v="Woods"/>
    <s v="Data Analyst"/>
    <s v="Finance"/>
    <s v="Midlands"/>
    <s v="Tom Davies"/>
    <s v="Linkedln"/>
    <d v="2024-09-08T00:00:00"/>
    <x v="4"/>
    <n v="2024"/>
    <s v=""/>
    <s v=""/>
    <s v=""/>
    <s v=""/>
    <s v="Applied"/>
    <n v="44062"/>
    <m/>
    <s v="Joe"/>
    <s v="Male"/>
    <n v="3.2"/>
    <n v="1"/>
    <n v="0"/>
    <n v="0"/>
    <n v="0"/>
  </r>
  <r>
    <s v="APP0076"/>
    <s v="CAND1173"/>
    <s v="Katy Godfrey"/>
    <s v="Katy"/>
    <s v="Godfrey"/>
    <s v="Finance Analyst"/>
    <s v="Finance"/>
    <s v="East Midlands"/>
    <s v="Tom Davies"/>
    <s v="Indeed"/>
    <d v="2025-04-11T00:00:00"/>
    <x v="8"/>
    <n v="2025"/>
    <s v=""/>
    <s v=""/>
    <s v=""/>
    <s v=""/>
    <s v="Withdrawn"/>
    <n v="46574"/>
    <m/>
    <s v="Joe"/>
    <s v="Female"/>
    <n v="3.3"/>
    <n v="1"/>
    <n v="1"/>
    <n v="0"/>
    <n v="0"/>
  </r>
  <r>
    <s v="APP0077"/>
    <s v="CAND1017"/>
    <s v="Elliot Smith Wilkinson"/>
    <s v="Elliot"/>
    <s v="Wilkinson"/>
    <s v="Business Analyst"/>
    <s v="Operations"/>
    <s v="Scotland"/>
    <s v="Sarah Green"/>
    <s v="Linkedln"/>
    <d v="2024-11-17T00:00:00"/>
    <x v="7"/>
    <n v="2024"/>
    <s v=""/>
    <s v=""/>
    <s v=""/>
    <s v=""/>
    <s v="Rejected"/>
    <n v="32625"/>
    <m/>
    <s v="Anna"/>
    <s v="Prefer not to say"/>
    <n v="2.2999999999999998"/>
    <n v="1"/>
    <n v="0"/>
    <n v="1"/>
    <n v="0"/>
  </r>
  <r>
    <s v="APP0078"/>
    <s v="CAND1173"/>
    <s v="Raymond Young"/>
    <s v="Raymond"/>
    <s v="Young"/>
    <s v="Business Analyst"/>
    <s v="Operations"/>
    <s v="Yorkshire"/>
    <s v="Emma Wilson"/>
    <s v="Linkedln"/>
    <d v="2024-10-24T00:00:00"/>
    <x v="15"/>
    <n v="2024"/>
    <s v=""/>
    <s v=""/>
    <s v=""/>
    <s v=""/>
    <s v="Rejected"/>
    <n v="31162"/>
    <m/>
    <s v="Joe"/>
    <s v="Male"/>
    <n v="2.9"/>
    <n v="1"/>
    <n v="0"/>
    <n v="1"/>
    <n v="0"/>
  </r>
  <r>
    <s v="APP0079"/>
    <s v="CAND1067"/>
    <s v="Lauren Payne"/>
    <s v="Lauren"/>
    <s v="Payne"/>
    <s v="Finance Analyst"/>
    <s v="HR"/>
    <s v="Midlands"/>
    <s v="Tom Davies"/>
    <s v="Indeed"/>
    <d v="2024-12-16T00:00:00"/>
    <x v="14"/>
    <n v="2024"/>
    <s v=""/>
    <s v=""/>
    <s v=""/>
    <s v=""/>
    <s v="Rejected"/>
    <n v="45762"/>
    <m/>
    <s v="Mark"/>
    <s v="Prefer not to say"/>
    <n v="3.8"/>
    <n v="1"/>
    <n v="0"/>
    <n v="1"/>
    <n v="0"/>
  </r>
  <r>
    <s v="APP0080"/>
    <s v="CAND1223"/>
    <s v="Geoffrey Wilson Kay"/>
    <s v="Geoffrey"/>
    <s v="Kay"/>
    <s v="HR Analyst"/>
    <s v="Commercial"/>
    <s v="South East"/>
    <s v="Emma Wilson"/>
    <s v="Indeed"/>
    <d v="2024-04-11T00:00:00"/>
    <x v="6"/>
    <n v="2024"/>
    <d v="2024-04-23T00:00:00"/>
    <d v="2024-05-02T00:00:00"/>
    <s v=""/>
    <s v=""/>
    <s v="Offered"/>
    <n v="47874"/>
    <n v="49964"/>
    <s v="Rebecca"/>
    <s v="Prefer not to say"/>
    <m/>
    <n v="1"/>
    <n v="0"/>
    <n v="0"/>
    <n v="1"/>
  </r>
  <r>
    <s v="APP0081"/>
    <s v="CAND1209"/>
    <s v="Conor Barnes"/>
    <s v="Conor"/>
    <s v="Barnes"/>
    <s v="HR Analyst"/>
    <s v="Technology"/>
    <s v="Scotland"/>
    <s v="Emma Wilson"/>
    <s v="Indeed"/>
    <d v="2024-11-30T00:00:00"/>
    <x v="7"/>
    <n v="2024"/>
    <s v=""/>
    <s v=""/>
    <s v=""/>
    <s v=""/>
    <s v="Rejected"/>
    <n v="31908"/>
    <m/>
    <s v="Helen"/>
    <s v="Female"/>
    <n v="3"/>
    <n v="1"/>
    <n v="0"/>
    <n v="1"/>
    <n v="0"/>
  </r>
  <r>
    <s v="APP0082"/>
    <s v="CAND1157"/>
    <s v="Janet Turner"/>
    <s v="Janet"/>
    <s v="Turner"/>
    <s v="HR Analyst"/>
    <s v="Finance"/>
    <s v="Midlands"/>
    <s v="Michael Patel"/>
    <s v="Referral"/>
    <d v="2024-08-24T00:00:00"/>
    <x v="0"/>
    <n v="2024"/>
    <s v=""/>
    <s v=""/>
    <s v=""/>
    <s v=""/>
    <s v="Rejected"/>
    <n v="49458"/>
    <m/>
    <s v="Joe"/>
    <s v="Male"/>
    <n v="4.7"/>
    <n v="1"/>
    <n v="0"/>
    <n v="1"/>
    <n v="0"/>
  </r>
  <r>
    <s v="APP0083"/>
    <s v="CAND1205"/>
    <s v="Fiona Savage"/>
    <s v="Fiona"/>
    <s v="Savage"/>
    <s v="Business Analyst"/>
    <s v="Operations"/>
    <s v="Yorkshire"/>
    <s v="Sarah Green"/>
    <s v="Referral"/>
    <d v="2024-06-25T00:00:00"/>
    <x v="13"/>
    <n v="2024"/>
    <d v="2024-07-23T00:00:00"/>
    <d v="2024-07-14T00:00:00"/>
    <s v=""/>
    <s v=""/>
    <s v="Offered"/>
    <n v="41675"/>
    <n v="43986"/>
    <s v="Rebecca"/>
    <s v="Female"/>
    <n v="3.7"/>
    <n v="1"/>
    <n v="0"/>
    <n v="0"/>
    <n v="1"/>
  </r>
  <r>
    <s v="APP0084"/>
    <s v="CAND1215"/>
    <s v="Marian Cook"/>
    <s v="Marian"/>
    <s v="Cook"/>
    <s v="Reporting Analyst"/>
    <s v="Technology"/>
    <s v="North West"/>
    <s v="Sarah Green"/>
    <s v="Linkedln"/>
    <d v="2024-09-17T00:00:00"/>
    <x v="4"/>
    <n v="2024"/>
    <d v="2024-09-24T00:00:00"/>
    <s v=""/>
    <s v=""/>
    <s v=""/>
    <s v="Interviewed"/>
    <n v="35356"/>
    <m/>
    <s v="Helen"/>
    <s v="Female"/>
    <n v="4.5"/>
    <n v="1"/>
    <n v="0"/>
    <n v="0"/>
    <n v="1"/>
  </r>
  <r>
    <s v="APP0085"/>
    <s v="CAND1021"/>
    <s v="Paul Miller"/>
    <s v="Paul"/>
    <s v="Miller"/>
    <s v="Business Analyst"/>
    <s v="Technology"/>
    <s v="South East"/>
    <s v="Emma Wilson"/>
    <s v="Indeed"/>
    <d v="2024-06-30T00:00:00"/>
    <x v="13"/>
    <n v="2024"/>
    <d v="2024-07-12T00:00:00"/>
    <d v="2024-07-31T00:00:00"/>
    <d v="2024-07-26T00:00:00"/>
    <n v="26"/>
    <s v="Hired"/>
    <n v="47308"/>
    <n v="49200"/>
    <s v="Joe"/>
    <s v="Prefer not to say"/>
    <n v="4.5"/>
    <n v="1"/>
    <n v="0"/>
    <n v="0"/>
    <n v="1"/>
  </r>
  <r>
    <s v="APP0086"/>
    <s v="CAND1186"/>
    <s v="Caroline Russell"/>
    <s v="Caroline"/>
    <s v="Russell"/>
    <s v="HR Analyst"/>
    <s v="Technology"/>
    <s v="North West"/>
    <s v="James Clarke"/>
    <s v="CV Library"/>
    <d v="2024-11-22T00:00:00"/>
    <x v="7"/>
    <n v="2024"/>
    <d v="2024-12-04T00:00:00"/>
    <s v=""/>
    <s v=""/>
    <s v=""/>
    <s v="Interviewed"/>
    <n v="35437"/>
    <m/>
    <s v="Anna"/>
    <s v="Prefer not to say"/>
    <n v="4.2"/>
    <n v="1"/>
    <n v="0"/>
    <n v="0"/>
    <n v="1"/>
  </r>
  <r>
    <s v="APP0087"/>
    <s v="CAND1020"/>
    <s v="Louise Chadwick"/>
    <s v="Louise"/>
    <s v="Chadwick"/>
    <s v="Data Analyst"/>
    <s v="HR"/>
    <s v="South East"/>
    <s v="Michael Patel"/>
    <s v="Referral"/>
    <d v="2024-07-26T00:00:00"/>
    <x v="1"/>
    <n v="2024"/>
    <d v="2024-08-20T00:00:00"/>
    <s v=""/>
    <s v=""/>
    <s v=""/>
    <s v="Interviewed"/>
    <n v="29033"/>
    <m/>
    <s v="Rebecca"/>
    <s v="Prefer not to say"/>
    <n v="4.8"/>
    <n v="1"/>
    <n v="0"/>
    <n v="0"/>
    <n v="1"/>
  </r>
  <r>
    <s v="APP0088"/>
    <s v="CAND1230"/>
    <s v="Christopher Taylor"/>
    <s v="Christopher"/>
    <s v="Taylor"/>
    <s v="HR Analyst"/>
    <s v="HR"/>
    <s v="London"/>
    <s v="Tom Davies"/>
    <s v="Reed"/>
    <d v="2025-02-16T00:00:00"/>
    <x v="11"/>
    <n v="2025"/>
    <s v=""/>
    <s v=""/>
    <s v=""/>
    <s v=""/>
    <s v="Applied"/>
    <n v="43841"/>
    <m/>
    <s v="Joe"/>
    <s v="Female"/>
    <n v="4.5999999999999996"/>
    <n v="1"/>
    <n v="0"/>
    <n v="0"/>
    <n v="0"/>
  </r>
  <r>
    <s v="APP0089"/>
    <s v="CAND1080"/>
    <s v="Paula Jackson"/>
    <s v="Paula"/>
    <s v="Jackson"/>
    <s v="Data Analyst"/>
    <s v="Finance"/>
    <s v="Yorkshire"/>
    <s v="Emma Wilson"/>
    <s v="Indeed"/>
    <d v="2024-10-18T00:00:00"/>
    <x v="15"/>
    <n v="2024"/>
    <s v=""/>
    <s v=""/>
    <s v=""/>
    <s v=""/>
    <s v="Applied"/>
    <n v="28352"/>
    <m/>
    <s v="Rebecca"/>
    <s v="Female"/>
    <n v="3.1"/>
    <n v="1"/>
    <n v="0"/>
    <n v="0"/>
    <n v="0"/>
  </r>
  <r>
    <s v="APP0090"/>
    <s v="CAND1134"/>
    <s v="Bethany Begum"/>
    <s v="Bethany"/>
    <s v="Begum"/>
    <s v="Reporting Analyst"/>
    <s v="Commercial"/>
    <s v="Yorkshire"/>
    <s v="Emma Wilson"/>
    <s v="Referral"/>
    <d v="2025-04-20T00:00:00"/>
    <x v="8"/>
    <n v="2025"/>
    <d v="2025-05-18T00:00:00"/>
    <s v=""/>
    <s v=""/>
    <s v=""/>
    <s v="Interviewed"/>
    <n v="36244"/>
    <m/>
    <s v="Mark"/>
    <s v="Female"/>
    <n v="3.2"/>
    <n v="1"/>
    <n v="0"/>
    <n v="0"/>
    <n v="1"/>
  </r>
  <r>
    <s v="APP0091"/>
    <s v="CAND1003"/>
    <s v="Sally Hawkins Sanders"/>
    <s v="Sally"/>
    <s v="Sanders"/>
    <s v="Finance Analyst"/>
    <s v="Commercial"/>
    <s v="East Midlands"/>
    <s v="Sarah Green"/>
    <s v="Linkedln"/>
    <d v="2024-10-07T00:00:00"/>
    <x v="15"/>
    <n v="2024"/>
    <d v="2024-11-01T00:00:00"/>
    <s v=""/>
    <s v=""/>
    <s v=""/>
    <s v="Interviewed"/>
    <n v="44770"/>
    <m/>
    <s v="Rebecca"/>
    <s v="Female"/>
    <n v="3.8"/>
    <n v="1"/>
    <n v="0"/>
    <n v="0"/>
    <n v="1"/>
  </r>
  <r>
    <s v="APP0092"/>
    <s v="CAND1034"/>
    <s v="Norman Williams"/>
    <s v="Norman"/>
    <s v="Williams"/>
    <s v="Finance Analyst"/>
    <s v="Technology"/>
    <s v="London"/>
    <s v="Sarah Green"/>
    <s v="Indeed"/>
    <d v="2024-03-21T00:00:00"/>
    <x v="3"/>
    <n v="2024"/>
    <s v=""/>
    <s v=""/>
    <s v=""/>
    <s v=""/>
    <s v="Applied"/>
    <n v="29639"/>
    <m/>
    <s v="Rebecca"/>
    <s v="Prefer not to say"/>
    <n v="4.3"/>
    <n v="1"/>
    <n v="0"/>
    <n v="0"/>
    <n v="0"/>
  </r>
  <r>
    <s v="APP0093"/>
    <s v="CAND1135"/>
    <s v="Harry Graham"/>
    <s v="Harry"/>
    <s v="Graham"/>
    <s v="Reporting Analyst"/>
    <s v="Commercial"/>
    <s v="South East"/>
    <s v="James Clarke"/>
    <s v="Referral"/>
    <d v="2024-11-30T00:00:00"/>
    <x v="7"/>
    <n v="2024"/>
    <d v="2024-12-08T00:00:00"/>
    <s v=""/>
    <s v=""/>
    <s v=""/>
    <s v="Interviewed"/>
    <n v="44653"/>
    <m/>
    <s v="Mark"/>
    <s v="Female"/>
    <n v="2.7"/>
    <n v="1"/>
    <n v="0"/>
    <n v="0"/>
    <n v="1"/>
  </r>
  <r>
    <s v="APP0094"/>
    <s v="CAND1110"/>
    <s v="Rachel O'Connor"/>
    <s v="Rachel"/>
    <s v="O'Connor"/>
    <s v="HR Analyst"/>
    <s v="HR"/>
    <s v="South East"/>
    <s v="Sarah Green"/>
    <s v="Linkedln"/>
    <d v="2024-07-18T00:00:00"/>
    <x v="1"/>
    <n v="2024"/>
    <s v=""/>
    <s v=""/>
    <s v=""/>
    <s v=""/>
    <s v="Applied"/>
    <n v="50131"/>
    <m/>
    <s v="Helen"/>
    <s v="Female"/>
    <n v="4.2"/>
    <n v="1"/>
    <n v="0"/>
    <n v="0"/>
    <n v="0"/>
  </r>
  <r>
    <s v="APP0095"/>
    <s v="CAND1143"/>
    <s v="Kyle Green"/>
    <s v="Kyle"/>
    <s v="Green"/>
    <s v="BI Analyst"/>
    <s v="HR"/>
    <s v="North West"/>
    <s v="Emma Wilson"/>
    <s v="Linkedln"/>
    <d v="2025-02-28T00:00:00"/>
    <x v="11"/>
    <n v="2025"/>
    <d v="2025-03-27T00:00:00"/>
    <s v=""/>
    <s v=""/>
    <s v=""/>
    <s v="Interviewed"/>
    <n v="29691"/>
    <m/>
    <s v="Helen"/>
    <s v="Male"/>
    <n v="2.9"/>
    <n v="1"/>
    <n v="0"/>
    <n v="0"/>
    <n v="1"/>
  </r>
  <r>
    <s v="APP0096"/>
    <s v="CAND1020"/>
    <s v="Barry Thorpe"/>
    <s v="Barry"/>
    <s v="Thorpe"/>
    <s v="Data Analyst"/>
    <s v="HR"/>
    <s v="Midlands"/>
    <s v="Sarah Green"/>
    <s v="Linkedln"/>
    <d v="2024-05-10T00:00:00"/>
    <x v="5"/>
    <n v="2024"/>
    <s v=""/>
    <s v=""/>
    <s v=""/>
    <s v=""/>
    <s v="Applied"/>
    <n v="45176"/>
    <m/>
    <s v="Anna"/>
    <s v="Prefer not to say"/>
    <n v="3.5"/>
    <n v="1"/>
    <n v="0"/>
    <n v="0"/>
    <n v="0"/>
  </r>
  <r>
    <s v="APP0097"/>
    <s v="CAND1115"/>
    <s v="Martin Browne Patel"/>
    <s v="Martin"/>
    <s v="Patel"/>
    <s v="Finance Analyst"/>
    <s v="Technology"/>
    <s v="Scotland"/>
    <s v="Tom Davies"/>
    <s v="Linkedln"/>
    <d v="2024-06-11T00:00:00"/>
    <x v="13"/>
    <n v="2024"/>
    <d v="2024-06-22T00:00:00"/>
    <d v="2024-07-06T00:00:00"/>
    <d v="2024-08-06T00:00:00"/>
    <n v="56"/>
    <s v="Hired"/>
    <n v="30117"/>
    <n v="33263"/>
    <s v="Mark"/>
    <s v="Male"/>
    <n v="2.5"/>
    <n v="1"/>
    <n v="0"/>
    <n v="0"/>
    <n v="1"/>
  </r>
  <r>
    <s v="APP0098"/>
    <s v="CAND1058"/>
    <s v="Lorraine Cooper"/>
    <s v="Lorraine"/>
    <s v="Cooper"/>
    <s v="Data Analyst"/>
    <s v="HR"/>
    <s v="Midlands"/>
    <s v="Tom Davies"/>
    <s v="Linkedln"/>
    <d v="2024-07-03T00:00:00"/>
    <x v="1"/>
    <n v="2024"/>
    <d v="2024-07-09T00:00:00"/>
    <s v=""/>
    <s v=""/>
    <s v=""/>
    <s v="Interviewed"/>
    <n v="31037"/>
    <m/>
    <s v="Anna"/>
    <s v="Male"/>
    <n v="3"/>
    <n v="1"/>
    <n v="0"/>
    <n v="0"/>
    <n v="1"/>
  </r>
  <r>
    <s v="APP0099"/>
    <s v="CAND1131"/>
    <s v="Adrian Powell"/>
    <s v="Adrian"/>
    <s v="Powell"/>
    <s v="BI Analyst"/>
    <s v="HR"/>
    <s v="East Midlands"/>
    <s v="James Clarke"/>
    <s v="Linkedln"/>
    <d v="2025-02-19T00:00:00"/>
    <x v="11"/>
    <n v="2025"/>
    <d v="2025-03-18T00:00:00"/>
    <s v=""/>
    <s v=""/>
    <s v=""/>
    <s v="Interviewed"/>
    <n v="34556"/>
    <m/>
    <s v="Rebecca"/>
    <s v="Male"/>
    <n v="3.7"/>
    <n v="1"/>
    <n v="0"/>
    <n v="0"/>
    <n v="1"/>
  </r>
  <r>
    <s v="APP0100"/>
    <s v="CAND1171"/>
    <s v="Jay Dixon"/>
    <s v="Jay"/>
    <s v="Dixon"/>
    <s v="Data Analyst"/>
    <s v="Operations"/>
    <s v="Midlands"/>
    <s v="James Clarke"/>
    <s v="Indeed"/>
    <d v="2024-07-03T00:00:00"/>
    <x v="1"/>
    <n v="2024"/>
    <s v=""/>
    <s v=""/>
    <s v=""/>
    <s v=""/>
    <s v="Applied"/>
    <n v="51375"/>
    <m/>
    <s v="Helen"/>
    <s v="Female"/>
    <n v="3.6"/>
    <n v="1"/>
    <n v="0"/>
    <n v="0"/>
    <n v="0"/>
  </r>
  <r>
    <s v="APP0101"/>
    <s v="CAND1213"/>
    <s v="Elaine Young"/>
    <s v="Elaine"/>
    <s v="Young"/>
    <s v="Finance Analyst"/>
    <s v="Operations"/>
    <s v="South East"/>
    <s v="Sarah Green"/>
    <s v="CV Library"/>
    <d v="2024-09-14T00:00:00"/>
    <x v="4"/>
    <n v="2024"/>
    <s v=""/>
    <s v=""/>
    <s v=""/>
    <s v=""/>
    <s v="Rejected"/>
    <n v="36335"/>
    <m/>
    <s v="Rebecca"/>
    <s v="Male"/>
    <n v="4.5999999999999996"/>
    <n v="1"/>
    <n v="0"/>
    <n v="1"/>
    <n v="0"/>
  </r>
  <r>
    <s v="APP0102"/>
    <s v="CAND1008"/>
    <s v="Melanie Wright"/>
    <s v="Melanie"/>
    <s v="Wright"/>
    <s v="Reporting Analyst"/>
    <s v="HR"/>
    <s v="East Midlands"/>
    <s v="Emma Wilson"/>
    <s v="Linkedln"/>
    <d v="2025-03-23T00:00:00"/>
    <x v="12"/>
    <n v="2025"/>
    <d v="2025-04-08T00:00:00"/>
    <d v="2025-04-17T00:00:00"/>
    <s v=""/>
    <s v=""/>
    <s v="Offered"/>
    <n v="41843"/>
    <n v="38877"/>
    <s v="Joe"/>
    <s v="Male"/>
    <n v="3.2"/>
    <n v="1"/>
    <n v="0"/>
    <n v="0"/>
    <n v="1"/>
  </r>
  <r>
    <s v="APP0103"/>
    <s v="CAND1139"/>
    <s v="Katherine Whittaker"/>
    <s v="Katherine"/>
    <s v="Whittaker"/>
    <s v="BI Analyst"/>
    <s v="HR"/>
    <s v="Midlands"/>
    <s v="James Clarke"/>
    <s v="Linkedln"/>
    <d v="2024-11-18T00:00:00"/>
    <x v="7"/>
    <n v="2024"/>
    <d v="2024-11-28T00:00:00"/>
    <d v="2024-12-25T00:00:00"/>
    <d v="2024-12-28T00:00:00"/>
    <n v="40"/>
    <s v="Hired"/>
    <n v="38124"/>
    <n v="40408"/>
    <s v="Helen"/>
    <s v="Prefer not to say"/>
    <n v="2.4"/>
    <n v="1"/>
    <n v="0"/>
    <n v="0"/>
    <n v="1"/>
  </r>
  <r>
    <s v="APP0104"/>
    <s v="CAND1243"/>
    <s v="Jacob Taylor"/>
    <s v="Jacob"/>
    <s v="Taylor"/>
    <s v="BI Analyst"/>
    <s v="Commercial"/>
    <s v="East Midlands"/>
    <s v="Michael Patel"/>
    <s v="Linkedln"/>
    <d v="2025-02-21T00:00:00"/>
    <x v="11"/>
    <n v="2025"/>
    <s v=""/>
    <s v=""/>
    <s v=""/>
    <s v=""/>
    <s v="Rejected"/>
    <n v="37650"/>
    <m/>
    <s v="Joe"/>
    <s v="Female"/>
    <n v="3.9"/>
    <n v="1"/>
    <n v="0"/>
    <n v="1"/>
    <n v="0"/>
  </r>
  <r>
    <s v="APP0105"/>
    <s v="CAND1240"/>
    <s v="Maurice Lee"/>
    <s v="Maurice"/>
    <s v="Lee"/>
    <s v="Business Analyst"/>
    <s v="Commercial"/>
    <s v="East Midlands"/>
    <s v="James Clarke"/>
    <s v="Indeed"/>
    <d v="2024-02-26T00:00:00"/>
    <x v="2"/>
    <n v="2024"/>
    <s v=""/>
    <s v=""/>
    <s v=""/>
    <s v=""/>
    <s v="Applied"/>
    <n v="46953"/>
    <m/>
    <s v="Mark"/>
    <s v="Female"/>
    <n v="4.7"/>
    <n v="1"/>
    <n v="0"/>
    <n v="0"/>
    <n v="0"/>
  </r>
  <r>
    <s v="APP0106"/>
    <s v="CAND1162"/>
    <s v="Adam Hussain"/>
    <s v="Adam"/>
    <s v="Hussain"/>
    <s v="Finance Analyst"/>
    <s v="Operations"/>
    <s v="North West"/>
    <s v="Emma Wilson"/>
    <s v="CV Library"/>
    <d v="2024-03-14T00:00:00"/>
    <x v="3"/>
    <n v="2024"/>
    <s v=""/>
    <s v=""/>
    <s v=""/>
    <s v=""/>
    <s v="Applied"/>
    <n v="28955"/>
    <m/>
    <s v="Mark"/>
    <s v="Female"/>
    <n v="3.7"/>
    <n v="1"/>
    <n v="0"/>
    <n v="0"/>
    <n v="0"/>
  </r>
  <r>
    <s v="APP0107"/>
    <s v="CAND1025"/>
    <s v="Gary Adams"/>
    <s v="Gary"/>
    <s v="Adams"/>
    <s v="Finance Analyst"/>
    <s v="Commercial"/>
    <s v="South East"/>
    <s v="Emma Wilson"/>
    <s v="Reed"/>
    <d v="2024-06-04T00:00:00"/>
    <x v="13"/>
    <n v="2024"/>
    <d v="2024-06-29T00:00:00"/>
    <d v="2024-07-07T00:00:00"/>
    <s v=""/>
    <s v=""/>
    <s v="Offered"/>
    <n v="37558"/>
    <n v="39981"/>
    <s v="Rebecca"/>
    <s v="Female"/>
    <n v="2.4"/>
    <n v="1"/>
    <n v="0"/>
    <n v="0"/>
    <n v="1"/>
  </r>
  <r>
    <s v="APP0108"/>
    <s v="CAND1212"/>
    <s v="Mohamed Moss"/>
    <s v="Mohamed"/>
    <s v="Moss"/>
    <s v="Business Analyst"/>
    <s v="Technology"/>
    <s v="East Midlands"/>
    <s v="Tom Davies"/>
    <s v="Linkedln"/>
    <d v="2024-05-23T00:00:00"/>
    <x v="5"/>
    <n v="2024"/>
    <d v="2024-06-11T00:00:00"/>
    <d v="2024-06-12T00:00:00"/>
    <s v=""/>
    <s v=""/>
    <s v="Offered"/>
    <n v="28282"/>
    <n v="27996"/>
    <s v="Rebecca"/>
    <s v="Prefer not to say"/>
    <n v="2.4"/>
    <n v="1"/>
    <n v="0"/>
    <n v="0"/>
    <n v="1"/>
  </r>
  <r>
    <s v="APP0109"/>
    <s v="CAND1013"/>
    <s v="Lynn Davey"/>
    <s v="Lynn"/>
    <s v="Davey"/>
    <s v="HR Analyst"/>
    <s v="Operations"/>
    <s v="East Midlands"/>
    <s v="Emma Wilson"/>
    <s v="Linkedln"/>
    <d v="2024-05-10T00:00:00"/>
    <x v="5"/>
    <n v="2024"/>
    <d v="2024-05-18T00:00:00"/>
    <d v="2024-06-23T00:00:00"/>
    <d v="2024-06-13T00:00:00"/>
    <n v="34"/>
    <s v="Hired"/>
    <n v="40603"/>
    <n v="43909"/>
    <s v="Joe"/>
    <s v="Prefer not to say"/>
    <n v="4.3"/>
    <n v="1"/>
    <n v="0"/>
    <n v="0"/>
    <n v="1"/>
  </r>
  <r>
    <s v="APP0110"/>
    <s v="CAND1005"/>
    <s v="Ruth Williams"/>
    <s v="Ruth"/>
    <s v="Williams"/>
    <s v="BI Analyst"/>
    <s v="Finance"/>
    <s v="East Midlands"/>
    <s v="Tom Davies"/>
    <s v="Reed"/>
    <d v="2024-02-27T00:00:00"/>
    <x v="2"/>
    <n v="2024"/>
    <s v=""/>
    <s v=""/>
    <s v=""/>
    <s v=""/>
    <s v="Applied"/>
    <n v="32716"/>
    <m/>
    <s v="Helen"/>
    <s v="Male"/>
    <n v="5"/>
    <n v="1"/>
    <n v="0"/>
    <n v="0"/>
    <n v="0"/>
  </r>
  <r>
    <s v="APP0111"/>
    <s v="CAND1113"/>
    <s v="Natasha Harding"/>
    <s v="Natasha"/>
    <s v="Harding"/>
    <s v="Business Analyst"/>
    <s v="HR"/>
    <s v="South East"/>
    <s v="Tom Davies"/>
    <s v="Referral"/>
    <d v="2025-01-27T00:00:00"/>
    <x v="10"/>
    <n v="2025"/>
    <s v=""/>
    <s v=""/>
    <s v=""/>
    <s v=""/>
    <s v="Withdrawn"/>
    <n v="48799"/>
    <m/>
    <s v="Anna"/>
    <s v="Prefer not to say"/>
    <n v="4.0999999999999996"/>
    <n v="1"/>
    <n v="1"/>
    <n v="0"/>
    <n v="0"/>
  </r>
  <r>
    <s v="APP0112"/>
    <s v="CAND1236"/>
    <s v="Peter Smith"/>
    <s v="Peter"/>
    <s v="Smith"/>
    <s v="Data Analyst"/>
    <s v="HR"/>
    <s v="Midlands"/>
    <s v="Sarah Green"/>
    <s v="Referral"/>
    <d v="2024-11-27T00:00:00"/>
    <x v="7"/>
    <n v="2024"/>
    <s v=""/>
    <s v=""/>
    <s v=""/>
    <s v=""/>
    <s v="Rejected"/>
    <n v="50511"/>
    <m/>
    <s v="Joe"/>
    <s v="Male"/>
    <n v="3.6"/>
    <n v="1"/>
    <n v="0"/>
    <n v="1"/>
    <n v="0"/>
  </r>
  <r>
    <s v="APP0113"/>
    <s v="CAND1042"/>
    <s v="Marcus Jones"/>
    <s v="Marcus"/>
    <s v="Jones"/>
    <s v="Data Analyst"/>
    <s v="HR"/>
    <s v="North West"/>
    <s v="Emma Wilson"/>
    <s v="Linkedln"/>
    <d v="2024-02-17T00:00:00"/>
    <x v="2"/>
    <n v="2024"/>
    <s v=""/>
    <s v=""/>
    <s v=""/>
    <s v=""/>
    <s v="Rejected"/>
    <n v="36699"/>
    <m/>
    <s v="Anna"/>
    <s v="Male"/>
    <n v="3.1"/>
    <n v="1"/>
    <n v="0"/>
    <n v="1"/>
    <n v="0"/>
  </r>
  <r>
    <s v="APP0114"/>
    <s v="CAND1008"/>
    <s v="Dale Begum"/>
    <s v="Dale"/>
    <s v="Begum"/>
    <s v="HR Analyst"/>
    <s v="Finance"/>
    <s v="East Midlands"/>
    <s v="Michael Patel"/>
    <s v="Linkedln"/>
    <d v="2024-09-25T00:00:00"/>
    <x v="4"/>
    <n v="2024"/>
    <s v=""/>
    <s v=""/>
    <s v=""/>
    <s v=""/>
    <s v="Applied"/>
    <n v="42036"/>
    <m/>
    <s v="Helen"/>
    <s v="Prefer not to say"/>
    <n v="3.4"/>
    <n v="1"/>
    <n v="0"/>
    <n v="0"/>
    <n v="0"/>
  </r>
  <r>
    <s v="APP0115"/>
    <s v="CAND1045"/>
    <s v="Chloe Dixon"/>
    <s v="Chloe"/>
    <s v="Dixon"/>
    <s v="Data Analyst"/>
    <s v="Commercial"/>
    <s v="London"/>
    <s v="James Clarke"/>
    <s v="Linkedln"/>
    <d v="2024-07-11T00:00:00"/>
    <x v="1"/>
    <n v="2024"/>
    <s v=""/>
    <s v=""/>
    <s v=""/>
    <s v=""/>
    <s v="Rejected"/>
    <n v="36611"/>
    <m/>
    <s v="Rebecca"/>
    <s v="Female"/>
    <n v="4.5"/>
    <n v="1"/>
    <n v="0"/>
    <n v="1"/>
    <n v="0"/>
  </r>
  <r>
    <s v="APP0116"/>
    <s v="CAND1130"/>
    <s v="Mary Thompson"/>
    <s v="Mary"/>
    <s v="Thompson"/>
    <s v="Finance Analyst"/>
    <s v="HR"/>
    <s v="North West"/>
    <s v="Tom Davies"/>
    <s v="Reed"/>
    <d v="2024-02-13T00:00:00"/>
    <x v="2"/>
    <n v="2024"/>
    <s v=""/>
    <s v=""/>
    <s v=""/>
    <s v=""/>
    <s v="Applied"/>
    <n v="46266"/>
    <m/>
    <s v="Rebecca"/>
    <s v="Female"/>
    <n v="4.7"/>
    <n v="1"/>
    <n v="0"/>
    <n v="0"/>
    <n v="0"/>
  </r>
  <r>
    <s v="APP0117"/>
    <s v="CAND1074"/>
    <s v="Jason Tomlinson"/>
    <s v="Jason"/>
    <s v="Tomlinson"/>
    <s v="Finance Analyst"/>
    <s v="Commercial"/>
    <s v="East Midlands"/>
    <s v="Tom Davies"/>
    <s v="Reed"/>
    <d v="2025-03-25T00:00:00"/>
    <x v="12"/>
    <n v="2025"/>
    <d v="2025-04-02T00:00:00"/>
    <s v=""/>
    <s v=""/>
    <s v=""/>
    <s v="Interviewed"/>
    <n v="37414"/>
    <m/>
    <s v="Joe"/>
    <s v="Male"/>
    <n v="2.7"/>
    <n v="1"/>
    <n v="0"/>
    <n v="0"/>
    <n v="1"/>
  </r>
  <r>
    <s v="APP0118"/>
    <s v="CAND1185"/>
    <s v="Valerie Carter"/>
    <s v="Valerie"/>
    <s v="Carter"/>
    <s v="HR Analyst"/>
    <s v="Operations"/>
    <s v="South East"/>
    <s v="James Clarke"/>
    <s v="Referral"/>
    <d v="2024-04-01T00:00:00"/>
    <x v="6"/>
    <n v="2024"/>
    <s v=""/>
    <s v=""/>
    <s v=""/>
    <s v=""/>
    <s v="Applied"/>
    <n v="32302"/>
    <m/>
    <s v="Anna"/>
    <s v="Prefer not to say"/>
    <n v="4.4000000000000004"/>
    <n v="1"/>
    <n v="0"/>
    <n v="0"/>
    <n v="0"/>
  </r>
  <r>
    <s v="APP0119"/>
    <s v="CAND1017"/>
    <s v="Julia Summers"/>
    <s v="Julia"/>
    <s v="Summers"/>
    <s v="Finance Analyst"/>
    <s v="Operations"/>
    <s v="East Midlands"/>
    <s v="Tom Davies"/>
    <s v="CV Library"/>
    <d v="2025-02-16T00:00:00"/>
    <x v="11"/>
    <n v="2025"/>
    <s v=""/>
    <s v=""/>
    <s v=""/>
    <s v=""/>
    <s v="Applied"/>
    <n v="41530"/>
    <m/>
    <s v="Anna"/>
    <s v="Female"/>
    <n v="4.7"/>
    <n v="1"/>
    <n v="0"/>
    <n v="0"/>
    <n v="0"/>
  </r>
  <r>
    <s v="APP0120"/>
    <s v="CAND1051"/>
    <s v="Rosie Robertson"/>
    <s v="Rosie"/>
    <s v="Robertson"/>
    <s v="Business Analyst"/>
    <s v="Finance"/>
    <s v="Midlands"/>
    <s v="Emma Wilson"/>
    <s v="CV Library"/>
    <d v="2025-04-17T00:00:00"/>
    <x v="8"/>
    <n v="2025"/>
    <s v=""/>
    <s v=""/>
    <s v=""/>
    <s v=""/>
    <s v="Rejected"/>
    <n v="31357"/>
    <m/>
    <s v="Joe"/>
    <s v="Prefer not to say"/>
    <n v="3.9"/>
    <n v="1"/>
    <n v="0"/>
    <n v="1"/>
    <n v="0"/>
  </r>
  <r>
    <s v="APP0121"/>
    <s v="CAND1076"/>
    <s v="Marie Powell"/>
    <s v="Marie"/>
    <s v="Powell"/>
    <s v="BI Analyst"/>
    <s v="Operations"/>
    <s v="London"/>
    <s v="James Clarke"/>
    <s v="Linkedln"/>
    <d v="2024-08-31T00:00:00"/>
    <x v="0"/>
    <n v="2024"/>
    <s v=""/>
    <s v=""/>
    <s v=""/>
    <s v=""/>
    <s v="Rejected"/>
    <n v="37399"/>
    <m/>
    <s v="Anna"/>
    <s v="Male"/>
    <n v="2.1"/>
    <n v="1"/>
    <n v="0"/>
    <n v="1"/>
    <n v="0"/>
  </r>
  <r>
    <s v="APP0122"/>
    <s v="CAND1109"/>
    <s v="Toby Ball"/>
    <s v="Toby"/>
    <s v="Ball"/>
    <s v="Finance Analyst"/>
    <s v="HR"/>
    <s v="East Midlands"/>
    <s v="Tom Davies"/>
    <s v="Referral"/>
    <d v="2025-04-13T00:00:00"/>
    <x v="8"/>
    <n v="2025"/>
    <d v="2025-05-13T00:00:00"/>
    <d v="2025-05-08T00:00:00"/>
    <s v=""/>
    <s v=""/>
    <s v="Offered"/>
    <n v="44009"/>
    <n v="42486"/>
    <s v="Mark"/>
    <s v="Prefer not to say"/>
    <n v="2.8"/>
    <n v="1"/>
    <n v="0"/>
    <n v="0"/>
    <n v="1"/>
  </r>
  <r>
    <s v="APP0123"/>
    <s v="CAND1101"/>
    <s v="Matthew Willis"/>
    <s v="Matthew"/>
    <s v="Willis"/>
    <s v="BI Analyst"/>
    <s v="Commercial"/>
    <s v="East Midlands"/>
    <s v="James Clarke"/>
    <s v="Linkedln"/>
    <d v="2024-12-04T00:00:00"/>
    <x v="14"/>
    <n v="2024"/>
    <d v="2025-01-03T00:00:00"/>
    <d v="2025-01-02T00:00:00"/>
    <s v=""/>
    <s v=""/>
    <s v="Offered"/>
    <n v="39148"/>
    <n v="42401"/>
    <s v="Rebecca"/>
    <s v="Prefer not to say"/>
    <n v="2.6"/>
    <n v="1"/>
    <n v="0"/>
    <n v="0"/>
    <n v="1"/>
  </r>
  <r>
    <s v="APP0124"/>
    <s v="CAND1009"/>
    <s v="Richard Stanley"/>
    <s v="Richard"/>
    <s v="Stanley"/>
    <s v="HR Analyst"/>
    <s v="Operations"/>
    <s v="Scotland"/>
    <s v="Sarah Green"/>
    <s v="Referral"/>
    <d v="2024-04-06T00:00:00"/>
    <x v="6"/>
    <n v="2024"/>
    <d v="2024-04-18T00:00:00"/>
    <s v=""/>
    <s v=""/>
    <s v=""/>
    <s v="Interviewed"/>
    <n v="40438"/>
    <m/>
    <s v="Joe"/>
    <s v="Male"/>
    <n v="4"/>
    <n v="1"/>
    <n v="0"/>
    <n v="0"/>
    <n v="1"/>
  </r>
  <r>
    <s v="APP0125"/>
    <s v="CAND1142"/>
    <s v="Francesca Barton Rowe"/>
    <s v="Francesca"/>
    <s v="Rowe"/>
    <s v="BI Analyst"/>
    <s v="Finance"/>
    <s v="London"/>
    <s v="Michael Patel"/>
    <s v="Referral"/>
    <d v="2024-03-22T00:00:00"/>
    <x v="3"/>
    <n v="2024"/>
    <s v=""/>
    <s v=""/>
    <s v=""/>
    <s v=""/>
    <s v="Withdrawn"/>
    <n v="28932"/>
    <m/>
    <s v="Anna"/>
    <s v="Female"/>
    <n v="3.6"/>
    <n v="1"/>
    <n v="1"/>
    <n v="0"/>
    <n v="0"/>
  </r>
  <r>
    <s v="APP0126"/>
    <s v="CAND1114"/>
    <s v="Terence Simpson"/>
    <s v="Terence"/>
    <s v="Simpson"/>
    <s v="BI Analyst"/>
    <s v="Operations"/>
    <s v="Yorkshire"/>
    <s v="Michael Patel"/>
    <s v="Linkedln"/>
    <d v="2024-02-20T00:00:00"/>
    <x v="2"/>
    <n v="2024"/>
    <d v="2024-03-12T00:00:00"/>
    <s v=""/>
    <s v=""/>
    <s v=""/>
    <s v="Interviewed"/>
    <n v="39847"/>
    <m/>
    <s v="Rebecca"/>
    <s v="Prefer not to say"/>
    <n v="2.9"/>
    <n v="1"/>
    <n v="0"/>
    <n v="0"/>
    <n v="1"/>
  </r>
  <r>
    <s v="APP0127"/>
    <s v="CAND1227"/>
    <s v="Callum King"/>
    <s v="Callum"/>
    <s v="King"/>
    <s v="Data Analyst"/>
    <s v="Operations"/>
    <s v="Yorkshire"/>
    <s v="Michael Patel"/>
    <s v="Indeed"/>
    <d v="2025-03-18T00:00:00"/>
    <x v="12"/>
    <n v="2025"/>
    <d v="2025-04-03T00:00:00"/>
    <d v="2025-04-09T00:00:00"/>
    <s v=""/>
    <s v=""/>
    <s v="Offered"/>
    <n v="49923"/>
    <n v="48271"/>
    <s v="Rebecca"/>
    <s v="Female"/>
    <n v="2.8"/>
    <n v="1"/>
    <n v="0"/>
    <n v="0"/>
    <n v="1"/>
  </r>
  <r>
    <s v="APP0128"/>
    <s v="CAND1057"/>
    <s v="William Bryant"/>
    <s v="William"/>
    <s v="Bryant"/>
    <s v="Business Analyst"/>
    <s v="Operations"/>
    <s v="Scotland"/>
    <s v="James Clarke"/>
    <s v="Referral"/>
    <d v="2025-01-11T00:00:00"/>
    <x v="10"/>
    <n v="2025"/>
    <s v=""/>
    <s v=""/>
    <s v=""/>
    <s v=""/>
    <s v="Rejected"/>
    <n v="51921"/>
    <m/>
    <s v="Mark"/>
    <s v="Male"/>
    <n v="2.4"/>
    <n v="1"/>
    <n v="0"/>
    <n v="1"/>
    <n v="0"/>
  </r>
  <r>
    <s v="APP0129"/>
    <s v="CAND1176"/>
    <s v="Henry Knight"/>
    <s v="Henry"/>
    <s v="Knight"/>
    <s v="Reporting Analyst"/>
    <s v="HR"/>
    <s v="Midlands"/>
    <s v="Sarah Green"/>
    <s v="Linkedln"/>
    <d v="2024-07-09T00:00:00"/>
    <x v="1"/>
    <n v="2024"/>
    <d v="2024-08-05T00:00:00"/>
    <d v="2024-08-18T00:00:00"/>
    <d v="2024-09-07T00:00:00"/>
    <n v="60"/>
    <s v="Hired"/>
    <n v="35794"/>
    <n v="38904"/>
    <s v="Anna"/>
    <s v="Prefer not to say"/>
    <n v="3.7"/>
    <n v="1"/>
    <n v="0"/>
    <n v="0"/>
    <n v="1"/>
  </r>
  <r>
    <s v="APP0130"/>
    <s v="CAND1245"/>
    <s v="John Blake"/>
    <s v="John"/>
    <s v="Blake"/>
    <s v="Data Analyst"/>
    <s v="Operations"/>
    <s v="Yorkshire"/>
    <s v="Tom Davies"/>
    <s v="Reed"/>
    <d v="2025-04-24T00:00:00"/>
    <x v="8"/>
    <n v="2025"/>
    <s v=""/>
    <s v=""/>
    <s v=""/>
    <s v=""/>
    <s v="Rejected"/>
    <n v="34504"/>
    <m/>
    <s v="Rebecca"/>
    <s v="Male"/>
    <n v="2.7"/>
    <n v="1"/>
    <n v="0"/>
    <n v="1"/>
    <n v="0"/>
  </r>
  <r>
    <s v="APP0131"/>
    <s v="CAND1182"/>
    <s v="Stewart Smith"/>
    <s v="Stewart"/>
    <s v="Smith"/>
    <s v="Finance Analyst"/>
    <s v="Technology"/>
    <s v="North West"/>
    <s v="James Clarke"/>
    <s v="CV Library"/>
    <d v="2025-01-22T00:00:00"/>
    <x v="10"/>
    <n v="2025"/>
    <s v=""/>
    <s v=""/>
    <s v=""/>
    <s v=""/>
    <s v="Rejected"/>
    <n v="43590"/>
    <m/>
    <s v="Rebecca"/>
    <s v="Male"/>
    <n v="3.4"/>
    <n v="1"/>
    <n v="0"/>
    <n v="1"/>
    <n v="0"/>
  </r>
  <r>
    <s v="APP0132"/>
    <s v="CAND1206"/>
    <s v="Reece O'Brien Hawkins"/>
    <s v="Reece"/>
    <s v="Hawkins"/>
    <s v="HR Analyst"/>
    <s v="Commercial"/>
    <s v="Scotland"/>
    <s v="James Clarke"/>
    <s v="Reed"/>
    <d v="2024-01-10T00:00:00"/>
    <x v="9"/>
    <n v="2024"/>
    <d v="2024-01-28T00:00:00"/>
    <d v="2024-02-16T00:00:00"/>
    <d v="2024-02-09T00:00:00"/>
    <n v="30"/>
    <s v="Hired"/>
    <n v="41560"/>
    <n v="41245"/>
    <s v="Rebecca"/>
    <s v="Male"/>
    <n v="3.4"/>
    <n v="1"/>
    <n v="0"/>
    <n v="0"/>
    <n v="1"/>
  </r>
  <r>
    <s v="APP0133"/>
    <s v="CAND1027"/>
    <s v="Sean Dunn"/>
    <s v="Sean"/>
    <s v="Dunn"/>
    <s v="Data Analyst"/>
    <s v="Operations"/>
    <s v="East Midlands"/>
    <s v="Emma Wilson"/>
    <s v="Linkedln"/>
    <d v="2024-10-01T00:00:00"/>
    <x v="15"/>
    <n v="2024"/>
    <d v="2024-10-09T00:00:00"/>
    <d v="2024-10-19T00:00:00"/>
    <d v="2024-12-11T00:00:00"/>
    <n v="71"/>
    <s v="Hired"/>
    <n v="47828"/>
    <n v="51807"/>
    <s v="Helen"/>
    <s v="Female"/>
    <m/>
    <n v="1"/>
    <n v="0"/>
    <n v="0"/>
    <n v="1"/>
  </r>
  <r>
    <s v="APP0134"/>
    <s v="CAND1155"/>
    <s v="Sam Rees"/>
    <s v="Sam"/>
    <s v="Rees"/>
    <s v="Reporting Analyst"/>
    <s v="Finance"/>
    <s v="East Midlands"/>
    <s v="Sarah Green"/>
    <s v="Linkedln"/>
    <d v="2024-02-17T00:00:00"/>
    <x v="2"/>
    <n v="2024"/>
    <s v=""/>
    <s v=""/>
    <s v=""/>
    <s v=""/>
    <s v="Applied"/>
    <n v="44515"/>
    <m/>
    <s v="Mark"/>
    <s v="Female"/>
    <n v="3.1"/>
    <n v="1"/>
    <n v="0"/>
    <n v="0"/>
    <n v="0"/>
  </r>
  <r>
    <s v="APP0135"/>
    <s v="CAND1051"/>
    <s v="Andrew Coles"/>
    <s v="Andrew"/>
    <s v="Coles"/>
    <s v="Data Analyst"/>
    <s v="Operations"/>
    <s v="London"/>
    <s v="Tom Davies"/>
    <s v="Linkedln"/>
    <d v="2024-07-30T00:00:00"/>
    <x v="1"/>
    <n v="2024"/>
    <s v=""/>
    <s v=""/>
    <s v=""/>
    <s v=""/>
    <s v="Applied"/>
    <n v="32620"/>
    <m/>
    <s v="Helen"/>
    <s v="Female"/>
    <m/>
    <n v="1"/>
    <n v="0"/>
    <n v="0"/>
    <n v="0"/>
  </r>
  <r>
    <s v="APP0136"/>
    <s v="CAND1106"/>
    <s v="Marian Mccarthy"/>
    <s v="Marian"/>
    <s v="Mccarthy"/>
    <s v="HR Analyst"/>
    <s v="Operations"/>
    <s v="East Midlands"/>
    <s v="Sarah Green"/>
    <s v="Linkedln"/>
    <d v="2024-04-10T00:00:00"/>
    <x v="6"/>
    <n v="2024"/>
    <d v="2024-04-30T00:00:00"/>
    <d v="2024-05-10T00:00:00"/>
    <s v=""/>
    <s v=""/>
    <s v="Offered"/>
    <n v="40444"/>
    <n v="41387"/>
    <s v="Helen"/>
    <s v="Female"/>
    <n v="4.5999999999999996"/>
    <n v="1"/>
    <n v="0"/>
    <n v="0"/>
    <n v="1"/>
  </r>
  <r>
    <s v="APP0137"/>
    <s v="CAND1010"/>
    <s v="Tracey Gordon"/>
    <s v="Tracey"/>
    <s v="Gordon"/>
    <s v="Data Analyst"/>
    <s v="HR"/>
    <s v="East Midlands"/>
    <s v="James Clarke"/>
    <s v="Linkedln"/>
    <d v="2024-08-06T00:00:00"/>
    <x v="0"/>
    <n v="2024"/>
    <s v=""/>
    <s v=""/>
    <s v=""/>
    <s v=""/>
    <s v="Applied"/>
    <n v="31564"/>
    <m/>
    <s v="Helen"/>
    <s v="Prefer not to say"/>
    <n v="3.4"/>
    <n v="1"/>
    <n v="0"/>
    <n v="0"/>
    <n v="0"/>
  </r>
  <r>
    <s v="APP0138"/>
    <s v="CAND1217"/>
    <s v="Janice Thompson"/>
    <s v="Janice"/>
    <s v="Thompson"/>
    <s v="Data Analyst"/>
    <s v="Commercial"/>
    <s v="North West"/>
    <s v="Tom Davies"/>
    <s v="Reed"/>
    <d v="2025-05-07T00:00:00"/>
    <x v="16"/>
    <n v="2025"/>
    <s v=""/>
    <s v=""/>
    <s v=""/>
    <s v=""/>
    <s v="Rejected"/>
    <n v="44997"/>
    <m/>
    <s v="Joe"/>
    <s v="Male"/>
    <n v="3.5"/>
    <n v="1"/>
    <n v="0"/>
    <n v="1"/>
    <n v="0"/>
  </r>
  <r>
    <s v="APP0139"/>
    <s v="CAND1212"/>
    <s v="Jemma Anderson Woods"/>
    <s v="Jemma"/>
    <s v="Woods"/>
    <s v="HR Analyst"/>
    <s v="Commercial"/>
    <s v="London"/>
    <s v="Michael Patel"/>
    <s v="Linkedln"/>
    <d v="2024-06-22T00:00:00"/>
    <x v="13"/>
    <n v="2024"/>
    <s v=""/>
    <s v=""/>
    <s v=""/>
    <s v=""/>
    <s v="Applied"/>
    <n v="51982"/>
    <m/>
    <s v="Mark"/>
    <s v="Female"/>
    <n v="3.4"/>
    <n v="1"/>
    <n v="0"/>
    <n v="0"/>
    <n v="0"/>
  </r>
  <r>
    <s v="APP0140"/>
    <s v="CAND1096"/>
    <s v="Brian Brown Sanders"/>
    <s v="Brian"/>
    <s v="Sanders"/>
    <s v="Data Analyst"/>
    <s v="Commercial"/>
    <s v="East Midlands"/>
    <s v="Emma Wilson"/>
    <s v="Indeed"/>
    <d v="2024-10-08T00:00:00"/>
    <x v="15"/>
    <n v="2024"/>
    <s v=""/>
    <s v=""/>
    <s v=""/>
    <s v=""/>
    <s v="Rejected"/>
    <n v="30515"/>
    <m/>
    <s v="Mark"/>
    <s v="Female"/>
    <n v="3"/>
    <n v="1"/>
    <n v="0"/>
    <n v="1"/>
    <n v="0"/>
  </r>
  <r>
    <s v="APP0141"/>
    <s v="CAND1043"/>
    <s v="Amelia Jones"/>
    <s v="Amelia"/>
    <s v="Jones"/>
    <s v="Business Analyst"/>
    <s v="Operations"/>
    <s v="Yorkshire"/>
    <s v="Tom Davies"/>
    <s v="Reed"/>
    <d v="2024-06-12T00:00:00"/>
    <x v="13"/>
    <n v="2024"/>
    <s v=""/>
    <s v=""/>
    <s v=""/>
    <s v=""/>
    <s v="Rejected"/>
    <n v="43608"/>
    <m/>
    <s v="Rebecca"/>
    <s v="Female"/>
    <n v="4.9000000000000004"/>
    <n v="1"/>
    <n v="0"/>
    <n v="1"/>
    <n v="0"/>
  </r>
  <r>
    <s v="APP0142"/>
    <s v="CAND1154"/>
    <s v="Joseph Bradshaw Lewis"/>
    <s v="Joseph"/>
    <s v="Lewis"/>
    <s v="HR Analyst"/>
    <s v="Operations"/>
    <s v="North West"/>
    <s v="James Clarke"/>
    <s v="Linkedln"/>
    <d v="2024-12-07T00:00:00"/>
    <x v="14"/>
    <n v="2024"/>
    <d v="2024-12-31T00:00:00"/>
    <s v=""/>
    <s v=""/>
    <s v=""/>
    <s v="Interviewed"/>
    <n v="34992"/>
    <m/>
    <s v="Mark"/>
    <s v="Female"/>
    <n v="2.4"/>
    <n v="1"/>
    <n v="0"/>
    <n v="0"/>
    <n v="1"/>
  </r>
  <r>
    <s v="APP0143"/>
    <s v="CAND1164"/>
    <s v="Francesca Bolton"/>
    <s v="Francesca"/>
    <s v="Bolton"/>
    <s v="Business Analyst"/>
    <s v="Commercial"/>
    <s v="London"/>
    <s v="Tom Davies"/>
    <s v="Linkedln"/>
    <d v="2024-12-30T00:00:00"/>
    <x v="14"/>
    <n v="2024"/>
    <d v="2025-01-21T00:00:00"/>
    <s v=""/>
    <s v=""/>
    <s v=""/>
    <s v="Interviewed"/>
    <n v="31037"/>
    <m/>
    <s v="Joe"/>
    <s v="Male"/>
    <n v="3.5"/>
    <n v="1"/>
    <n v="0"/>
    <n v="0"/>
    <n v="1"/>
  </r>
  <r>
    <s v="APP0144"/>
    <s v="CAND1187"/>
    <s v="Kirsty Scott"/>
    <s v="Kirsty"/>
    <s v="Scott"/>
    <s v="Reporting Analyst"/>
    <s v="Commercial"/>
    <s v="Scotland"/>
    <s v="Tom Davies"/>
    <s v="Linkedln"/>
    <d v="2024-09-06T00:00:00"/>
    <x v="4"/>
    <n v="2024"/>
    <d v="2024-09-25T00:00:00"/>
    <d v="2024-09-30T00:00:00"/>
    <d v="2024-11-20T00:00:00"/>
    <n v="75"/>
    <s v="Hired"/>
    <n v="47971"/>
    <n v="49277"/>
    <s v="Anna"/>
    <s v="Female"/>
    <n v="3"/>
    <n v="1"/>
    <n v="0"/>
    <n v="0"/>
    <n v="1"/>
  </r>
  <r>
    <s v="APP0145"/>
    <s v="CAND1125"/>
    <s v="Joseph Watson"/>
    <s v="Joseph"/>
    <s v="Watson"/>
    <s v="Reporting Analyst"/>
    <s v="HR"/>
    <s v="South East"/>
    <s v="Emma Wilson"/>
    <s v="Linkedln"/>
    <d v="2025-03-25T00:00:00"/>
    <x v="12"/>
    <n v="2025"/>
    <d v="2025-04-04T00:00:00"/>
    <d v="2025-04-21T00:00:00"/>
    <d v="2025-05-20T00:00:00"/>
    <n v="56"/>
    <s v="Hired"/>
    <n v="35185"/>
    <n v="33053"/>
    <s v="Helen"/>
    <s v="Prefer not to say"/>
    <m/>
    <n v="1"/>
    <n v="0"/>
    <n v="0"/>
    <n v="1"/>
  </r>
  <r>
    <s v="APP0146"/>
    <s v="CAND1124"/>
    <s v="Robin Foster"/>
    <s v="Robin"/>
    <s v="Foster"/>
    <s v="Reporting Analyst"/>
    <s v="Operations"/>
    <s v="Scotland"/>
    <s v="Tom Davies"/>
    <s v="Linkedln"/>
    <d v="2024-09-25T00:00:00"/>
    <x v="4"/>
    <n v="2024"/>
    <d v="2024-10-12T00:00:00"/>
    <s v=""/>
    <s v=""/>
    <s v=""/>
    <s v="Interviewed"/>
    <n v="39266"/>
    <m/>
    <s v="Mark"/>
    <s v="Male"/>
    <n v="2.8"/>
    <n v="1"/>
    <n v="0"/>
    <n v="0"/>
    <n v="1"/>
  </r>
  <r>
    <s v="APP0147"/>
    <s v="CAND1044"/>
    <s v="Gareth Thompson"/>
    <s v="Gareth"/>
    <s v="Thompson"/>
    <s v="Reporting Analyst"/>
    <s v="Technology"/>
    <s v="London"/>
    <s v="Tom Davies"/>
    <s v="Linkedln"/>
    <d v="2024-10-08T00:00:00"/>
    <x v="15"/>
    <n v="2024"/>
    <s v=""/>
    <s v=""/>
    <s v=""/>
    <s v=""/>
    <s v="Applied"/>
    <n v="28126"/>
    <m/>
    <s v="Anna"/>
    <s v="Male"/>
    <n v="3.5"/>
    <n v="1"/>
    <n v="0"/>
    <n v="0"/>
    <n v="0"/>
  </r>
  <r>
    <s v="APP0148"/>
    <s v="CAND1021"/>
    <s v="Elliot Williams"/>
    <s v="Elliot"/>
    <s v="Williams"/>
    <s v="HR Analyst"/>
    <s v="Operations"/>
    <s v="London"/>
    <s v="James Clarke"/>
    <s v="Linkedln"/>
    <d v="2024-06-05T00:00:00"/>
    <x v="13"/>
    <n v="2024"/>
    <s v=""/>
    <s v=""/>
    <s v=""/>
    <s v=""/>
    <s v="Withdrawn"/>
    <n v="33089"/>
    <m/>
    <s v="Helen"/>
    <s v="Male"/>
    <n v="2.9"/>
    <n v="1"/>
    <n v="1"/>
    <n v="0"/>
    <n v="0"/>
  </r>
  <r>
    <s v="APP0149"/>
    <s v="CAND1203"/>
    <s v="Sheila Jones"/>
    <s v="Sheila"/>
    <s v="Jones"/>
    <s v="Finance Analyst"/>
    <s v="Operations"/>
    <s v="East Midlands"/>
    <s v="Sarah Green"/>
    <s v="Linkedln"/>
    <d v="2024-02-03T00:00:00"/>
    <x v="2"/>
    <n v="2024"/>
    <d v="2024-03-01T00:00:00"/>
    <s v=""/>
    <s v=""/>
    <s v=""/>
    <s v="Interviewed"/>
    <n v="48863"/>
    <m/>
    <s v="Mark"/>
    <s v="Prefer not to say"/>
    <n v="3.1"/>
    <n v="1"/>
    <n v="0"/>
    <n v="0"/>
    <n v="1"/>
  </r>
  <r>
    <s v="APP0150"/>
    <s v="CAND1082"/>
    <s v="Daniel Gray"/>
    <s v="Daniel"/>
    <s v="Gray"/>
    <s v="Finance Analyst"/>
    <s v="Finance"/>
    <s v="East Midlands"/>
    <s v="Tom Davies"/>
    <s v="Reed"/>
    <d v="2024-01-15T00:00:00"/>
    <x v="9"/>
    <n v="2024"/>
    <s v=""/>
    <s v=""/>
    <s v=""/>
    <s v=""/>
    <s v="Rejected"/>
    <n v="49201"/>
    <m/>
    <s v="Mark"/>
    <s v="Female"/>
    <n v="4.0999999999999996"/>
    <n v="1"/>
    <n v="0"/>
    <n v="1"/>
    <n v="0"/>
  </r>
  <r>
    <s v="APP0151"/>
    <s v="CAND1048"/>
    <s v="Michelle Dickinson"/>
    <s v="Michelle"/>
    <s v="Dickinson"/>
    <s v="HR Analyst"/>
    <s v="Commercial"/>
    <s v="Midlands"/>
    <s v="James Clarke"/>
    <s v="Linkedln"/>
    <d v="2024-01-28T00:00:00"/>
    <x v="9"/>
    <n v="2024"/>
    <d v="2024-02-17T00:00:00"/>
    <s v=""/>
    <s v=""/>
    <s v=""/>
    <s v="Interviewed"/>
    <n v="47410"/>
    <m/>
    <s v="Anna"/>
    <s v="Male"/>
    <n v="4.3"/>
    <n v="1"/>
    <n v="0"/>
    <n v="0"/>
    <n v="1"/>
  </r>
  <r>
    <s v="APP0152"/>
    <s v="CAND1163"/>
    <s v="Katherine Chamberlain"/>
    <s v="Katherine"/>
    <s v="Chamberlain"/>
    <s v="Data Analyst"/>
    <s v="HR"/>
    <s v="North West"/>
    <s v="James Clarke"/>
    <s v="Linkedln"/>
    <d v="2024-03-01T00:00:00"/>
    <x v="3"/>
    <n v="2024"/>
    <s v=""/>
    <s v=""/>
    <s v=""/>
    <s v=""/>
    <s v="Applied"/>
    <n v="33803"/>
    <m/>
    <s v="Helen"/>
    <s v="Male"/>
    <n v="3.8"/>
    <n v="1"/>
    <n v="0"/>
    <n v="0"/>
    <n v="0"/>
  </r>
  <r>
    <s v="APP0153"/>
    <s v="CAND1179"/>
    <s v="Russell Brown"/>
    <s v="Russell"/>
    <s v="Brown"/>
    <s v="Finance Analyst"/>
    <s v="Finance"/>
    <s v="North West"/>
    <s v="Tom Davies"/>
    <s v="Linkedln"/>
    <d v="2024-10-08T00:00:00"/>
    <x v="15"/>
    <n v="2024"/>
    <d v="2024-10-30T00:00:00"/>
    <d v="2024-11-17T00:00:00"/>
    <s v=""/>
    <s v=""/>
    <s v="Offered"/>
    <n v="34822"/>
    <n v="36720"/>
    <s v="Rebecca"/>
    <s v="Prefer not to say"/>
    <n v="3.8"/>
    <n v="1"/>
    <n v="0"/>
    <n v="0"/>
    <n v="1"/>
  </r>
  <r>
    <s v="APP0154"/>
    <s v="CAND1196"/>
    <s v="Lee Gilbert Williams"/>
    <s v="Lee"/>
    <s v="Williams"/>
    <s v="Reporting Analyst"/>
    <s v="Operations"/>
    <s v="Midlands"/>
    <s v="Emma Wilson"/>
    <s v="CV Library"/>
    <d v="2024-06-12T00:00:00"/>
    <x v="13"/>
    <n v="2024"/>
    <d v="2024-06-24T00:00:00"/>
    <s v=""/>
    <s v=""/>
    <s v=""/>
    <s v="Interviewed"/>
    <n v="29854"/>
    <m/>
    <s v="Helen"/>
    <s v="Prefer not to say"/>
    <n v="5"/>
    <n v="1"/>
    <n v="0"/>
    <n v="0"/>
    <n v="1"/>
  </r>
  <r>
    <s v="APP0155"/>
    <s v="CAND1226"/>
    <s v="Roger King"/>
    <s v="Roger"/>
    <s v="King"/>
    <s v="Reporting Analyst"/>
    <s v="Commercial"/>
    <s v="North West"/>
    <s v="Michael Patel"/>
    <s v="CV Library"/>
    <d v="2025-02-02T00:00:00"/>
    <x v="11"/>
    <n v="2025"/>
    <d v="2025-02-17T00:00:00"/>
    <s v=""/>
    <s v=""/>
    <s v=""/>
    <s v="Interviewed"/>
    <n v="51869"/>
    <m/>
    <s v="Helen"/>
    <s v="Female"/>
    <n v="2.8"/>
    <n v="1"/>
    <n v="0"/>
    <n v="0"/>
    <n v="1"/>
  </r>
  <r>
    <s v="APP0156"/>
    <s v="CAND1085"/>
    <s v="Martyn Collins Elliott"/>
    <s v="Martyn"/>
    <s v="Elliott"/>
    <s v="Business Analyst"/>
    <s v="Commercial"/>
    <s v="North West"/>
    <s v="James Clarke"/>
    <s v="Referral"/>
    <d v="2025-02-03T00:00:00"/>
    <x v="11"/>
    <n v="2025"/>
    <s v=""/>
    <s v=""/>
    <s v=""/>
    <s v=""/>
    <s v="Rejected"/>
    <n v="32470"/>
    <m/>
    <s v="Helen"/>
    <s v="Male"/>
    <n v="2.7"/>
    <n v="1"/>
    <n v="0"/>
    <n v="1"/>
    <n v="0"/>
  </r>
  <r>
    <s v="APP0157"/>
    <s v="CAND1192"/>
    <s v="James Barber"/>
    <s v="James"/>
    <s v="Barber"/>
    <s v="Data Analyst"/>
    <s v="Commercial"/>
    <s v="East Midlands"/>
    <s v="Sarah Green"/>
    <s v="Linkedln"/>
    <d v="2024-06-19T00:00:00"/>
    <x v="13"/>
    <n v="2024"/>
    <s v=""/>
    <s v=""/>
    <s v=""/>
    <s v=""/>
    <s v="Rejected"/>
    <n v="37524"/>
    <m/>
    <s v="Mark"/>
    <s v="Prefer not to say"/>
    <n v="4"/>
    <n v="1"/>
    <n v="0"/>
    <n v="1"/>
    <n v="0"/>
  </r>
  <r>
    <s v="APP0158"/>
    <s v="CAND1112"/>
    <s v="Amy Miah Robinson"/>
    <s v="Amy"/>
    <s v="Robinson"/>
    <s v="Finance Analyst"/>
    <s v="Operations"/>
    <s v="South East"/>
    <s v="Michael Patel"/>
    <s v="CV Library"/>
    <d v="2024-01-05T00:00:00"/>
    <x v="9"/>
    <n v="2024"/>
    <s v=""/>
    <s v=""/>
    <s v=""/>
    <s v=""/>
    <s v="Applied"/>
    <n v="36407"/>
    <m/>
    <s v="Helen"/>
    <s v="Prefer not to say"/>
    <n v="4.7"/>
    <n v="1"/>
    <n v="0"/>
    <n v="0"/>
    <n v="0"/>
  </r>
  <r>
    <s v="APP0159"/>
    <s v="CAND1231"/>
    <s v="Lauren Davies"/>
    <s v="Lauren"/>
    <s v="Davies"/>
    <s v="HR Analyst"/>
    <s v="Commercial"/>
    <s v="East Midlands"/>
    <s v="Michael Patel"/>
    <s v="Linkedln"/>
    <d v="2024-05-16T00:00:00"/>
    <x v="5"/>
    <n v="2024"/>
    <s v=""/>
    <s v=""/>
    <s v=""/>
    <s v=""/>
    <s v="Applied"/>
    <n v="41795"/>
    <m/>
    <s v="Joe"/>
    <s v="Male"/>
    <n v="4.7"/>
    <n v="1"/>
    <n v="0"/>
    <n v="0"/>
    <n v="0"/>
  </r>
  <r>
    <s v="APP0160"/>
    <s v="CAND1183"/>
    <s v="Naomi Kirk"/>
    <s v="Naomi"/>
    <s v="Kirk"/>
    <s v="Finance Analyst"/>
    <s v="Commercial"/>
    <s v="Scotland"/>
    <s v="Tom Davies"/>
    <s v="Linkedln"/>
    <d v="2024-10-18T00:00:00"/>
    <x v="15"/>
    <n v="2024"/>
    <d v="2024-11-14T00:00:00"/>
    <d v="2024-11-22T00:00:00"/>
    <d v="2024-12-06T00:00:00"/>
    <n v="49"/>
    <s v="Hired"/>
    <n v="38506"/>
    <n v="41622"/>
    <s v="Rebecca"/>
    <s v="Prefer not to say"/>
    <n v="3.8"/>
    <n v="1"/>
    <n v="0"/>
    <n v="0"/>
    <n v="1"/>
  </r>
  <r>
    <s v="APP0161"/>
    <s v="CAND1230"/>
    <s v="Katie Smith"/>
    <s v="Katie"/>
    <s v="Smith"/>
    <s v="Finance Analyst"/>
    <s v="Commercial"/>
    <s v="Scotland"/>
    <s v="James Clarke"/>
    <s v="Referral"/>
    <d v="2024-04-10T00:00:00"/>
    <x v="6"/>
    <n v="2024"/>
    <s v=""/>
    <s v=""/>
    <s v=""/>
    <s v=""/>
    <s v="Applied"/>
    <n v="29896"/>
    <m/>
    <s v="Helen"/>
    <s v="Female"/>
    <n v="3.2"/>
    <n v="1"/>
    <n v="0"/>
    <n v="0"/>
    <n v="0"/>
  </r>
  <r>
    <s v="APP0162"/>
    <s v="CAND1072"/>
    <s v="Ross Khan"/>
    <s v="Ross"/>
    <s v="Khan"/>
    <s v="HR Analyst"/>
    <s v="Operations"/>
    <s v="South East"/>
    <s v="Sarah Green"/>
    <s v="Linkedln"/>
    <d v="2024-07-09T00:00:00"/>
    <x v="1"/>
    <n v="2024"/>
    <s v=""/>
    <s v=""/>
    <s v=""/>
    <s v=""/>
    <s v="Applied"/>
    <n v="37535"/>
    <m/>
    <s v="Joe"/>
    <s v="Female"/>
    <n v="4.7"/>
    <n v="1"/>
    <n v="0"/>
    <n v="0"/>
    <n v="0"/>
  </r>
  <r>
    <s v="APP0163"/>
    <s v="CAND1219"/>
    <s v="Leonard Fuller"/>
    <s v="Leonard"/>
    <s v="Fuller"/>
    <s v="Business Analyst"/>
    <s v="Commercial"/>
    <s v="Yorkshire"/>
    <s v="Michael Patel"/>
    <s v="Linkedln"/>
    <d v="2024-05-02T00:00:00"/>
    <x v="5"/>
    <n v="2024"/>
    <d v="2024-05-16T00:00:00"/>
    <d v="2024-06-04T00:00:00"/>
    <d v="2024-07-05T00:00:00"/>
    <n v="64"/>
    <s v="Hired"/>
    <n v="38300"/>
    <n v="41107"/>
    <s v="Rebecca"/>
    <s v="Prefer not to say"/>
    <n v="4.9000000000000004"/>
    <n v="1"/>
    <n v="0"/>
    <n v="0"/>
    <n v="1"/>
  </r>
  <r>
    <s v="APP0164"/>
    <s v="CAND1175"/>
    <s v="Douglas Collins"/>
    <s v="Douglas"/>
    <s v="Collins"/>
    <s v="Finance Analyst"/>
    <s v="HR"/>
    <s v="Scotland"/>
    <s v="Tom Davies"/>
    <s v="Linkedln"/>
    <d v="2024-04-26T00:00:00"/>
    <x v="6"/>
    <n v="2024"/>
    <s v=""/>
    <s v=""/>
    <s v=""/>
    <s v=""/>
    <s v="Applied"/>
    <n v="36124"/>
    <m/>
    <s v="Mark"/>
    <s v="Female"/>
    <n v="4.3"/>
    <n v="1"/>
    <n v="0"/>
    <n v="0"/>
    <n v="0"/>
  </r>
  <r>
    <s v="APP0165"/>
    <s v="CAND1099"/>
    <s v="Jasmine Campbell"/>
    <s v="Jasmine"/>
    <s v="Campbell"/>
    <s v="Data Analyst"/>
    <s v="Finance"/>
    <s v="Scotland"/>
    <s v="James Clarke"/>
    <s v="Linkedln"/>
    <d v="2024-01-13T00:00:00"/>
    <x v="9"/>
    <n v="2024"/>
    <d v="2024-01-24T00:00:00"/>
    <s v=""/>
    <s v=""/>
    <s v=""/>
    <s v="Interviewed"/>
    <n v="33339"/>
    <m/>
    <s v="Helen"/>
    <s v="Prefer not to say"/>
    <n v="4.5999999999999996"/>
    <n v="1"/>
    <n v="0"/>
    <n v="0"/>
    <n v="1"/>
  </r>
  <r>
    <s v="APP0166"/>
    <s v="CAND1071"/>
    <s v="Julia Evans"/>
    <s v="Julia"/>
    <s v="Evans"/>
    <s v="Business Analyst"/>
    <s v="Technology"/>
    <s v="London"/>
    <s v="James Clarke"/>
    <s v="Linkedln"/>
    <d v="2024-12-27T00:00:00"/>
    <x v="14"/>
    <n v="2024"/>
    <d v="2025-01-17T00:00:00"/>
    <d v="2025-01-21T00:00:00"/>
    <d v="2025-02-23T00:00:00"/>
    <n v="58"/>
    <s v="Hired"/>
    <n v="38163"/>
    <n v="36462"/>
    <s v="Mark"/>
    <s v="Female"/>
    <n v="3.6"/>
    <n v="1"/>
    <n v="0"/>
    <n v="0"/>
    <n v="1"/>
  </r>
  <r>
    <s v="APP0167"/>
    <s v="CAND1210"/>
    <s v="Beverley Hale"/>
    <s v="Beverley"/>
    <s v="Hale"/>
    <s v="Data Analyst"/>
    <s v="Commercial"/>
    <s v="South East"/>
    <s v="Tom Davies"/>
    <s v="Linkedln"/>
    <d v="2024-05-29T00:00:00"/>
    <x v="5"/>
    <n v="2024"/>
    <s v=""/>
    <s v=""/>
    <s v=""/>
    <s v=""/>
    <s v="Rejected"/>
    <n v="47050"/>
    <m/>
    <s v="Joe"/>
    <s v="Female"/>
    <n v="4"/>
    <n v="1"/>
    <n v="0"/>
    <n v="1"/>
    <n v="0"/>
  </r>
  <r>
    <s v="APP0168"/>
    <s v="CAND1071"/>
    <s v="Kyle Jordan"/>
    <s v="Kyle"/>
    <s v="Jordan"/>
    <s v="Business Analyst"/>
    <s v="Operations"/>
    <s v="South East"/>
    <s v="James Clarke"/>
    <s v="Linkedln"/>
    <d v="2024-02-25T00:00:00"/>
    <x v="2"/>
    <n v="2024"/>
    <d v="2024-03-15T00:00:00"/>
    <d v="2024-03-12T00:00:00"/>
    <d v="2024-04-15T00:00:00"/>
    <n v="50"/>
    <s v="Hired"/>
    <n v="31567"/>
    <n v="35288"/>
    <s v="Joe"/>
    <s v="Female"/>
    <n v="4.5999999999999996"/>
    <n v="1"/>
    <n v="0"/>
    <n v="0"/>
    <n v="1"/>
  </r>
  <r>
    <s v="APP0169"/>
    <s v="CAND1027"/>
    <s v="Lindsey Coles Simmons"/>
    <s v="Lindsey"/>
    <s v="Simmons"/>
    <s v="HR Analyst"/>
    <s v="Commercial"/>
    <s v="North West"/>
    <s v="Tom Davies"/>
    <s v="Indeed"/>
    <d v="2025-04-25T00:00:00"/>
    <x v="8"/>
    <n v="2025"/>
    <s v=""/>
    <s v=""/>
    <s v=""/>
    <s v=""/>
    <s v="Applied"/>
    <n v="43794"/>
    <m/>
    <s v="Anna"/>
    <s v="Female"/>
    <n v="2.2000000000000002"/>
    <n v="1"/>
    <n v="0"/>
    <n v="0"/>
    <n v="0"/>
  </r>
  <r>
    <s v="APP0170"/>
    <s v="CAND1043"/>
    <s v="Marian Jones"/>
    <s v="Marian"/>
    <s v="Jones"/>
    <s v="Business Analyst"/>
    <s v="Operations"/>
    <s v="East Midlands"/>
    <s v="Michael Patel"/>
    <s v="Linkedln"/>
    <d v="2025-02-10T00:00:00"/>
    <x v="11"/>
    <n v="2025"/>
    <d v="2025-02-23T00:00:00"/>
    <d v="2025-03-13T00:00:00"/>
    <d v="2025-03-10T00:00:00"/>
    <n v="28"/>
    <s v="Hired"/>
    <n v="29132"/>
    <n v="31765"/>
    <s v="Joe"/>
    <s v="Prefer not to say"/>
    <n v="2.9"/>
    <n v="1"/>
    <n v="0"/>
    <n v="0"/>
    <n v="1"/>
  </r>
  <r>
    <s v="APP0171"/>
    <s v="CAND1160"/>
    <s v="Barry Akhtar Greenwood"/>
    <s v="Barry"/>
    <s v="Greenwood"/>
    <s v="Data Analyst"/>
    <s v="Finance"/>
    <s v="Scotland"/>
    <s v="Tom Davies"/>
    <s v="Reed"/>
    <d v="2024-04-15T00:00:00"/>
    <x v="6"/>
    <n v="2024"/>
    <s v=""/>
    <s v=""/>
    <s v=""/>
    <s v=""/>
    <s v="Rejected"/>
    <n v="44185"/>
    <m/>
    <s v="Mark"/>
    <s v="Prefer not to say"/>
    <n v="3.9"/>
    <n v="1"/>
    <n v="0"/>
    <n v="1"/>
    <n v="0"/>
  </r>
  <r>
    <s v="APP0172"/>
    <s v="CAND1226"/>
    <s v="Declan Allen"/>
    <s v="Declan"/>
    <s v="Allen"/>
    <s v="HR Analyst"/>
    <s v="Commercial"/>
    <s v="South East"/>
    <s v="Michael Patel"/>
    <s v="Linkedln"/>
    <d v="2025-03-29T00:00:00"/>
    <x v="12"/>
    <n v="2025"/>
    <s v=""/>
    <s v=""/>
    <s v=""/>
    <s v=""/>
    <s v="Applied"/>
    <n v="28992"/>
    <m/>
    <s v="Mark"/>
    <s v="Male"/>
    <n v="2.7"/>
    <n v="1"/>
    <n v="0"/>
    <n v="0"/>
    <n v="0"/>
  </r>
  <r>
    <s v="APP0173"/>
    <s v="CAND1165"/>
    <s v="Gary Taylor"/>
    <s v="Gary"/>
    <s v="Taylor"/>
    <s v="Finance Analyst"/>
    <s v="Commercial"/>
    <s v="Midlands"/>
    <s v="Emma Wilson"/>
    <s v="Linkedln"/>
    <d v="2025-02-15T00:00:00"/>
    <x v="11"/>
    <n v="2025"/>
    <s v=""/>
    <s v=""/>
    <s v=""/>
    <s v=""/>
    <s v="Withdrawn"/>
    <n v="35818"/>
    <m/>
    <s v="Mark"/>
    <s v="Prefer not to say"/>
    <n v="4.9000000000000004"/>
    <n v="1"/>
    <n v="1"/>
    <n v="0"/>
    <n v="0"/>
  </r>
  <r>
    <s v="APP0174"/>
    <s v="CAND1181"/>
    <s v="Alexandra Rice"/>
    <s v="Alexandra"/>
    <s v="Rice"/>
    <s v="Reporting Analyst"/>
    <s v="HR"/>
    <s v="South East"/>
    <s v="Michael Patel"/>
    <s v="Linkedln"/>
    <d v="2025-05-14T00:00:00"/>
    <x v="16"/>
    <n v="2025"/>
    <d v="2025-05-30T00:00:00"/>
    <d v="2025-06-20T00:00:00"/>
    <d v="2025-07-11T00:00:00"/>
    <n v="58"/>
    <s v="Hired"/>
    <n v="42243"/>
    <n v="41164"/>
    <s v="Anna"/>
    <s v="Male"/>
    <n v="4"/>
    <n v="1"/>
    <n v="0"/>
    <n v="0"/>
    <n v="1"/>
  </r>
  <r>
    <s v="APP0175"/>
    <s v="CAND1091"/>
    <s v="Alexander Davis Weston"/>
    <s v="Alexander"/>
    <s v="Weston"/>
    <s v="BI Analyst"/>
    <s v="Technology"/>
    <s v="East Midlands"/>
    <s v="Michael Patel"/>
    <s v="Linkedln"/>
    <d v="2024-05-15T00:00:00"/>
    <x v="5"/>
    <n v="2024"/>
    <d v="2024-06-09T00:00:00"/>
    <s v=""/>
    <s v=""/>
    <s v=""/>
    <s v="Interviewed"/>
    <n v="46226"/>
    <m/>
    <s v="Joe"/>
    <s v="Prefer not to say"/>
    <m/>
    <n v="1"/>
    <n v="0"/>
    <n v="0"/>
    <n v="1"/>
  </r>
  <r>
    <s v="APP0176"/>
    <s v="CAND1229"/>
    <s v="Pauline Wilson Bryant"/>
    <s v="Pauline"/>
    <s v="Bryant"/>
    <s v="Business Analyst"/>
    <s v="Technology"/>
    <s v="East Midlands"/>
    <s v="Tom Davies"/>
    <s v="Referral"/>
    <d v="2025-03-27T00:00:00"/>
    <x v="12"/>
    <n v="2025"/>
    <s v=""/>
    <s v=""/>
    <s v=""/>
    <s v=""/>
    <s v="Rejected"/>
    <n v="40652"/>
    <m/>
    <s v="Helen"/>
    <s v="Male"/>
    <n v="3.1"/>
    <n v="1"/>
    <n v="0"/>
    <n v="1"/>
    <n v="0"/>
  </r>
  <r>
    <s v="APP0177"/>
    <s v="CAND1233"/>
    <s v="Jay Dixon Atkins"/>
    <s v="Jay"/>
    <s v="Atkins"/>
    <s v="HR Analyst"/>
    <s v="Operations"/>
    <s v="London"/>
    <s v="Tom Davies"/>
    <s v="Reed"/>
    <d v="2024-03-21T00:00:00"/>
    <x v="3"/>
    <n v="2024"/>
    <s v=""/>
    <s v=""/>
    <s v=""/>
    <s v=""/>
    <s v="Applied"/>
    <n v="38544"/>
    <m/>
    <s v="Anna"/>
    <s v="Male"/>
    <n v="4.0999999999999996"/>
    <n v="1"/>
    <n v="0"/>
    <n v="0"/>
    <n v="0"/>
  </r>
  <r>
    <s v="APP0178"/>
    <s v="CAND1198"/>
    <s v="Julia Warner"/>
    <s v="Julia"/>
    <s v="Warner"/>
    <s v="Business Analyst"/>
    <s v="Operations"/>
    <s v="North West"/>
    <s v="Emma Wilson"/>
    <s v="Linkedln"/>
    <d v="2024-02-03T00:00:00"/>
    <x v="2"/>
    <n v="2024"/>
    <s v=""/>
    <s v=""/>
    <s v=""/>
    <s v=""/>
    <s v="Applied"/>
    <n v="34444"/>
    <m/>
    <s v="Anna"/>
    <s v="Female"/>
    <m/>
    <n v="1"/>
    <n v="0"/>
    <n v="0"/>
    <n v="0"/>
  </r>
  <r>
    <s v="APP0179"/>
    <s v="CAND1108"/>
    <s v="Alex Patel"/>
    <s v="Alex"/>
    <s v="Patel"/>
    <s v="BI Analyst"/>
    <s v="Technology"/>
    <s v="Yorkshire"/>
    <s v="Sarah Green"/>
    <s v="Reed"/>
    <d v="2025-03-19T00:00:00"/>
    <x v="12"/>
    <n v="2025"/>
    <s v=""/>
    <s v=""/>
    <s v=""/>
    <s v=""/>
    <s v="Rejected"/>
    <n v="38734"/>
    <m/>
    <s v="Helen"/>
    <s v="Prefer not to say"/>
    <m/>
    <n v="1"/>
    <n v="0"/>
    <n v="1"/>
    <n v="0"/>
  </r>
  <r>
    <s v="APP0180"/>
    <s v="CAND1028"/>
    <s v="Gail Elliott"/>
    <s v="Gail"/>
    <s v="Elliott"/>
    <s v="Finance Analyst"/>
    <s v="Technology"/>
    <s v="East Midlands"/>
    <s v="Emma Wilson"/>
    <s v="Reed"/>
    <d v="2024-11-09T00:00:00"/>
    <x v="7"/>
    <n v="2024"/>
    <d v="2024-11-16T00:00:00"/>
    <s v=""/>
    <s v=""/>
    <s v=""/>
    <s v="Interviewed"/>
    <n v="42623"/>
    <m/>
    <s v="Mark"/>
    <s v="Male"/>
    <n v="2.2999999999999998"/>
    <n v="1"/>
    <n v="0"/>
    <n v="0"/>
    <n v="1"/>
  </r>
  <r>
    <s v="APP0181"/>
    <s v="CAND1081"/>
    <s v="Charles May"/>
    <s v="Charles"/>
    <s v="May"/>
    <s v="HR Analyst"/>
    <s v="Operations"/>
    <s v="Scotland"/>
    <s v="James Clarke"/>
    <s v="Indeed"/>
    <d v="2024-08-17T00:00:00"/>
    <x v="0"/>
    <n v="2024"/>
    <d v="2024-08-27T00:00:00"/>
    <d v="2024-09-21T00:00:00"/>
    <s v=""/>
    <s v=""/>
    <s v="Offered"/>
    <n v="43195"/>
    <n v="41847"/>
    <s v="Joe"/>
    <s v="Male"/>
    <n v="2.2999999999999998"/>
    <n v="1"/>
    <n v="0"/>
    <n v="0"/>
    <n v="1"/>
  </r>
  <r>
    <s v="APP0182"/>
    <s v="CAND1037"/>
    <s v="Lisa Ball"/>
    <s v="Lisa"/>
    <s v="Ball"/>
    <s v="Business Analyst"/>
    <s v="HR"/>
    <s v="East Midlands"/>
    <s v="Emma Wilson"/>
    <s v="Linkedln"/>
    <d v="2025-03-16T00:00:00"/>
    <x v="12"/>
    <n v="2025"/>
    <d v="2025-04-12T00:00:00"/>
    <d v="2025-04-14T00:00:00"/>
    <d v="2025-05-08T00:00:00"/>
    <n v="53"/>
    <s v="Hired"/>
    <n v="42752"/>
    <n v="42199"/>
    <s v="Joe"/>
    <s v="Male"/>
    <n v="2.5"/>
    <n v="1"/>
    <n v="0"/>
    <n v="0"/>
    <n v="1"/>
  </r>
  <r>
    <s v="APP0183"/>
    <s v="CAND1191"/>
    <s v="Callum Roberts"/>
    <s v="Callum"/>
    <s v="Roberts"/>
    <s v="Finance Analyst"/>
    <s v="Technology"/>
    <s v="Yorkshire"/>
    <s v="Sarah Green"/>
    <s v="Linkedln"/>
    <d v="2025-02-04T00:00:00"/>
    <x v="11"/>
    <n v="2025"/>
    <d v="2025-02-22T00:00:00"/>
    <s v=""/>
    <s v=""/>
    <s v=""/>
    <s v="Interviewed"/>
    <n v="47790"/>
    <m/>
    <s v="Helen"/>
    <s v="Prefer not to say"/>
    <n v="3.3"/>
    <n v="1"/>
    <n v="0"/>
    <n v="0"/>
    <n v="1"/>
  </r>
  <r>
    <s v="APP0184"/>
    <s v="CAND1133"/>
    <s v="Danny Williamson"/>
    <s v="Danny"/>
    <s v="Williamson"/>
    <s v="Reporting Analyst"/>
    <s v="Finance"/>
    <s v="Scotland"/>
    <s v="Tom Davies"/>
    <s v="Linkedln"/>
    <d v="2025-01-08T00:00:00"/>
    <x v="10"/>
    <n v="2025"/>
    <d v="2025-01-28T00:00:00"/>
    <d v="2025-01-29T00:00:00"/>
    <s v=""/>
    <s v=""/>
    <s v="Offered"/>
    <n v="44669"/>
    <n v="43129"/>
    <s v="Rebecca"/>
    <s v="Female"/>
    <m/>
    <n v="1"/>
    <n v="0"/>
    <n v="0"/>
    <n v="1"/>
  </r>
  <r>
    <s v="APP0185"/>
    <s v="CAND1246"/>
    <s v="Sian Cooper Knight"/>
    <s v="Sian"/>
    <s v="Knight"/>
    <s v="Reporting Analyst"/>
    <s v="Operations"/>
    <s v="East Midlands"/>
    <s v="James Clarke"/>
    <s v="Reed"/>
    <d v="2024-07-24T00:00:00"/>
    <x v="1"/>
    <n v="2024"/>
    <d v="2024-08-19T00:00:00"/>
    <d v="2024-08-28T00:00:00"/>
    <d v="2024-09-26T00:00:00"/>
    <n v="64"/>
    <s v="Hired"/>
    <n v="37661"/>
    <n v="36961"/>
    <s v="Joe"/>
    <s v="Female"/>
    <n v="4.7"/>
    <n v="1"/>
    <n v="0"/>
    <n v="0"/>
    <n v="1"/>
  </r>
  <r>
    <s v="APP0186"/>
    <s v="CAND1025"/>
    <s v="Joshua Cunningham"/>
    <s v="Joshua"/>
    <s v="Cunningham"/>
    <s v="BI Analyst"/>
    <s v="Finance"/>
    <s v="Midlands"/>
    <s v="Tom Davies"/>
    <s v="Indeed"/>
    <d v="2024-02-23T00:00:00"/>
    <x v="2"/>
    <n v="2024"/>
    <s v=""/>
    <s v=""/>
    <s v=""/>
    <s v=""/>
    <s v="Withdrawn"/>
    <n v="40813"/>
    <m/>
    <s v="Joe"/>
    <s v="Prefer not to say"/>
    <n v="2.4"/>
    <n v="1"/>
    <n v="1"/>
    <n v="0"/>
    <n v="0"/>
  </r>
  <r>
    <s v="APP0187"/>
    <s v="CAND1013"/>
    <s v="Aaron Wright"/>
    <s v="Aaron"/>
    <s v="Wright"/>
    <s v="Reporting Analyst"/>
    <s v="HR"/>
    <s v="Scotland"/>
    <s v="Sarah Green"/>
    <s v="Linkedln"/>
    <d v="2024-03-10T00:00:00"/>
    <x v="3"/>
    <n v="2024"/>
    <s v=""/>
    <s v=""/>
    <s v=""/>
    <s v=""/>
    <s v="Rejected"/>
    <n v="36587"/>
    <m/>
    <s v="Mark"/>
    <s v="Prefer not to say"/>
    <n v="4"/>
    <n v="1"/>
    <n v="0"/>
    <n v="1"/>
    <n v="0"/>
  </r>
  <r>
    <s v="APP0188"/>
    <s v="CAND1021"/>
    <s v="George Smith"/>
    <s v="George"/>
    <s v="Smith"/>
    <s v="BI Analyst"/>
    <s v="Finance"/>
    <s v="South East"/>
    <s v="James Clarke"/>
    <s v="Linkedln"/>
    <d v="2024-12-05T00:00:00"/>
    <x v="14"/>
    <n v="2024"/>
    <d v="2024-12-21T00:00:00"/>
    <d v="2024-12-29T00:00:00"/>
    <d v="2025-01-25T00:00:00"/>
    <n v="51"/>
    <s v="Hired"/>
    <n v="31681"/>
    <n v="33118"/>
    <s v="Helen"/>
    <s v="Female"/>
    <n v="4"/>
    <n v="1"/>
    <n v="0"/>
    <n v="0"/>
    <n v="1"/>
  </r>
  <r>
    <s v="APP0189"/>
    <s v="CAND1179"/>
    <s v="Grace Osborne"/>
    <s v="Grace"/>
    <s v="Osborne"/>
    <s v="Business Analyst"/>
    <s v="Finance"/>
    <s v="East Midlands"/>
    <s v="Emma Wilson"/>
    <s v="CV Library"/>
    <d v="2024-06-16T00:00:00"/>
    <x v="13"/>
    <n v="2024"/>
    <d v="2024-06-26T00:00:00"/>
    <s v=""/>
    <s v=""/>
    <s v=""/>
    <s v="Interviewed"/>
    <n v="42920"/>
    <m/>
    <s v="Mark"/>
    <s v="Male"/>
    <n v="3.7"/>
    <n v="1"/>
    <n v="0"/>
    <n v="0"/>
    <n v="1"/>
  </r>
  <r>
    <s v="APP0190"/>
    <s v="CAND1185"/>
    <s v="Justin Hill"/>
    <s v="Justin"/>
    <s v="Hill"/>
    <s v="HR Analyst"/>
    <s v="Commercial"/>
    <s v="North West"/>
    <s v="Tom Davies"/>
    <s v="Indeed"/>
    <d v="2025-04-23T00:00:00"/>
    <x v="8"/>
    <n v="2025"/>
    <d v="2025-05-19T00:00:00"/>
    <d v="2025-05-19T00:00:00"/>
    <d v="2025-06-25T00:00:00"/>
    <n v="63"/>
    <s v="Hired"/>
    <n v="46556"/>
    <n v="45086"/>
    <s v="Helen"/>
    <s v="Male"/>
    <n v="3.1"/>
    <n v="1"/>
    <n v="0"/>
    <n v="0"/>
    <n v="1"/>
  </r>
  <r>
    <s v="APP0191"/>
    <s v="CAND1170"/>
    <s v="Carole Martin"/>
    <s v="Carole"/>
    <s v="Martin"/>
    <s v="Finance Analyst"/>
    <s v="Operations"/>
    <s v="Midlands"/>
    <s v="Michael Patel"/>
    <s v="Indeed"/>
    <d v="2024-04-21T00:00:00"/>
    <x v="6"/>
    <n v="2024"/>
    <s v=""/>
    <s v=""/>
    <s v=""/>
    <s v=""/>
    <s v="Applied"/>
    <n v="41416"/>
    <m/>
    <s v="Joe"/>
    <s v="Female"/>
    <n v="3.6"/>
    <n v="1"/>
    <n v="0"/>
    <n v="0"/>
    <n v="0"/>
  </r>
  <r>
    <s v="APP0192"/>
    <s v="CAND1087"/>
    <s v="Paul Jones"/>
    <s v="Paul"/>
    <s v="Jones"/>
    <s v="Reporting Analyst"/>
    <s v="Operations"/>
    <s v="East Midlands"/>
    <s v="Emma Wilson"/>
    <s v="Referral"/>
    <d v="2024-11-14T00:00:00"/>
    <x v="7"/>
    <n v="2024"/>
    <s v=""/>
    <s v=""/>
    <s v=""/>
    <s v=""/>
    <s v="Applied"/>
    <n v="31453"/>
    <m/>
    <s v="Mark"/>
    <s v="Male"/>
    <n v="2.5"/>
    <n v="1"/>
    <n v="0"/>
    <n v="0"/>
    <n v="0"/>
  </r>
  <r>
    <s v="APP0193"/>
    <s v="CAND1189"/>
    <s v="Christine James Williams"/>
    <s v="Christine"/>
    <s v="Williams"/>
    <s v="Reporting Analyst"/>
    <s v="HR"/>
    <s v="London"/>
    <s v="Sarah Green"/>
    <s v="Reed"/>
    <d v="2024-10-26T00:00:00"/>
    <x v="15"/>
    <n v="2024"/>
    <s v=""/>
    <s v=""/>
    <s v=""/>
    <s v=""/>
    <s v="Rejected"/>
    <n v="47040"/>
    <m/>
    <s v="Helen"/>
    <s v="Prefer not to say"/>
    <n v="2.5"/>
    <n v="1"/>
    <n v="0"/>
    <n v="1"/>
    <n v="0"/>
  </r>
  <r>
    <s v="APP0194"/>
    <s v="CAND1105"/>
    <s v="Arthur Parker"/>
    <s v="Arthur"/>
    <s v="Parker"/>
    <s v="HR Analyst"/>
    <s v="Finance"/>
    <s v="Midlands"/>
    <s v="Emma Wilson"/>
    <s v="Linkedln"/>
    <d v="2025-01-18T00:00:00"/>
    <x v="10"/>
    <n v="2025"/>
    <s v=""/>
    <s v=""/>
    <s v=""/>
    <s v=""/>
    <s v="Applied"/>
    <n v="46118"/>
    <m/>
    <s v="Helen"/>
    <s v="Female"/>
    <m/>
    <n v="1"/>
    <n v="0"/>
    <n v="0"/>
    <n v="0"/>
  </r>
  <r>
    <s v="APP0195"/>
    <s v="CAND1018"/>
    <s v="Melissa Cooper Wilkinson"/>
    <s v="Melissa"/>
    <s v="Wilkinson"/>
    <s v="Reporting Analyst"/>
    <s v="Operations"/>
    <s v="North West"/>
    <s v="Emma Wilson"/>
    <s v="Indeed"/>
    <d v="2024-11-09T00:00:00"/>
    <x v="7"/>
    <n v="2024"/>
    <s v=""/>
    <s v=""/>
    <s v=""/>
    <s v=""/>
    <s v="Rejected"/>
    <n v="31555"/>
    <m/>
    <s v="Anna"/>
    <s v="Prefer not to say"/>
    <n v="3"/>
    <n v="1"/>
    <n v="0"/>
    <n v="1"/>
    <n v="0"/>
  </r>
  <r>
    <s v="APP0196"/>
    <s v="CAND1080"/>
    <s v="Rosemary Mason"/>
    <s v="Rosemary"/>
    <s v="Mason"/>
    <s v="BI Analyst"/>
    <s v="Commercial"/>
    <s v="North West"/>
    <s v="James Clarke"/>
    <s v="Indeed"/>
    <d v="2024-02-18T00:00:00"/>
    <x v="2"/>
    <n v="2024"/>
    <s v=""/>
    <s v=""/>
    <s v=""/>
    <s v=""/>
    <s v="Applied"/>
    <n v="33784"/>
    <m/>
    <s v="Rebecca"/>
    <s v="Male"/>
    <n v="4.5999999999999996"/>
    <n v="1"/>
    <n v="0"/>
    <n v="0"/>
    <n v="0"/>
  </r>
  <r>
    <s v="APP0197"/>
    <s v="CAND1123"/>
    <s v="Janet Lynch"/>
    <s v="Janet"/>
    <s v="Lynch"/>
    <s v="Reporting Analyst"/>
    <s v="HR"/>
    <s v="Midlands"/>
    <s v="Emma Wilson"/>
    <s v="Linkedln"/>
    <d v="2025-01-23T00:00:00"/>
    <x v="10"/>
    <n v="2025"/>
    <s v=""/>
    <s v=""/>
    <s v=""/>
    <s v=""/>
    <s v="Applied"/>
    <n v="50384"/>
    <m/>
    <s v="Joe"/>
    <s v="Male"/>
    <n v="2.4"/>
    <n v="1"/>
    <n v="0"/>
    <n v="0"/>
    <n v="0"/>
  </r>
  <r>
    <s v="APP0198"/>
    <s v="CAND1249"/>
    <s v="Kieran Bell Moran"/>
    <s v="Kieran"/>
    <s v="Moran"/>
    <s v="Data Analyst"/>
    <s v="Commercial"/>
    <s v="Scotland"/>
    <s v="James Clarke"/>
    <s v="Linkedln"/>
    <d v="2024-11-16T00:00:00"/>
    <x v="7"/>
    <n v="2024"/>
    <d v="2024-12-01T00:00:00"/>
    <s v=""/>
    <s v=""/>
    <s v=""/>
    <s v="Interviewed"/>
    <n v="43632"/>
    <m/>
    <s v="Anna"/>
    <s v="Male"/>
    <n v="3.6"/>
    <n v="1"/>
    <n v="0"/>
    <n v="0"/>
    <n v="1"/>
  </r>
  <r>
    <s v="APP0199"/>
    <s v="CAND1069"/>
    <s v="Duncan Palmer"/>
    <s v="Duncan"/>
    <s v="Palmer"/>
    <s v="Reporting Analyst"/>
    <s v="Technology"/>
    <s v="Midlands"/>
    <s v="James Clarke"/>
    <s v="Referral"/>
    <d v="2025-02-24T00:00:00"/>
    <x v="11"/>
    <n v="2025"/>
    <s v=""/>
    <s v=""/>
    <s v=""/>
    <s v=""/>
    <s v="Withdrawn"/>
    <n v="48132"/>
    <m/>
    <s v="Helen"/>
    <s v="Female"/>
    <n v="3.4"/>
    <n v="1"/>
    <n v="1"/>
    <n v="0"/>
    <n v="0"/>
  </r>
  <r>
    <s v="APP0200"/>
    <s v="CAND1099"/>
    <s v="Eleanor Johnson"/>
    <s v="Eleanor"/>
    <s v="Johnson"/>
    <s v="BI Analyst"/>
    <s v="Technology"/>
    <s v="North West"/>
    <s v="Emma Wilson"/>
    <s v="Linkedln"/>
    <d v="2024-09-05T00:00:00"/>
    <x v="4"/>
    <n v="2024"/>
    <d v="2024-09-12T00:00:00"/>
    <s v=""/>
    <s v=""/>
    <s v=""/>
    <s v="Interviewed"/>
    <n v="42347"/>
    <m/>
    <s v="Mark"/>
    <s v="Female"/>
    <n v="4.9000000000000004"/>
    <n v="1"/>
    <n v="0"/>
    <n v="0"/>
    <n v="1"/>
  </r>
  <r>
    <s v="APP0201"/>
    <s v="CAND1014"/>
    <s v="Anna Blake"/>
    <s v="Anna"/>
    <s v="Blake"/>
    <s v="BI Analyst"/>
    <s v="HR"/>
    <s v="Yorkshire"/>
    <s v="Tom Davies"/>
    <s v="Linkedln"/>
    <d v="2025-03-15T00:00:00"/>
    <x v="12"/>
    <n v="2025"/>
    <s v=""/>
    <s v=""/>
    <s v=""/>
    <s v=""/>
    <s v="Withdrawn"/>
    <n v="38392"/>
    <m/>
    <s v="Anna"/>
    <s v="Prefer not to say"/>
    <n v="2.4"/>
    <n v="1"/>
    <n v="1"/>
    <n v="0"/>
    <n v="0"/>
  </r>
  <r>
    <s v="APP0202"/>
    <s v="CAND1039"/>
    <s v="Charlene Shah"/>
    <s v="Charlene"/>
    <s v="Shah"/>
    <s v="Finance Analyst"/>
    <s v="Operations"/>
    <s v="Scotland"/>
    <s v="Michael Patel"/>
    <s v="CV Library"/>
    <d v="2025-03-19T00:00:00"/>
    <x v="12"/>
    <n v="2025"/>
    <d v="2025-03-25T00:00:00"/>
    <s v=""/>
    <s v=""/>
    <s v=""/>
    <s v="Interviewed"/>
    <n v="48222"/>
    <m/>
    <s v="Anna"/>
    <s v="Male"/>
    <n v="3.4"/>
    <n v="1"/>
    <n v="0"/>
    <n v="0"/>
    <n v="1"/>
  </r>
  <r>
    <s v="APP0203"/>
    <s v="CAND1043"/>
    <s v="Anthony Davies"/>
    <s v="Anthony"/>
    <s v="Davies"/>
    <s v="Finance Analyst"/>
    <s v="Technology"/>
    <s v="Midlands"/>
    <s v="Emma Wilson"/>
    <s v="CV Library"/>
    <d v="2024-12-13T00:00:00"/>
    <x v="14"/>
    <n v="2024"/>
    <s v=""/>
    <s v=""/>
    <s v=""/>
    <s v=""/>
    <s v="Withdrawn"/>
    <n v="33844"/>
    <m/>
    <s v="Helen"/>
    <s v="Prefer not to say"/>
    <n v="3"/>
    <n v="1"/>
    <n v="1"/>
    <n v="0"/>
    <n v="0"/>
  </r>
  <r>
    <s v="APP0204"/>
    <s v="CAND1002"/>
    <s v="Natalie Evans"/>
    <s v="Natalie"/>
    <s v="Evans"/>
    <s v="Business Analyst"/>
    <s v="Finance"/>
    <s v="Midlands"/>
    <s v="Tom Davies"/>
    <s v="Linkedln"/>
    <d v="2024-11-23T00:00:00"/>
    <x v="7"/>
    <n v="2024"/>
    <s v=""/>
    <s v=""/>
    <s v=""/>
    <s v=""/>
    <s v="Rejected"/>
    <n v="50618"/>
    <m/>
    <s v="Helen"/>
    <s v="Male"/>
    <n v="4.2"/>
    <n v="1"/>
    <n v="0"/>
    <n v="1"/>
    <n v="0"/>
  </r>
  <r>
    <s v="APP0205"/>
    <s v="CAND1179"/>
    <s v="Bethany Potter Davison"/>
    <s v="Bethany"/>
    <s v="Davison"/>
    <s v="Data Analyst"/>
    <s v="Commercial"/>
    <s v="East Midlands"/>
    <s v="Emma Wilson"/>
    <s v="Linkedln"/>
    <d v="2024-05-28T00:00:00"/>
    <x v="5"/>
    <n v="2024"/>
    <s v=""/>
    <s v=""/>
    <s v=""/>
    <s v=""/>
    <s v="Withdrawn"/>
    <n v="44228"/>
    <m/>
    <s v="Anna"/>
    <s v="Female"/>
    <m/>
    <n v="1"/>
    <n v="1"/>
    <n v="0"/>
    <n v="0"/>
  </r>
  <r>
    <s v="APP0206"/>
    <s v="CAND1132"/>
    <s v="Claire Morley"/>
    <s v="Claire"/>
    <s v="Morley"/>
    <s v="HR Analyst"/>
    <s v="Operations"/>
    <s v="North West"/>
    <s v="Michael Patel"/>
    <s v="Linkedln"/>
    <d v="2024-07-29T00:00:00"/>
    <x v="1"/>
    <n v="2024"/>
    <d v="2024-08-21T00:00:00"/>
    <s v=""/>
    <s v=""/>
    <s v=""/>
    <s v="Interviewed"/>
    <n v="50047"/>
    <m/>
    <s v="Rebecca"/>
    <s v="Female"/>
    <n v="2.4"/>
    <n v="1"/>
    <n v="0"/>
    <n v="0"/>
    <n v="1"/>
  </r>
  <r>
    <s v="APP0207"/>
    <s v="CAND1089"/>
    <s v="Sally Norris Webb"/>
    <s v="Sally"/>
    <s v="Webb"/>
    <s v="HR Analyst"/>
    <s v="Finance"/>
    <s v="Scotland"/>
    <s v="Michael Patel"/>
    <s v="Reed"/>
    <d v="2024-07-29T00:00:00"/>
    <x v="1"/>
    <n v="2024"/>
    <d v="2024-08-05T00:00:00"/>
    <d v="2024-08-14T00:00:00"/>
    <s v=""/>
    <s v=""/>
    <s v="Offered"/>
    <n v="50460"/>
    <n v="47702"/>
    <s v="Mark"/>
    <s v="Male"/>
    <n v="4.4000000000000004"/>
    <n v="1"/>
    <n v="0"/>
    <n v="0"/>
    <n v="1"/>
  </r>
  <r>
    <s v="APP0208"/>
    <s v="CAND1169"/>
    <s v="Iain Murphy"/>
    <s v="Iain"/>
    <s v="Murphy"/>
    <s v="Reporting Analyst"/>
    <s v="Technology"/>
    <s v="London"/>
    <s v="Michael Patel"/>
    <s v="Indeed"/>
    <d v="2025-01-14T00:00:00"/>
    <x v="10"/>
    <n v="2025"/>
    <s v=""/>
    <s v=""/>
    <s v=""/>
    <s v=""/>
    <s v="Applied"/>
    <n v="49582"/>
    <m/>
    <s v="Mark"/>
    <s v="Prefer not to say"/>
    <n v="4.5"/>
    <n v="1"/>
    <n v="0"/>
    <n v="0"/>
    <n v="0"/>
  </r>
  <r>
    <s v="APP0209"/>
    <s v="CAND1126"/>
    <s v="Mathew Clarke"/>
    <s v="Mathew"/>
    <s v="Clarke"/>
    <s v="Finance Analyst"/>
    <s v="HR"/>
    <s v="London"/>
    <s v="Sarah Green"/>
    <s v="Indeed"/>
    <d v="2024-11-13T00:00:00"/>
    <x v="7"/>
    <n v="2024"/>
    <d v="2024-11-30T00:00:00"/>
    <d v="2024-12-25T00:00:00"/>
    <d v="2024-12-04T00:00:00"/>
    <n v="21"/>
    <s v="Hired"/>
    <n v="29422"/>
    <n v="28114"/>
    <s v="Anna"/>
    <s v="Prefer not to say"/>
    <n v="3.7"/>
    <n v="1"/>
    <n v="0"/>
    <n v="0"/>
    <n v="1"/>
  </r>
  <r>
    <s v="APP0210"/>
    <s v="CAND1097"/>
    <s v="Jenna Jackson"/>
    <s v="Jenna"/>
    <s v="Jackson"/>
    <s v="Finance Analyst"/>
    <s v="Operations"/>
    <s v="East Midlands"/>
    <s v="James Clarke"/>
    <s v="Referral"/>
    <d v="2025-01-31T00:00:00"/>
    <x v="10"/>
    <n v="2025"/>
    <s v=""/>
    <s v=""/>
    <s v=""/>
    <s v=""/>
    <s v="Applied"/>
    <n v="41832"/>
    <m/>
    <s v="Anna"/>
    <s v="Male"/>
    <n v="3.2"/>
    <n v="1"/>
    <n v="0"/>
    <n v="0"/>
    <n v="0"/>
  </r>
  <r>
    <s v="APP0211"/>
    <s v="CAND1184"/>
    <s v="Hayley Gould"/>
    <s v="Hayley"/>
    <s v="Gould"/>
    <s v="BI Analyst"/>
    <s v="Operations"/>
    <s v="North West"/>
    <s v="Tom Davies"/>
    <s v="Indeed"/>
    <d v="2024-05-02T00:00:00"/>
    <x v="5"/>
    <n v="2024"/>
    <s v=""/>
    <s v=""/>
    <s v=""/>
    <s v=""/>
    <s v="Applied"/>
    <n v="51757"/>
    <m/>
    <s v="Mark"/>
    <s v="Male"/>
    <n v="4.5"/>
    <n v="1"/>
    <n v="0"/>
    <n v="0"/>
    <n v="0"/>
  </r>
  <r>
    <s v="APP0212"/>
    <s v="CAND1070"/>
    <s v="Tina Morris"/>
    <s v="Tina"/>
    <s v="Morris"/>
    <s v="HR Analyst"/>
    <s v="HR"/>
    <s v="South East"/>
    <s v="Sarah Green"/>
    <s v="Linkedln"/>
    <d v="2025-01-03T00:00:00"/>
    <x v="10"/>
    <n v="2025"/>
    <s v=""/>
    <s v=""/>
    <s v=""/>
    <s v=""/>
    <s v="Rejected"/>
    <n v="51875"/>
    <m/>
    <s v="Helen"/>
    <s v="Prefer not to say"/>
    <m/>
    <n v="1"/>
    <n v="0"/>
    <n v="1"/>
    <n v="0"/>
  </r>
  <r>
    <s v="APP0213"/>
    <s v="CAND1136"/>
    <s v="Martin Robinson"/>
    <s v="Martin"/>
    <s v="Robinson"/>
    <s v="Data Analyst"/>
    <s v="HR"/>
    <s v="Midlands"/>
    <s v="Michael Patel"/>
    <s v="Referral"/>
    <d v="2024-05-28T00:00:00"/>
    <x v="5"/>
    <n v="2024"/>
    <d v="2024-06-21T00:00:00"/>
    <s v=""/>
    <s v=""/>
    <s v=""/>
    <s v="Interviewed"/>
    <n v="48121"/>
    <m/>
    <s v="Joe"/>
    <s v="Prefer not to say"/>
    <n v="3.1"/>
    <n v="1"/>
    <n v="0"/>
    <n v="0"/>
    <n v="1"/>
  </r>
  <r>
    <s v="APP0214"/>
    <s v="CAND1011"/>
    <s v="Marc Taylor"/>
    <s v="Marc"/>
    <s v="Taylor"/>
    <s v="Business Analyst"/>
    <s v="Finance"/>
    <s v="South East"/>
    <s v="Michael Patel"/>
    <s v="Linkedln"/>
    <d v="2025-02-20T00:00:00"/>
    <x v="11"/>
    <n v="2025"/>
    <d v="2025-02-25T00:00:00"/>
    <s v=""/>
    <s v=""/>
    <s v=""/>
    <s v="Interviewed"/>
    <n v="44094"/>
    <m/>
    <s v="Joe"/>
    <s v="Male"/>
    <n v="3.9"/>
    <n v="1"/>
    <n v="0"/>
    <n v="0"/>
    <n v="1"/>
  </r>
  <r>
    <s v="APP0215"/>
    <s v="CAND1014"/>
    <s v="Fiona Webb"/>
    <s v="Fiona"/>
    <s v="Webb"/>
    <s v="Finance Analyst"/>
    <s v="Operations"/>
    <s v="North West"/>
    <s v="Sarah Green"/>
    <s v="CV Library"/>
    <d v="2024-12-09T00:00:00"/>
    <x v="14"/>
    <n v="2024"/>
    <d v="2024-12-17T00:00:00"/>
    <s v=""/>
    <s v=""/>
    <s v=""/>
    <s v="Interviewed"/>
    <n v="28263"/>
    <m/>
    <s v="Helen"/>
    <s v="Female"/>
    <n v="4.9000000000000004"/>
    <n v="1"/>
    <n v="0"/>
    <n v="0"/>
    <n v="1"/>
  </r>
  <r>
    <s v="APP0216"/>
    <s v="CAND1125"/>
    <s v="Elaine Price"/>
    <s v="Elaine"/>
    <s v="Price"/>
    <s v="Data Analyst"/>
    <s v="Commercial"/>
    <s v="South East"/>
    <s v="James Clarke"/>
    <s v="Reed"/>
    <d v="2024-07-11T00:00:00"/>
    <x v="1"/>
    <n v="2024"/>
    <s v=""/>
    <s v=""/>
    <s v=""/>
    <s v=""/>
    <s v="Applied"/>
    <n v="40494"/>
    <m/>
    <s v="Joe"/>
    <s v="Female"/>
    <n v="3"/>
    <n v="1"/>
    <n v="0"/>
    <n v="0"/>
    <n v="0"/>
  </r>
  <r>
    <s v="APP0217"/>
    <s v="CAND1086"/>
    <s v="Clare Scott"/>
    <s v="Clare"/>
    <s v="Scott"/>
    <s v="Finance Analyst"/>
    <s v="Technology"/>
    <s v="London"/>
    <s v="Sarah Green"/>
    <s v="Linkedln"/>
    <d v="2025-03-15T00:00:00"/>
    <x v="12"/>
    <n v="2025"/>
    <s v=""/>
    <s v=""/>
    <s v=""/>
    <s v=""/>
    <s v="Rejected"/>
    <n v="41242"/>
    <m/>
    <s v="Rebecca"/>
    <s v="Male"/>
    <n v="4.5999999999999996"/>
    <n v="1"/>
    <n v="0"/>
    <n v="1"/>
    <n v="0"/>
  </r>
  <r>
    <s v="APP0218"/>
    <s v="CAND1157"/>
    <s v="Jake Vincent Patel"/>
    <s v="Jake"/>
    <s v="Patel"/>
    <s v="Business Analyst"/>
    <s v="HR"/>
    <s v="North West"/>
    <s v="James Clarke"/>
    <s v="Reed"/>
    <d v="2024-08-05T00:00:00"/>
    <x v="0"/>
    <n v="2024"/>
    <s v=""/>
    <s v=""/>
    <s v=""/>
    <s v=""/>
    <s v="Applied"/>
    <n v="47884"/>
    <m/>
    <s v="Helen"/>
    <s v="Female"/>
    <n v="4.5"/>
    <n v="1"/>
    <n v="0"/>
    <n v="0"/>
    <n v="0"/>
  </r>
  <r>
    <s v="APP0219"/>
    <s v="CAND1178"/>
    <s v="Lydia Dale"/>
    <s v="Lydia"/>
    <s v="Dale"/>
    <s v="Business Analyst"/>
    <s v="Operations"/>
    <s v="East Midlands"/>
    <s v="James Clarke"/>
    <s v="Linkedln"/>
    <d v="2024-08-21T00:00:00"/>
    <x v="0"/>
    <n v="2024"/>
    <d v="2024-09-01T00:00:00"/>
    <d v="2024-09-16T00:00:00"/>
    <s v=""/>
    <s v=""/>
    <s v="Offered"/>
    <n v="47103"/>
    <n v="45973"/>
    <s v="Anna"/>
    <s v="Male"/>
    <n v="3.3"/>
    <n v="1"/>
    <n v="0"/>
    <n v="0"/>
    <n v="1"/>
  </r>
  <r>
    <s v="APP0220"/>
    <s v="CAND1180"/>
    <s v="Gail Robinson Dixon"/>
    <s v="Gail"/>
    <s v="Dixon"/>
    <s v="Reporting Analyst"/>
    <s v="Finance"/>
    <s v="North West"/>
    <s v="Sarah Green"/>
    <s v="Linkedln"/>
    <d v="2024-08-01T00:00:00"/>
    <x v="0"/>
    <n v="2024"/>
    <d v="2024-08-12T00:00:00"/>
    <d v="2024-09-06T00:00:00"/>
    <s v=""/>
    <s v=""/>
    <s v="Offered"/>
    <n v="39853"/>
    <n v="40676"/>
    <s v="Mark"/>
    <s v="Female"/>
    <n v="3.2"/>
    <n v="1"/>
    <n v="0"/>
    <n v="0"/>
    <n v="1"/>
  </r>
  <r>
    <s v="APP0221"/>
    <s v="CAND1095"/>
    <s v="Duncan Mitchell"/>
    <s v="Duncan"/>
    <s v="Mitchell"/>
    <s v="Data Analyst"/>
    <s v="Operations"/>
    <s v="East Midlands"/>
    <s v="Michael Patel"/>
    <s v="Referral"/>
    <d v="2024-12-26T00:00:00"/>
    <x v="14"/>
    <n v="2024"/>
    <s v=""/>
    <s v=""/>
    <s v=""/>
    <s v=""/>
    <s v="Applied"/>
    <n v="38830"/>
    <m/>
    <s v="Rebecca"/>
    <s v="Female"/>
    <n v="3.5"/>
    <n v="1"/>
    <n v="0"/>
    <n v="0"/>
    <n v="0"/>
  </r>
  <r>
    <s v="APP0222"/>
    <s v="CAND1177"/>
    <s v="Norman Jackson"/>
    <s v="Norman"/>
    <s v="Jackson"/>
    <s v="Business Analyst"/>
    <s v="HR"/>
    <s v="Yorkshire"/>
    <s v="Michael Patel"/>
    <s v="Linkedln"/>
    <d v="2024-03-30T00:00:00"/>
    <x v="3"/>
    <n v="2024"/>
    <d v="2024-04-11T00:00:00"/>
    <s v=""/>
    <s v=""/>
    <s v=""/>
    <s v="Interviewed"/>
    <n v="32923"/>
    <m/>
    <s v="Mark"/>
    <s v="Male"/>
    <n v="2.7"/>
    <n v="1"/>
    <n v="0"/>
    <n v="0"/>
    <n v="1"/>
  </r>
  <r>
    <s v="APP0223"/>
    <s v="CAND1236"/>
    <s v="Jamie Brown"/>
    <s v="Jamie"/>
    <s v="Brown"/>
    <s v="BI Analyst"/>
    <s v="HR"/>
    <s v="Scotland"/>
    <s v="James Clarke"/>
    <s v="Linkedln"/>
    <d v="2024-06-18T00:00:00"/>
    <x v="13"/>
    <n v="2024"/>
    <s v=""/>
    <s v=""/>
    <s v=""/>
    <s v=""/>
    <s v="Applied"/>
    <n v="33884"/>
    <m/>
    <s v="Anna"/>
    <s v="Female"/>
    <n v="3.3"/>
    <n v="1"/>
    <n v="0"/>
    <n v="0"/>
    <n v="0"/>
  </r>
  <r>
    <s v="APP0224"/>
    <s v="CAND1225"/>
    <s v="Stewart Jackson"/>
    <s v="Stewart"/>
    <s v="Jackson"/>
    <s v="BI Analyst"/>
    <s v="HR"/>
    <s v="South East"/>
    <s v="Tom Davies"/>
    <s v="Linkedln"/>
    <d v="2025-01-23T00:00:00"/>
    <x v="10"/>
    <n v="2025"/>
    <s v=""/>
    <s v=""/>
    <s v=""/>
    <s v=""/>
    <s v="Rejected"/>
    <n v="31327"/>
    <m/>
    <s v="Joe"/>
    <s v="Female"/>
    <n v="3"/>
    <n v="1"/>
    <n v="0"/>
    <n v="1"/>
    <n v="0"/>
  </r>
  <r>
    <s v="APP0225"/>
    <s v="CAND1230"/>
    <s v="Nigel Thomas"/>
    <s v="Nigel"/>
    <s v="Thomas"/>
    <s v="Data Analyst"/>
    <s v="HR"/>
    <s v="East Midlands"/>
    <s v="James Clarke"/>
    <s v="Referral"/>
    <d v="2024-10-05T00:00:00"/>
    <x v="15"/>
    <n v="2024"/>
    <s v=""/>
    <s v=""/>
    <s v=""/>
    <s v=""/>
    <s v="Applied"/>
    <n v="38045"/>
    <m/>
    <s v="Joe"/>
    <s v="Female"/>
    <n v="4.0999999999999996"/>
    <n v="1"/>
    <n v="0"/>
    <n v="0"/>
    <n v="0"/>
  </r>
  <r>
    <s v="APP0226"/>
    <s v="CAND1247"/>
    <s v="Diane Smith"/>
    <s v="Diane"/>
    <s v="Smith"/>
    <s v="Reporting Analyst"/>
    <s v="Technology"/>
    <s v="South East"/>
    <s v="Michael Patel"/>
    <s v="Linkedln"/>
    <d v="2025-04-29T00:00:00"/>
    <x v="8"/>
    <n v="2025"/>
    <s v=""/>
    <s v=""/>
    <s v=""/>
    <s v=""/>
    <s v="Applied"/>
    <n v="29811"/>
    <m/>
    <s v="Anna"/>
    <s v="Male"/>
    <n v="2.8"/>
    <n v="1"/>
    <n v="0"/>
    <n v="0"/>
    <n v="0"/>
  </r>
  <r>
    <s v="APP0227"/>
    <s v="CAND1035"/>
    <s v="Joseph Patel"/>
    <s v="Joseph"/>
    <s v="Patel"/>
    <s v="Finance Analyst"/>
    <s v="Technology"/>
    <s v="East Midlands"/>
    <s v="Michael Patel"/>
    <s v="Linkedln"/>
    <d v="2025-05-03T00:00:00"/>
    <x v="16"/>
    <n v="2025"/>
    <s v=""/>
    <s v=""/>
    <s v=""/>
    <s v=""/>
    <s v="Applied"/>
    <n v="29542"/>
    <m/>
    <s v="Helen"/>
    <s v="Prefer not to say"/>
    <n v="2.7"/>
    <n v="1"/>
    <n v="0"/>
    <n v="0"/>
    <n v="0"/>
  </r>
  <r>
    <s v="APP0228"/>
    <s v="CAND1207"/>
    <s v="Russell Ward"/>
    <s v="Russell"/>
    <s v="Ward"/>
    <s v="Reporting Analyst"/>
    <s v="Operations"/>
    <s v="Scotland"/>
    <s v="Tom Davies"/>
    <s v="Linkedln"/>
    <d v="2025-04-26T00:00:00"/>
    <x v="8"/>
    <n v="2025"/>
    <s v=""/>
    <s v=""/>
    <s v=""/>
    <s v=""/>
    <s v="Rejected"/>
    <n v="50678"/>
    <m/>
    <s v="Rebecca"/>
    <s v="Female"/>
    <n v="3.9"/>
    <n v="1"/>
    <n v="0"/>
    <n v="1"/>
    <n v="0"/>
  </r>
  <r>
    <s v="APP0229"/>
    <s v="CAND1162"/>
    <s v="Chloe Clarke"/>
    <s v="Chloe"/>
    <s v="Clarke"/>
    <s v="BI Analyst"/>
    <s v="HR"/>
    <s v="East Midlands"/>
    <s v="Michael Patel"/>
    <s v="Reed"/>
    <d v="2024-09-19T00:00:00"/>
    <x v="4"/>
    <n v="2024"/>
    <s v=""/>
    <s v=""/>
    <s v=""/>
    <s v=""/>
    <s v="Applied"/>
    <n v="34998"/>
    <m/>
    <s v="Mark"/>
    <s v="Female"/>
    <n v="2.4"/>
    <n v="1"/>
    <n v="0"/>
    <n v="0"/>
    <n v="0"/>
  </r>
  <r>
    <s v="APP0230"/>
    <s v="CAND1119"/>
    <s v="Leanne Whitehead Clark"/>
    <s v="Leanne"/>
    <s v="Clark"/>
    <s v="BI Analyst"/>
    <s v="Commercial"/>
    <s v="Scotland"/>
    <s v="Michael Patel"/>
    <s v="Referral"/>
    <d v="2024-05-28T00:00:00"/>
    <x v="5"/>
    <n v="2024"/>
    <s v=""/>
    <s v=""/>
    <s v=""/>
    <s v=""/>
    <s v="Rejected"/>
    <n v="44716"/>
    <m/>
    <s v="Mark"/>
    <s v="Prefer not to say"/>
    <n v="3.8"/>
    <n v="1"/>
    <n v="0"/>
    <n v="1"/>
    <n v="0"/>
  </r>
  <r>
    <s v="APP0231"/>
    <s v="CAND1189"/>
    <s v="Elliot Curtis"/>
    <s v="Elliot"/>
    <s v="Curtis"/>
    <s v="Reporting Analyst"/>
    <s v="Technology"/>
    <s v="East Midlands"/>
    <s v="Emma Wilson"/>
    <s v="Linkedln"/>
    <d v="2024-10-02T00:00:00"/>
    <x v="15"/>
    <n v="2024"/>
    <s v=""/>
    <s v=""/>
    <s v=""/>
    <s v=""/>
    <s v="Applied"/>
    <n v="38213"/>
    <m/>
    <s v="Joe"/>
    <s v="Female"/>
    <n v="4.4000000000000004"/>
    <n v="1"/>
    <n v="0"/>
    <n v="0"/>
    <n v="0"/>
  </r>
  <r>
    <s v="APP0232"/>
    <s v="CAND1147"/>
    <s v="Jason Payne"/>
    <s v="Jason"/>
    <s v="Payne"/>
    <s v="Finance Analyst"/>
    <s v="Commercial"/>
    <s v="East Midlands"/>
    <s v="Sarah Green"/>
    <s v="Linkedln"/>
    <d v="2024-10-05T00:00:00"/>
    <x v="15"/>
    <n v="2024"/>
    <s v=""/>
    <s v=""/>
    <s v=""/>
    <s v=""/>
    <s v="Applied"/>
    <n v="40024"/>
    <m/>
    <s v="Helen"/>
    <s v="Prefer not to say"/>
    <n v="4.3"/>
    <n v="1"/>
    <n v="0"/>
    <n v="0"/>
    <n v="0"/>
  </r>
  <r>
    <s v="APP0233"/>
    <s v="CAND1217"/>
    <s v="Diane Smith"/>
    <s v="Diane"/>
    <s v="Smith"/>
    <s v="Finance Analyst"/>
    <s v="Operations"/>
    <s v="East Midlands"/>
    <s v="Sarah Green"/>
    <s v="Reed"/>
    <d v="2025-03-15T00:00:00"/>
    <x v="12"/>
    <n v="2025"/>
    <s v=""/>
    <s v=""/>
    <s v=""/>
    <s v=""/>
    <s v="Applied"/>
    <n v="50839"/>
    <m/>
    <s v="Mark"/>
    <s v="Female"/>
    <n v="4.5"/>
    <n v="1"/>
    <n v="0"/>
    <n v="0"/>
    <n v="0"/>
  </r>
  <r>
    <s v="APP0234"/>
    <s v="CAND1223"/>
    <s v="Samuel Smith"/>
    <s v="Samuel"/>
    <s v="Smith"/>
    <s v="HR Analyst"/>
    <s v="Finance"/>
    <s v="East Midlands"/>
    <s v="Michael Patel"/>
    <s v="Linkedln"/>
    <d v="2024-08-01T00:00:00"/>
    <x v="0"/>
    <n v="2024"/>
    <s v=""/>
    <s v=""/>
    <s v=""/>
    <s v=""/>
    <s v="Applied"/>
    <n v="50440"/>
    <m/>
    <s v="Anna"/>
    <s v="Female"/>
    <n v="3.4"/>
    <n v="1"/>
    <n v="0"/>
    <n v="0"/>
    <n v="0"/>
  </r>
  <r>
    <s v="APP0235"/>
    <s v="CAND1112"/>
    <s v="Ronald Frost"/>
    <s v="Ronald"/>
    <s v="Frost"/>
    <s v="Reporting Analyst"/>
    <s v="Finance"/>
    <s v="London"/>
    <s v="Michael Patel"/>
    <s v="Linkedln"/>
    <d v="2024-07-24T00:00:00"/>
    <x v="1"/>
    <n v="2024"/>
    <d v="2024-07-31T00:00:00"/>
    <d v="2024-08-24T00:00:00"/>
    <d v="2024-08-30T00:00:00"/>
    <n v="37"/>
    <s v="Hired"/>
    <n v="34176"/>
    <n v="36770"/>
    <s v="Joe"/>
    <s v="Female"/>
    <n v="2.8"/>
    <n v="1"/>
    <n v="0"/>
    <n v="0"/>
    <n v="1"/>
  </r>
  <r>
    <s v="APP0236"/>
    <s v="CAND1172"/>
    <s v="Barry Gill"/>
    <s v="Barry"/>
    <s v="Gill"/>
    <s v="Data Analyst"/>
    <s v="Commercial"/>
    <s v="Midlands"/>
    <s v="Sarah Green"/>
    <s v="Linkedln"/>
    <d v="2024-04-04T00:00:00"/>
    <x v="6"/>
    <n v="2024"/>
    <d v="2024-04-17T00:00:00"/>
    <s v=""/>
    <s v=""/>
    <s v=""/>
    <s v="Interviewed"/>
    <n v="31908"/>
    <m/>
    <s v="Mark"/>
    <s v="Female"/>
    <n v="4.5999999999999996"/>
    <n v="1"/>
    <n v="0"/>
    <n v="0"/>
    <n v="1"/>
  </r>
  <r>
    <s v="APP0237"/>
    <s v="CAND1004"/>
    <s v="Kevin Hall Davies"/>
    <s v="Kevin"/>
    <s v="Davies"/>
    <s v="Reporting Analyst"/>
    <s v="Technology"/>
    <s v="Yorkshire"/>
    <s v="Michael Patel"/>
    <s v="Linkedln"/>
    <d v="2024-11-25T00:00:00"/>
    <x v="7"/>
    <n v="2024"/>
    <s v=""/>
    <s v=""/>
    <s v=""/>
    <s v=""/>
    <s v="Applied"/>
    <n v="46276"/>
    <m/>
    <s v="Helen"/>
    <s v="Male"/>
    <n v="2.6"/>
    <n v="1"/>
    <n v="0"/>
    <n v="0"/>
    <n v="0"/>
  </r>
  <r>
    <s v="APP0238"/>
    <s v="CAND1150"/>
    <s v="Rosie Welch"/>
    <s v="Rosie"/>
    <s v="Welch"/>
    <s v="Finance Analyst"/>
    <s v="Commercial"/>
    <s v="Midlands"/>
    <s v="Sarah Green"/>
    <s v="Linkedln"/>
    <d v="2024-04-18T00:00:00"/>
    <x v="6"/>
    <n v="2024"/>
    <d v="2024-05-14T00:00:00"/>
    <d v="2024-05-12T00:00:00"/>
    <d v="2024-05-23T00:00:00"/>
    <n v="35"/>
    <s v="Hired"/>
    <n v="32708"/>
    <n v="35014"/>
    <s v="Anna"/>
    <s v="Female"/>
    <n v="3.1"/>
    <n v="1"/>
    <n v="0"/>
    <n v="0"/>
    <n v="1"/>
  </r>
  <r>
    <s v="APP0239"/>
    <s v="CAND1049"/>
    <s v="Jasmine Cook Vincent"/>
    <s v="Jasmine"/>
    <s v="Vincent"/>
    <s v="Business Analyst"/>
    <s v="HR"/>
    <s v="East Midlands"/>
    <s v="Michael Patel"/>
    <s v="Indeed"/>
    <d v="2024-07-08T00:00:00"/>
    <x v="1"/>
    <n v="2024"/>
    <s v=""/>
    <s v=""/>
    <s v=""/>
    <s v=""/>
    <s v="Rejected"/>
    <n v="43659"/>
    <m/>
    <s v="Rebecca"/>
    <s v="Male"/>
    <n v="3.9"/>
    <n v="1"/>
    <n v="0"/>
    <n v="1"/>
    <n v="0"/>
  </r>
  <r>
    <s v="APP0240"/>
    <s v="CAND1019"/>
    <s v="Lynne Lewis"/>
    <s v="Lynne"/>
    <s v="Lewis"/>
    <s v="BI Analyst"/>
    <s v="Commercial"/>
    <s v="East Midlands"/>
    <s v="Sarah Green"/>
    <s v="CV Library"/>
    <d v="2024-07-12T00:00:00"/>
    <x v="1"/>
    <n v="2024"/>
    <d v="2024-08-08T00:00:00"/>
    <s v=""/>
    <s v=""/>
    <s v=""/>
    <s v="Interviewed"/>
    <n v="48097"/>
    <m/>
    <s v="Helen"/>
    <s v="Female"/>
    <n v="2.4"/>
    <n v="1"/>
    <n v="0"/>
    <n v="0"/>
    <n v="1"/>
  </r>
  <r>
    <s v="APP0241"/>
    <s v="CAND1191"/>
    <s v="Mohammed Bevan"/>
    <s v="Mohammed"/>
    <s v="Bevan"/>
    <s v="Finance Analyst"/>
    <s v="HR"/>
    <s v="South East"/>
    <s v="James Clarke"/>
    <s v="Referral"/>
    <d v="2025-01-23T00:00:00"/>
    <x v="10"/>
    <n v="2025"/>
    <s v=""/>
    <s v=""/>
    <s v=""/>
    <s v=""/>
    <s v="Withdrawn"/>
    <n v="40555"/>
    <m/>
    <s v="Helen"/>
    <s v="Male"/>
    <n v="4.7"/>
    <n v="1"/>
    <n v="1"/>
    <n v="0"/>
    <n v="0"/>
  </r>
  <r>
    <s v="APP0242"/>
    <s v="CAND1167"/>
    <s v="Owen Hanson"/>
    <s v="Owen"/>
    <s v="Hanson"/>
    <s v="Finance Analyst"/>
    <s v="Operations"/>
    <s v="Scotland"/>
    <s v="Michael Patel"/>
    <s v="Indeed"/>
    <d v="2024-06-13T00:00:00"/>
    <x v="13"/>
    <n v="2024"/>
    <d v="2024-06-20T00:00:00"/>
    <s v=""/>
    <s v=""/>
    <s v=""/>
    <s v="Interviewed"/>
    <n v="51983"/>
    <m/>
    <s v="Helen"/>
    <s v="Male"/>
    <n v="3.8"/>
    <n v="1"/>
    <n v="0"/>
    <n v="0"/>
    <n v="1"/>
  </r>
  <r>
    <s v="APP0243"/>
    <s v="CAND1135"/>
    <s v="Sharon Payne"/>
    <s v="Sharon"/>
    <s v="Payne"/>
    <s v="Finance Analyst"/>
    <s v="HR"/>
    <s v="East Midlands"/>
    <s v="James Clarke"/>
    <s v="Reed"/>
    <d v="2024-05-29T00:00:00"/>
    <x v="5"/>
    <n v="2024"/>
    <s v=""/>
    <s v=""/>
    <s v=""/>
    <s v=""/>
    <s v="Rejected"/>
    <n v="45843"/>
    <m/>
    <s v="Helen"/>
    <s v="Female"/>
    <n v="4.2"/>
    <n v="1"/>
    <n v="0"/>
    <n v="1"/>
    <n v="0"/>
  </r>
  <r>
    <s v="APP0244"/>
    <s v="CAND1151"/>
    <s v="Lynn Baker"/>
    <s v="Lynn"/>
    <s v="Baker"/>
    <s v="Data Analyst"/>
    <s v="HR"/>
    <s v="North West"/>
    <s v="Tom Davies"/>
    <s v="Linkedln"/>
    <d v="2025-03-29T00:00:00"/>
    <x v="12"/>
    <n v="2025"/>
    <d v="2025-04-20T00:00:00"/>
    <d v="2025-05-05T00:00:00"/>
    <s v=""/>
    <s v=""/>
    <s v="Offered"/>
    <n v="41730"/>
    <n v="39142"/>
    <s v="Joe"/>
    <s v="Prefer not to say"/>
    <n v="2.4"/>
    <n v="1"/>
    <n v="0"/>
    <n v="0"/>
    <n v="1"/>
  </r>
  <r>
    <s v="APP0245"/>
    <s v="CAND1013"/>
    <s v="Stuart Nixon"/>
    <s v="Stuart"/>
    <s v="Nixon"/>
    <s v="BI Analyst"/>
    <s v="Technology"/>
    <s v="Midlands"/>
    <s v="Emma Wilson"/>
    <s v="Reed"/>
    <d v="2025-04-17T00:00:00"/>
    <x v="8"/>
    <n v="2025"/>
    <s v=""/>
    <s v=""/>
    <s v=""/>
    <s v=""/>
    <s v="Rejected"/>
    <n v="39688"/>
    <m/>
    <s v="Joe"/>
    <s v="Male"/>
    <n v="4.0999999999999996"/>
    <n v="1"/>
    <n v="0"/>
    <n v="1"/>
    <n v="0"/>
  </r>
  <r>
    <s v="APP0246"/>
    <s v="CAND1056"/>
    <s v="Carolyn Brown"/>
    <s v="Carolyn"/>
    <s v="Brown"/>
    <s v="BI Analyst"/>
    <s v="HR"/>
    <s v="London"/>
    <s v="Tom Davies"/>
    <s v="Reed"/>
    <d v="2024-02-09T00:00:00"/>
    <x v="2"/>
    <n v="2024"/>
    <s v=""/>
    <s v=""/>
    <s v=""/>
    <s v=""/>
    <s v="Applied"/>
    <n v="37869"/>
    <m/>
    <s v="Joe"/>
    <s v="Male"/>
    <n v="2.2999999999999998"/>
    <n v="1"/>
    <n v="0"/>
    <n v="0"/>
    <n v="0"/>
  </r>
  <r>
    <s v="APP0247"/>
    <s v="CAND1034"/>
    <s v="Victoria Kaur"/>
    <s v="Victoria"/>
    <s v="Kaur"/>
    <s v="Data Analyst"/>
    <s v="Operations"/>
    <s v="East Midlands"/>
    <s v="Michael Patel"/>
    <s v="Referral"/>
    <d v="2024-08-31T00:00:00"/>
    <x v="0"/>
    <n v="2024"/>
    <s v=""/>
    <s v=""/>
    <s v=""/>
    <s v=""/>
    <s v="Rejected"/>
    <n v="35616"/>
    <m/>
    <s v="Mark"/>
    <s v="Female"/>
    <n v="2.5"/>
    <n v="1"/>
    <n v="0"/>
    <n v="1"/>
    <n v="0"/>
  </r>
  <r>
    <s v="APP0248"/>
    <s v="CAND1074"/>
    <s v="Elliot Butler"/>
    <s v="Elliot"/>
    <s v="Butler"/>
    <s v="BI Analyst"/>
    <s v="Commercial"/>
    <s v="East Midlands"/>
    <s v="Emma Wilson"/>
    <s v="Linkedln"/>
    <d v="2024-02-27T00:00:00"/>
    <x v="2"/>
    <n v="2024"/>
    <s v=""/>
    <s v=""/>
    <s v=""/>
    <s v=""/>
    <s v="Applied"/>
    <n v="49544"/>
    <m/>
    <s v="Joe"/>
    <s v="Prefer not to say"/>
    <m/>
    <n v="1"/>
    <n v="0"/>
    <n v="0"/>
    <n v="0"/>
  </r>
  <r>
    <s v="APP0249"/>
    <s v="CAND1088"/>
    <s v="Teresa Walker"/>
    <s v="Teresa"/>
    <s v="Walker"/>
    <s v="HR Analyst"/>
    <s v="Operations"/>
    <s v="Yorkshire"/>
    <s v="Sarah Green"/>
    <s v="Reed"/>
    <d v="2025-01-30T00:00:00"/>
    <x v="10"/>
    <n v="2025"/>
    <s v=""/>
    <s v=""/>
    <s v=""/>
    <s v=""/>
    <s v="Applied"/>
    <n v="38873"/>
    <m/>
    <s v="Anna"/>
    <s v="Female"/>
    <n v="2.9"/>
    <n v="1"/>
    <n v="0"/>
    <n v="0"/>
    <n v="0"/>
  </r>
  <r>
    <s v="APP0250"/>
    <s v="CAND1233"/>
    <s v="Hollie Wilson"/>
    <s v="Hollie"/>
    <s v="Wilson"/>
    <s v="Reporting Analyst"/>
    <s v="HR"/>
    <s v="East Midlands"/>
    <s v="Sarah Green"/>
    <s v="Referral"/>
    <d v="2024-02-27T00:00:00"/>
    <x v="2"/>
    <n v="2024"/>
    <s v=""/>
    <s v=""/>
    <s v=""/>
    <s v=""/>
    <s v="Applied"/>
    <n v="33259"/>
    <m/>
    <s v="Rebecca"/>
    <s v="Male"/>
    <n v="2.8"/>
    <n v="1"/>
    <n v="0"/>
    <n v="0"/>
    <n v="0"/>
  </r>
  <r>
    <s v="APP0251"/>
    <s v="CAND1178"/>
    <s v="Kirsty Wright"/>
    <s v="Kirsty"/>
    <s v="Wright"/>
    <s v="BI Analyst"/>
    <s v="Finance"/>
    <s v="North West"/>
    <s v="Sarah Green"/>
    <s v="Reed"/>
    <d v="2025-03-18T00:00:00"/>
    <x v="12"/>
    <n v="2025"/>
    <d v="2025-04-14T00:00:00"/>
    <d v="2025-04-03T00:00:00"/>
    <s v=""/>
    <s v=""/>
    <s v="Offered"/>
    <n v="45332"/>
    <n v="46484"/>
    <s v="Mark"/>
    <s v="Female"/>
    <n v="4.8"/>
    <n v="1"/>
    <n v="0"/>
    <n v="0"/>
    <n v="1"/>
  </r>
  <r>
    <s v="APP0252"/>
    <s v="CAND1125"/>
    <s v="Howard Graham"/>
    <s v="Howard"/>
    <s v="Graham"/>
    <s v="Finance Analyst"/>
    <s v="Finance"/>
    <s v="East Midlands"/>
    <s v="James Clarke"/>
    <s v="CV Library"/>
    <d v="2024-03-04T00:00:00"/>
    <x v="3"/>
    <n v="2024"/>
    <d v="2024-03-16T00:00:00"/>
    <d v="2024-03-26T00:00:00"/>
    <s v=""/>
    <s v=""/>
    <s v="Offered"/>
    <n v="50664"/>
    <n v="51046"/>
    <s v="Mark"/>
    <s v="Male"/>
    <n v="2.5"/>
    <n v="1"/>
    <n v="0"/>
    <n v="0"/>
    <n v="1"/>
  </r>
  <r>
    <s v="APP0253"/>
    <s v="CAND1178"/>
    <s v="Elaine Steele"/>
    <s v="Elaine"/>
    <s v="Steele"/>
    <s v="Reporting Analyst"/>
    <s v="Commercial"/>
    <s v="North West"/>
    <s v="Tom Davies"/>
    <s v="Linkedln"/>
    <d v="2024-05-30T00:00:00"/>
    <x v="5"/>
    <n v="2024"/>
    <s v=""/>
    <s v=""/>
    <s v=""/>
    <s v=""/>
    <s v="Applied"/>
    <n v="36993"/>
    <m/>
    <s v="Joe"/>
    <s v="Male"/>
    <n v="2.5"/>
    <n v="1"/>
    <n v="0"/>
    <n v="0"/>
    <n v="0"/>
  </r>
  <r>
    <s v="APP0254"/>
    <s v="CAND1229"/>
    <s v="Joseph Wilson"/>
    <s v="Joseph"/>
    <s v="Wilson"/>
    <s v="HR Analyst"/>
    <s v="Technology"/>
    <s v="Scotland"/>
    <s v="Sarah Green"/>
    <s v="Linkedln"/>
    <d v="2025-04-16T00:00:00"/>
    <x v="8"/>
    <n v="2025"/>
    <d v="2025-05-11T00:00:00"/>
    <s v=""/>
    <s v=""/>
    <s v=""/>
    <s v="Interviewed"/>
    <n v="47168"/>
    <m/>
    <s v="Rebecca"/>
    <s v="Prefer not to say"/>
    <n v="4.4000000000000004"/>
    <n v="1"/>
    <n v="0"/>
    <n v="0"/>
    <n v="1"/>
  </r>
  <r>
    <s v="APP0255"/>
    <s v="CAND1043"/>
    <s v="Olivia King Barnes"/>
    <s v="Olivia"/>
    <s v="Barnes"/>
    <s v="Reporting Analyst"/>
    <s v="Technology"/>
    <s v="Yorkshire"/>
    <s v="James Clarke"/>
    <s v="Reed"/>
    <d v="2024-03-20T00:00:00"/>
    <x v="3"/>
    <n v="2024"/>
    <s v=""/>
    <s v=""/>
    <s v=""/>
    <s v=""/>
    <s v="Rejected"/>
    <n v="50986"/>
    <m/>
    <s v="Mark"/>
    <s v="Prefer not to say"/>
    <n v="4.2"/>
    <n v="1"/>
    <n v="0"/>
    <n v="1"/>
    <n v="0"/>
  </r>
  <r>
    <s v="APP0256"/>
    <s v="CAND1071"/>
    <s v="Nigel Freeman"/>
    <s v="Nigel"/>
    <s v="Freeman"/>
    <s v="Data Analyst"/>
    <s v="Finance"/>
    <s v="Midlands"/>
    <s v="Emma Wilson"/>
    <s v="Indeed"/>
    <d v="2024-06-20T00:00:00"/>
    <x v="13"/>
    <n v="2024"/>
    <d v="2024-07-17T00:00:00"/>
    <d v="2024-07-15T00:00:00"/>
    <d v="2024-08-11T00:00:00"/>
    <n v="52"/>
    <s v="Hired"/>
    <n v="50717"/>
    <n v="47768"/>
    <s v="Joe"/>
    <s v="Female"/>
    <n v="4.4000000000000004"/>
    <n v="1"/>
    <n v="0"/>
    <n v="0"/>
    <n v="1"/>
  </r>
  <r>
    <s v="APP0257"/>
    <s v="CAND1057"/>
    <s v="Graham Collins"/>
    <s v="Graham"/>
    <s v="Collins"/>
    <s v="Reporting Analyst"/>
    <s v="Finance"/>
    <s v="East Midlands"/>
    <s v="Emma Wilson"/>
    <s v="Linkedln"/>
    <d v="2025-01-11T00:00:00"/>
    <x v="10"/>
    <n v="2025"/>
    <d v="2025-01-30T00:00:00"/>
    <s v=""/>
    <s v=""/>
    <s v=""/>
    <s v="Interviewed"/>
    <n v="45428"/>
    <m/>
    <s v="Helen"/>
    <s v="Female"/>
    <n v="2.2999999999999998"/>
    <n v="1"/>
    <n v="0"/>
    <n v="0"/>
    <n v="1"/>
  </r>
  <r>
    <s v="APP0258"/>
    <s v="CAND1102"/>
    <s v="Jennifer Frost"/>
    <s v="Jennifer"/>
    <s v="Frost"/>
    <s v="Data Analyst"/>
    <s v="HR"/>
    <s v="London"/>
    <s v="Michael Patel"/>
    <s v="CV Library"/>
    <d v="2025-01-13T00:00:00"/>
    <x v="10"/>
    <n v="2025"/>
    <d v="2025-01-21T00:00:00"/>
    <s v=""/>
    <s v=""/>
    <s v=""/>
    <s v="Interviewed"/>
    <n v="47732"/>
    <m/>
    <s v="Mark"/>
    <s v="Prefer not to say"/>
    <n v="3.7"/>
    <n v="1"/>
    <n v="0"/>
    <n v="0"/>
    <n v="1"/>
  </r>
  <r>
    <s v="APP0259"/>
    <s v="CAND1070"/>
    <s v="Benjamin Morris"/>
    <s v="Benjamin"/>
    <s v="Morris"/>
    <s v="BI Analyst"/>
    <s v="Operations"/>
    <s v="East Midlands"/>
    <s v="Michael Patel"/>
    <s v="Reed"/>
    <d v="2024-06-26T00:00:00"/>
    <x v="13"/>
    <n v="2024"/>
    <d v="2024-07-17T00:00:00"/>
    <s v=""/>
    <s v=""/>
    <s v=""/>
    <s v="Interviewed"/>
    <n v="51088"/>
    <m/>
    <s v="Rebecca"/>
    <s v="Female"/>
    <m/>
    <n v="1"/>
    <n v="0"/>
    <n v="0"/>
    <n v="1"/>
  </r>
  <r>
    <s v="APP0260"/>
    <s v="CAND1211"/>
    <s v="Robert Todd"/>
    <s v="Robert"/>
    <s v="Todd"/>
    <s v="BI Analyst"/>
    <s v="Finance"/>
    <s v="East Midlands"/>
    <s v="Michael Patel"/>
    <s v="CV Library"/>
    <d v="2024-10-10T00:00:00"/>
    <x v="15"/>
    <n v="2024"/>
    <d v="2024-10-15T00:00:00"/>
    <d v="2024-10-31T00:00:00"/>
    <d v="2024-11-21T00:00:00"/>
    <n v="42"/>
    <s v="Hired"/>
    <n v="40212"/>
    <n v="40707"/>
    <s v="Anna"/>
    <s v="Prefer not to say"/>
    <n v="4.0999999999999996"/>
    <n v="1"/>
    <n v="0"/>
    <n v="0"/>
    <n v="1"/>
  </r>
  <r>
    <s v="APP0261"/>
    <s v="CAND1080"/>
    <s v="Denis Leach Carter"/>
    <s v="Denis"/>
    <s v="Carter"/>
    <s v="Business Analyst"/>
    <s v="Technology"/>
    <s v="Scotland"/>
    <s v="Emma Wilson"/>
    <s v="CV Library"/>
    <d v="2024-11-06T00:00:00"/>
    <x v="7"/>
    <n v="2024"/>
    <s v=""/>
    <s v=""/>
    <s v=""/>
    <s v=""/>
    <s v="Rejected"/>
    <n v="34684"/>
    <m/>
    <s v="Rebecca"/>
    <s v="Male"/>
    <n v="4.0999999999999996"/>
    <n v="1"/>
    <n v="0"/>
    <n v="1"/>
    <n v="0"/>
  </r>
  <r>
    <s v="APP0262"/>
    <s v="CAND1131"/>
    <s v="Robin Bishop Clark"/>
    <s v="Robin"/>
    <s v="Clark"/>
    <s v="Business Analyst"/>
    <s v="Operations"/>
    <s v="Scotland"/>
    <s v="James Clarke"/>
    <s v="Referral"/>
    <d v="2024-04-09T00:00:00"/>
    <x v="6"/>
    <n v="2024"/>
    <d v="2024-04-21T00:00:00"/>
    <d v="2024-05-22T00:00:00"/>
    <d v="2024-05-30T00:00:00"/>
    <n v="51"/>
    <s v="Hired"/>
    <n v="28134"/>
    <n v="31583"/>
    <s v="Rebecca"/>
    <s v="Prefer not to say"/>
    <n v="4.9000000000000004"/>
    <n v="1"/>
    <n v="0"/>
    <n v="0"/>
    <n v="1"/>
  </r>
  <r>
    <s v="APP0263"/>
    <s v="CAND1012"/>
    <s v="Eleanor Webb"/>
    <s v="Eleanor"/>
    <s v="Webb"/>
    <s v="Reporting Analyst"/>
    <s v="Technology"/>
    <s v="East Midlands"/>
    <s v="Emma Wilson"/>
    <s v="Linkedln"/>
    <d v="2024-07-22T00:00:00"/>
    <x v="1"/>
    <n v="2024"/>
    <s v=""/>
    <s v=""/>
    <s v=""/>
    <s v=""/>
    <s v="Rejected"/>
    <n v="36009"/>
    <m/>
    <s v="Rebecca"/>
    <s v="Female"/>
    <n v="3.1"/>
    <n v="1"/>
    <n v="0"/>
    <n v="1"/>
    <n v="0"/>
  </r>
  <r>
    <s v="APP0264"/>
    <s v="CAND1177"/>
    <s v="Dylan Coleman"/>
    <s v="Dylan"/>
    <s v="Coleman"/>
    <s v="BI Analyst"/>
    <s v="Commercial"/>
    <s v="Yorkshire"/>
    <s v="Emma Wilson"/>
    <s v="Reed"/>
    <d v="2024-04-14T00:00:00"/>
    <x v="6"/>
    <n v="2024"/>
    <d v="2024-04-20T00:00:00"/>
    <d v="2024-04-29T00:00:00"/>
    <d v="2024-05-26T00:00:00"/>
    <n v="42"/>
    <s v="Hired"/>
    <n v="40466"/>
    <n v="37941"/>
    <s v="Joe"/>
    <s v="Prefer not to say"/>
    <n v="4.3"/>
    <n v="1"/>
    <n v="0"/>
    <n v="0"/>
    <n v="1"/>
  </r>
  <r>
    <s v="APP0265"/>
    <s v="CAND1105"/>
    <s v="Douglas Leonard Bennett"/>
    <s v="Douglas"/>
    <s v="Bennett"/>
    <s v="Finance Analyst"/>
    <s v="HR"/>
    <s v="South East"/>
    <s v="Sarah Green"/>
    <s v="Linkedln"/>
    <d v="2024-02-01T00:00:00"/>
    <x v="2"/>
    <n v="2024"/>
    <d v="2024-02-17T00:00:00"/>
    <s v=""/>
    <s v=""/>
    <s v=""/>
    <s v="Interviewed"/>
    <n v="40722"/>
    <m/>
    <s v="Anna"/>
    <s v="Prefer not to say"/>
    <n v="3.2"/>
    <n v="1"/>
    <n v="0"/>
    <n v="0"/>
    <n v="1"/>
  </r>
  <r>
    <s v="APP0266"/>
    <s v="CAND1039"/>
    <s v="Jeffrey Wade"/>
    <s v="Jeffrey"/>
    <s v="Wade"/>
    <s v="HR Analyst"/>
    <s v="Commercial"/>
    <s v="South East"/>
    <s v="Emma Wilson"/>
    <s v="Reed"/>
    <d v="2024-02-22T00:00:00"/>
    <x v="2"/>
    <n v="2024"/>
    <d v="2024-03-06T00:00:00"/>
    <s v=""/>
    <s v=""/>
    <s v=""/>
    <s v="Interviewed"/>
    <n v="30710"/>
    <m/>
    <s v="Rebecca"/>
    <s v="Female"/>
    <n v="3.2"/>
    <n v="1"/>
    <n v="0"/>
    <n v="0"/>
    <n v="1"/>
  </r>
  <r>
    <s v="APP0267"/>
    <s v="CAND1136"/>
    <s v="Wendy Moore"/>
    <s v="Wendy"/>
    <s v="Moore"/>
    <s v="HR Analyst"/>
    <s v="Technology"/>
    <s v="Midlands"/>
    <s v="James Clarke"/>
    <s v="CV Library"/>
    <d v="2025-02-04T00:00:00"/>
    <x v="11"/>
    <n v="2025"/>
    <s v=""/>
    <s v=""/>
    <s v=""/>
    <s v=""/>
    <s v="Rejected"/>
    <n v="35491"/>
    <m/>
    <s v="Joe"/>
    <s v="Male"/>
    <m/>
    <n v="1"/>
    <n v="0"/>
    <n v="1"/>
    <n v="0"/>
  </r>
  <r>
    <s v="APP0268"/>
    <s v="CAND1074"/>
    <s v="Justin Howe"/>
    <s v="Justin"/>
    <s v="Howe"/>
    <s v="Finance Analyst"/>
    <s v="Operations"/>
    <s v="Midlands"/>
    <s v="Michael Patel"/>
    <s v="Referral"/>
    <d v="2025-02-16T00:00:00"/>
    <x v="11"/>
    <n v="2025"/>
    <d v="2025-02-25T00:00:00"/>
    <d v="2025-03-12T00:00:00"/>
    <s v=""/>
    <s v=""/>
    <s v="Offered"/>
    <n v="28035"/>
    <n v="31156"/>
    <s v="Rebecca"/>
    <s v="Female"/>
    <n v="3.4"/>
    <n v="1"/>
    <n v="0"/>
    <n v="0"/>
    <n v="1"/>
  </r>
  <r>
    <s v="APP0269"/>
    <s v="CAND1123"/>
    <s v="Sara Lee"/>
    <s v="Sara"/>
    <s v="Lee"/>
    <s v="Business Analyst"/>
    <s v="Commercial"/>
    <s v="London"/>
    <s v="James Clarke"/>
    <s v="Indeed"/>
    <d v="2024-03-15T00:00:00"/>
    <x v="3"/>
    <n v="2024"/>
    <s v=""/>
    <s v=""/>
    <s v=""/>
    <s v=""/>
    <s v="Applied"/>
    <n v="46255"/>
    <m/>
    <s v="Anna"/>
    <s v="Male"/>
    <n v="2.2999999999999998"/>
    <n v="1"/>
    <n v="0"/>
    <n v="0"/>
    <n v="0"/>
  </r>
  <r>
    <s v="APP0270"/>
    <s v="CAND1009"/>
    <s v="Terry Brown"/>
    <s v="Terry"/>
    <s v="Brown"/>
    <s v="Finance Analyst"/>
    <s v="HR"/>
    <s v="North West"/>
    <s v="Michael Patel"/>
    <s v="Linkedln"/>
    <d v="2024-05-25T00:00:00"/>
    <x v="5"/>
    <n v="2024"/>
    <s v=""/>
    <s v=""/>
    <s v=""/>
    <s v=""/>
    <s v="Rejected"/>
    <n v="47309"/>
    <m/>
    <s v="Mark"/>
    <s v="Prefer not to say"/>
    <n v="3.2"/>
    <n v="1"/>
    <n v="0"/>
    <n v="1"/>
    <n v="0"/>
  </r>
  <r>
    <s v="APP0271"/>
    <s v="CAND1104"/>
    <s v="Charlie Evans"/>
    <s v="Charlie"/>
    <s v="Evans"/>
    <s v="Reporting Analyst"/>
    <s v="Commercial"/>
    <s v="Yorkshire"/>
    <s v="Sarah Green"/>
    <s v="Linkedln"/>
    <d v="2025-02-24T00:00:00"/>
    <x v="11"/>
    <n v="2025"/>
    <d v="2025-03-13T00:00:00"/>
    <d v="2025-04-03T00:00:00"/>
    <s v=""/>
    <s v=""/>
    <s v="Offered"/>
    <n v="38059"/>
    <n v="35281"/>
    <s v="Joe"/>
    <s v="Prefer not to say"/>
    <m/>
    <n v="1"/>
    <n v="0"/>
    <n v="0"/>
    <n v="1"/>
  </r>
  <r>
    <s v="APP0272"/>
    <s v="CAND1250"/>
    <s v="Jessica Brown Ford"/>
    <s v="Jessica"/>
    <s v="Ford"/>
    <s v="Business Analyst"/>
    <s v="HR"/>
    <s v="London"/>
    <s v="Emma Wilson"/>
    <s v="Linkedln"/>
    <d v="2024-05-11T00:00:00"/>
    <x v="5"/>
    <n v="2024"/>
    <d v="2024-06-05T00:00:00"/>
    <s v=""/>
    <s v=""/>
    <s v=""/>
    <s v="Interviewed"/>
    <n v="30155"/>
    <m/>
    <s v="Anna"/>
    <s v="Prefer not to say"/>
    <n v="2.2000000000000002"/>
    <n v="1"/>
    <n v="0"/>
    <n v="0"/>
    <n v="1"/>
  </r>
  <r>
    <s v="APP0273"/>
    <s v="CAND1090"/>
    <s v="Jason Stone"/>
    <s v="Jason"/>
    <s v="Stone"/>
    <s v="Data Analyst"/>
    <s v="Technology"/>
    <s v="Midlands"/>
    <s v="Tom Davies"/>
    <s v="Linkedln"/>
    <d v="2025-03-30T00:00:00"/>
    <x v="12"/>
    <n v="2025"/>
    <s v=""/>
    <s v=""/>
    <s v=""/>
    <s v=""/>
    <s v="Withdrawn"/>
    <n v="32856"/>
    <m/>
    <s v="Joe"/>
    <s v="Male"/>
    <m/>
    <n v="1"/>
    <n v="1"/>
    <n v="0"/>
    <n v="0"/>
  </r>
  <r>
    <s v="APP0274"/>
    <s v="CAND1044"/>
    <s v="Nicole Potts"/>
    <s v="Nicole"/>
    <s v="Potts"/>
    <s v="Finance Analyst"/>
    <s v="Technology"/>
    <s v="Scotland"/>
    <s v="Sarah Green"/>
    <s v="CV Library"/>
    <d v="2024-06-07T00:00:00"/>
    <x v="13"/>
    <n v="2024"/>
    <d v="2024-06-16T00:00:00"/>
    <s v=""/>
    <s v=""/>
    <s v=""/>
    <s v="Interviewed"/>
    <n v="49828"/>
    <m/>
    <s v="Anna"/>
    <s v="Female"/>
    <m/>
    <n v="1"/>
    <n v="0"/>
    <n v="0"/>
    <n v="1"/>
  </r>
  <r>
    <s v="APP0275"/>
    <s v="CAND1074"/>
    <s v="Aaron Griffin"/>
    <s v="Aaron"/>
    <s v="Griffin"/>
    <s v="HR Analyst"/>
    <s v="Operations"/>
    <s v="East Midlands"/>
    <s v="James Clarke"/>
    <s v="Indeed"/>
    <d v="2024-05-29T00:00:00"/>
    <x v="5"/>
    <n v="2024"/>
    <s v=""/>
    <s v=""/>
    <s v=""/>
    <s v=""/>
    <s v="Rejected"/>
    <n v="33432"/>
    <m/>
    <s v="Anna"/>
    <s v="Male"/>
    <n v="4.0999999999999996"/>
    <n v="1"/>
    <n v="0"/>
    <n v="1"/>
    <n v="0"/>
  </r>
  <r>
    <s v="APP0276"/>
    <s v="CAND1164"/>
    <s v="Denise Bradley"/>
    <s v="Denise"/>
    <s v="Bradley"/>
    <s v="Business Analyst"/>
    <s v="Finance"/>
    <s v="Midlands"/>
    <s v="Tom Davies"/>
    <s v="Indeed"/>
    <d v="2025-03-27T00:00:00"/>
    <x v="12"/>
    <n v="2025"/>
    <s v=""/>
    <s v=""/>
    <s v=""/>
    <s v=""/>
    <s v="Withdrawn"/>
    <n v="40429"/>
    <m/>
    <s v="Mark"/>
    <s v="Prefer not to say"/>
    <n v="2.5"/>
    <n v="1"/>
    <n v="1"/>
    <n v="0"/>
    <n v="0"/>
  </r>
  <r>
    <s v="APP0277"/>
    <s v="CAND1188"/>
    <s v="Rita Bevan"/>
    <s v="Rita"/>
    <s v="Bevan"/>
    <s v="Business Analyst"/>
    <s v="Commercial"/>
    <s v="Scotland"/>
    <s v="Emma Wilson"/>
    <s v="Indeed"/>
    <d v="2024-01-10T00:00:00"/>
    <x v="9"/>
    <n v="2024"/>
    <s v=""/>
    <s v=""/>
    <s v=""/>
    <s v=""/>
    <s v="Withdrawn"/>
    <n v="51179"/>
    <m/>
    <s v="Anna"/>
    <s v="Prefer not to say"/>
    <n v="4"/>
    <n v="1"/>
    <n v="1"/>
    <n v="0"/>
    <n v="0"/>
  </r>
  <r>
    <s v="APP0278"/>
    <s v="CAND1169"/>
    <s v="Robin Wilkinson Smith"/>
    <s v="Robin"/>
    <s v="Smith"/>
    <s v="Reporting Analyst"/>
    <s v="Operations"/>
    <s v="Scotland"/>
    <s v="James Clarke"/>
    <s v="CV Library"/>
    <d v="2024-12-02T00:00:00"/>
    <x v="14"/>
    <n v="2024"/>
    <d v="2024-12-09T00:00:00"/>
    <d v="2024-12-21T00:00:00"/>
    <s v=""/>
    <s v=""/>
    <s v="Offered"/>
    <n v="31897"/>
    <n v="31145"/>
    <s v="Anna"/>
    <s v="Female"/>
    <m/>
    <n v="1"/>
    <n v="0"/>
    <n v="0"/>
    <n v="1"/>
  </r>
  <r>
    <s v="APP0279"/>
    <s v="CAND1191"/>
    <s v="Barbara Cooke"/>
    <s v="Barbara"/>
    <s v="Cooke"/>
    <s v="Data Analyst"/>
    <s v="Finance"/>
    <s v="Midlands"/>
    <s v="James Clarke"/>
    <s v="Reed"/>
    <d v="2024-01-15T00:00:00"/>
    <x v="9"/>
    <n v="2024"/>
    <s v=""/>
    <s v=""/>
    <s v=""/>
    <s v=""/>
    <s v="Rejected"/>
    <n v="44699"/>
    <m/>
    <s v="Mark"/>
    <s v="Prefer not to say"/>
    <n v="4.7"/>
    <n v="1"/>
    <n v="0"/>
    <n v="1"/>
    <n v="0"/>
  </r>
  <r>
    <s v="APP0280"/>
    <s v="CAND1181"/>
    <s v="Justin Bishop"/>
    <s v="Justin"/>
    <s v="Bishop"/>
    <s v="Reporting Analyst"/>
    <s v="Technology"/>
    <s v="Midlands"/>
    <s v="Sarah Green"/>
    <s v="Linkedln"/>
    <d v="2025-02-24T00:00:00"/>
    <x v="11"/>
    <n v="2025"/>
    <s v=""/>
    <s v=""/>
    <s v=""/>
    <s v=""/>
    <s v="Applied"/>
    <n v="46363"/>
    <m/>
    <s v="Anna"/>
    <s v="Male"/>
    <n v="3.1"/>
    <n v="1"/>
    <n v="0"/>
    <n v="0"/>
    <n v="0"/>
  </r>
  <r>
    <s v="APP0281"/>
    <s v="CAND1086"/>
    <s v="Kyle Barnes"/>
    <s v="Kyle"/>
    <s v="Barnes"/>
    <s v="Reporting Analyst"/>
    <s v="Finance"/>
    <s v="Midlands"/>
    <s v="James Clarke"/>
    <s v="Reed"/>
    <d v="2025-02-13T00:00:00"/>
    <x v="11"/>
    <n v="2025"/>
    <s v=""/>
    <s v=""/>
    <s v=""/>
    <s v=""/>
    <s v="Rejected"/>
    <n v="50641"/>
    <m/>
    <s v="Anna"/>
    <s v="Prefer not to say"/>
    <n v="4.4000000000000004"/>
    <n v="1"/>
    <n v="0"/>
    <n v="1"/>
    <n v="0"/>
  </r>
  <r>
    <s v="APP0282"/>
    <s v="CAND1038"/>
    <s v="Margaret Elliott Taylor"/>
    <s v="Margaret"/>
    <s v="Taylor"/>
    <s v="Reporting Analyst"/>
    <s v="Technology"/>
    <s v="East Midlands"/>
    <s v="Sarah Green"/>
    <s v="Referral"/>
    <d v="2025-02-21T00:00:00"/>
    <x v="11"/>
    <n v="2025"/>
    <d v="2025-03-05T00:00:00"/>
    <d v="2025-04-02T00:00:00"/>
    <s v=""/>
    <s v=""/>
    <s v="Offered"/>
    <n v="42265"/>
    <n v="45500"/>
    <s v="Rebecca"/>
    <s v="Prefer not to say"/>
    <n v="3.6"/>
    <n v="1"/>
    <n v="0"/>
    <n v="0"/>
    <n v="1"/>
  </r>
  <r>
    <s v="APP0283"/>
    <s v="CAND1114"/>
    <s v="Leanne Smith"/>
    <s v="Leanne"/>
    <s v="Smith"/>
    <s v="Finance Analyst"/>
    <s v="HR"/>
    <s v="Midlands"/>
    <s v="Emma Wilson"/>
    <s v="Indeed"/>
    <d v="2025-02-15T00:00:00"/>
    <x v="11"/>
    <n v="2025"/>
    <d v="2025-03-14T00:00:00"/>
    <d v="2025-03-08T00:00:00"/>
    <s v=""/>
    <s v=""/>
    <s v="Offered"/>
    <n v="45025"/>
    <n v="44603"/>
    <s v="Joe"/>
    <s v="Male"/>
    <n v="2.2999999999999998"/>
    <n v="1"/>
    <n v="0"/>
    <n v="0"/>
    <n v="1"/>
  </r>
  <r>
    <s v="APP0284"/>
    <s v="CAND1131"/>
    <s v="Owen Brown"/>
    <s v="Owen"/>
    <s v="Brown"/>
    <s v="Business Analyst"/>
    <s v="Finance"/>
    <s v="East Midlands"/>
    <s v="James Clarke"/>
    <s v="Linkedln"/>
    <d v="2025-04-22T00:00:00"/>
    <x v="8"/>
    <n v="2025"/>
    <s v=""/>
    <s v=""/>
    <s v=""/>
    <s v=""/>
    <s v="Rejected"/>
    <n v="33469"/>
    <m/>
    <s v="Rebecca"/>
    <s v="Prefer not to say"/>
    <n v="2.6"/>
    <n v="1"/>
    <n v="0"/>
    <n v="1"/>
    <n v="0"/>
  </r>
  <r>
    <s v="APP0285"/>
    <s v="CAND1139"/>
    <s v="Dean Ross Robinson"/>
    <s v="Dean"/>
    <s v="Robinson"/>
    <s v="Reporting Analyst"/>
    <s v="Technology"/>
    <s v="East Midlands"/>
    <s v="Emma Wilson"/>
    <s v="Linkedln"/>
    <d v="2024-03-23T00:00:00"/>
    <x v="3"/>
    <n v="2024"/>
    <s v=""/>
    <s v=""/>
    <s v=""/>
    <s v=""/>
    <s v="Applied"/>
    <n v="37714"/>
    <m/>
    <s v="Helen"/>
    <s v="Prefer not to say"/>
    <n v="3.5"/>
    <n v="1"/>
    <n v="0"/>
    <n v="0"/>
    <n v="0"/>
  </r>
  <r>
    <s v="APP0286"/>
    <s v="CAND1070"/>
    <s v="Megan Norman"/>
    <s v="Megan"/>
    <s v="Norman"/>
    <s v="HR Analyst"/>
    <s v="Commercial"/>
    <s v="North West"/>
    <s v="Michael Patel"/>
    <s v="Linkedln"/>
    <d v="2025-02-08T00:00:00"/>
    <x v="11"/>
    <n v="2025"/>
    <d v="2025-03-07T00:00:00"/>
    <s v=""/>
    <s v=""/>
    <s v=""/>
    <s v="Interviewed"/>
    <n v="40739"/>
    <m/>
    <s v="Joe"/>
    <s v="Prefer not to say"/>
    <m/>
    <n v="1"/>
    <n v="0"/>
    <n v="0"/>
    <n v="1"/>
  </r>
  <r>
    <s v="APP0287"/>
    <s v="CAND1186"/>
    <s v="Lisa Daly"/>
    <s v="Lisa"/>
    <s v="Daly"/>
    <s v="Finance Analyst"/>
    <s v="Technology"/>
    <s v="Midlands"/>
    <s v="Emma Wilson"/>
    <s v="Linkedln"/>
    <d v="2024-05-01T00:00:00"/>
    <x v="5"/>
    <n v="2024"/>
    <d v="2024-05-16T00:00:00"/>
    <d v="2024-05-17T00:00:00"/>
    <s v=""/>
    <s v=""/>
    <s v="Offered"/>
    <n v="28452"/>
    <n v="25597"/>
    <s v="Rebecca"/>
    <s v="Prefer not to say"/>
    <n v="3.3"/>
    <n v="1"/>
    <n v="0"/>
    <n v="0"/>
    <n v="1"/>
  </r>
  <r>
    <s v="APP0288"/>
    <s v="CAND1000"/>
    <s v="Carole Bradley"/>
    <s v="Carole"/>
    <s v="Bradley"/>
    <s v="HR Analyst"/>
    <s v="HR"/>
    <s v="East Midlands"/>
    <s v="Emma Wilson"/>
    <s v="Indeed"/>
    <d v="2024-11-17T00:00:00"/>
    <x v="7"/>
    <n v="2024"/>
    <s v=""/>
    <s v=""/>
    <s v=""/>
    <s v=""/>
    <s v="Applied"/>
    <n v="41179"/>
    <m/>
    <s v="Mark"/>
    <s v="Prefer not to say"/>
    <n v="4.5"/>
    <n v="1"/>
    <n v="0"/>
    <n v="0"/>
    <n v="0"/>
  </r>
  <r>
    <s v="APP0289"/>
    <s v="CAND1053"/>
    <s v="Sian Elliott"/>
    <s v="Sian"/>
    <s v="Elliott"/>
    <s v="Business Analyst"/>
    <s v="Operations"/>
    <s v="Yorkshire"/>
    <s v="Tom Davies"/>
    <s v="Indeed"/>
    <d v="2025-01-22T00:00:00"/>
    <x v="10"/>
    <n v="2025"/>
    <s v=""/>
    <s v=""/>
    <s v=""/>
    <s v=""/>
    <s v="Applied"/>
    <n v="28942"/>
    <m/>
    <s v="Mark"/>
    <s v="Prefer not to say"/>
    <n v="3.7"/>
    <n v="1"/>
    <n v="0"/>
    <n v="0"/>
    <n v="0"/>
  </r>
  <r>
    <s v="APP0290"/>
    <s v="CAND1033"/>
    <s v="Dominic Knight"/>
    <s v="Dominic"/>
    <s v="Knight"/>
    <s v="Business Analyst"/>
    <s v="Operations"/>
    <s v="Midlands"/>
    <s v="Tom Davies"/>
    <s v="Linkedln"/>
    <d v="2024-02-07T00:00:00"/>
    <x v="2"/>
    <n v="2024"/>
    <s v=""/>
    <s v=""/>
    <s v=""/>
    <s v=""/>
    <s v="Applied"/>
    <n v="29553"/>
    <m/>
    <s v="Rebecca"/>
    <s v="Male"/>
    <n v="2.6"/>
    <n v="1"/>
    <n v="0"/>
    <n v="0"/>
    <n v="0"/>
  </r>
  <r>
    <s v="APP0291"/>
    <s v="CAND1146"/>
    <s v="Billy Flynn"/>
    <s v="Billy"/>
    <s v="Flynn"/>
    <s v="BI Analyst"/>
    <s v="Operations"/>
    <s v="London"/>
    <s v="Emma Wilson"/>
    <s v="Linkedln"/>
    <d v="2024-07-21T00:00:00"/>
    <x v="1"/>
    <n v="2024"/>
    <s v=""/>
    <s v=""/>
    <s v=""/>
    <s v=""/>
    <s v="Rejected"/>
    <n v="44473"/>
    <m/>
    <s v="Helen"/>
    <s v="Prefer not to say"/>
    <m/>
    <n v="1"/>
    <n v="0"/>
    <n v="1"/>
    <n v="0"/>
  </r>
  <r>
    <s v="APP0292"/>
    <s v="CAND1050"/>
    <s v="Rhys Hall"/>
    <s v="Rhys"/>
    <s v="Hall"/>
    <s v="Reporting Analyst"/>
    <s v="Commercial"/>
    <s v="Midlands"/>
    <s v="Sarah Green"/>
    <s v="Linkedln"/>
    <d v="2024-10-09T00:00:00"/>
    <x v="15"/>
    <n v="2024"/>
    <d v="2024-10-31T00:00:00"/>
    <s v=""/>
    <s v=""/>
    <s v=""/>
    <s v="Interviewed"/>
    <n v="42302"/>
    <m/>
    <s v="Rebecca"/>
    <s v="Prefer not to say"/>
    <n v="4.3"/>
    <n v="1"/>
    <n v="0"/>
    <n v="0"/>
    <n v="1"/>
  </r>
  <r>
    <s v="APP0293"/>
    <s v="CAND1002"/>
    <s v="Edward Sanderson Harris"/>
    <s v="Edward"/>
    <s v="Harris"/>
    <s v="BI Analyst"/>
    <s v="Finance"/>
    <s v="East Midlands"/>
    <s v="James Clarke"/>
    <s v="Linkedln"/>
    <d v="2024-03-20T00:00:00"/>
    <x v="3"/>
    <n v="2024"/>
    <s v=""/>
    <s v=""/>
    <s v=""/>
    <s v=""/>
    <s v="Rejected"/>
    <n v="41705"/>
    <m/>
    <s v="Helen"/>
    <s v="Male"/>
    <n v="4.0999999999999996"/>
    <n v="1"/>
    <n v="0"/>
    <n v="1"/>
    <n v="0"/>
  </r>
  <r>
    <s v="APP0294"/>
    <s v="CAND1246"/>
    <s v="Lesley Pope Hughes"/>
    <s v="Lesley"/>
    <s v="Hughes"/>
    <s v="Data Analyst"/>
    <s v="HR"/>
    <s v="North West"/>
    <s v="Tom Davies"/>
    <s v="Linkedln"/>
    <d v="2025-02-25T00:00:00"/>
    <x v="11"/>
    <n v="2025"/>
    <s v=""/>
    <s v=""/>
    <s v=""/>
    <s v=""/>
    <s v="Applied"/>
    <n v="30363"/>
    <m/>
    <s v="Joe"/>
    <s v="Female"/>
    <m/>
    <n v="1"/>
    <n v="0"/>
    <n v="0"/>
    <n v="0"/>
  </r>
  <r>
    <s v="APP0295"/>
    <s v="CAND1008"/>
    <s v="Paige Butcher"/>
    <s v="Paige"/>
    <s v="Butcher"/>
    <s v="HR Analyst"/>
    <s v="HR"/>
    <s v="Scotland"/>
    <s v="Sarah Green"/>
    <s v="Reed"/>
    <d v="2025-05-08T00:00:00"/>
    <x v="16"/>
    <n v="2025"/>
    <s v=""/>
    <s v=""/>
    <s v=""/>
    <s v=""/>
    <s v="Applied"/>
    <n v="36961"/>
    <m/>
    <s v="Joe"/>
    <s v="Prefer not to say"/>
    <n v="3.4"/>
    <n v="1"/>
    <n v="0"/>
    <n v="0"/>
    <n v="0"/>
  </r>
  <r>
    <s v="APP0296"/>
    <s v="CAND1047"/>
    <s v="Chelsea Shepherd"/>
    <s v="Chelsea"/>
    <s v="Shepherd"/>
    <s v="BI Analyst"/>
    <s v="Commercial"/>
    <s v="East Midlands"/>
    <s v="James Clarke"/>
    <s v="CV Library"/>
    <d v="2024-09-04T00:00:00"/>
    <x v="4"/>
    <n v="2024"/>
    <d v="2024-09-09T00:00:00"/>
    <d v="2024-10-14T00:00:00"/>
    <d v="2024-11-14T00:00:00"/>
    <n v="71"/>
    <s v="Hired"/>
    <n v="39797"/>
    <n v="39531"/>
    <s v="Anna"/>
    <s v="Female"/>
    <n v="2.7"/>
    <n v="1"/>
    <n v="0"/>
    <n v="0"/>
    <n v="1"/>
  </r>
  <r>
    <s v="APP0297"/>
    <s v="CAND1092"/>
    <s v="Katie Anderson"/>
    <s v="Katie"/>
    <s v="Anderson"/>
    <s v="Data Analyst"/>
    <s v="Operations"/>
    <s v="East Midlands"/>
    <s v="Sarah Green"/>
    <s v="Reed"/>
    <d v="2025-04-19T00:00:00"/>
    <x v="8"/>
    <n v="2025"/>
    <s v=""/>
    <s v=""/>
    <s v=""/>
    <s v=""/>
    <s v="Applied"/>
    <n v="31652"/>
    <m/>
    <s v="Joe"/>
    <s v="Male"/>
    <n v="4.2"/>
    <n v="1"/>
    <n v="0"/>
    <n v="0"/>
    <n v="0"/>
  </r>
  <r>
    <s v="APP0298"/>
    <s v="CAND1208"/>
    <s v="Declan Hyde"/>
    <s v="Declan"/>
    <s v="Hyde"/>
    <s v="Data Analyst"/>
    <s v="HR"/>
    <s v="East Midlands"/>
    <s v="Tom Davies"/>
    <s v="CV Library"/>
    <d v="2024-01-17T00:00:00"/>
    <x v="9"/>
    <n v="2024"/>
    <d v="2024-02-09T00:00:00"/>
    <s v=""/>
    <s v=""/>
    <s v=""/>
    <s v="Interviewed"/>
    <n v="30009"/>
    <m/>
    <s v="Anna"/>
    <s v="Female"/>
    <n v="4.2"/>
    <n v="1"/>
    <n v="0"/>
    <n v="0"/>
    <n v="1"/>
  </r>
  <r>
    <s v="APP0299"/>
    <s v="CAND1115"/>
    <s v="Sylvia Gilbert"/>
    <s v="Sylvia"/>
    <s v="Gilbert"/>
    <s v="Business Analyst"/>
    <s v="Operations"/>
    <s v="East Midlands"/>
    <s v="Emma Wilson"/>
    <s v="Indeed"/>
    <d v="2024-06-20T00:00:00"/>
    <x v="13"/>
    <n v="2024"/>
    <s v=""/>
    <s v=""/>
    <s v=""/>
    <s v=""/>
    <s v="Applied"/>
    <n v="29865"/>
    <m/>
    <s v="Mark"/>
    <s v="Female"/>
    <n v="2.7"/>
    <n v="1"/>
    <n v="0"/>
    <n v="0"/>
    <n v="0"/>
  </r>
  <r>
    <s v="APP0300"/>
    <s v="CAND1032"/>
    <s v="Claire Gregory"/>
    <s v="Claire"/>
    <s v="Gregory"/>
    <s v="HR Analyst"/>
    <s v="Commercial"/>
    <s v="South East"/>
    <s v="Emma Wilson"/>
    <s v="Referral"/>
    <d v="2024-07-15T00:00:00"/>
    <x v="1"/>
    <n v="2024"/>
    <d v="2024-07-20T00:00:00"/>
    <d v="2024-08-22T00:00:00"/>
    <d v="2024-08-21T00:00:00"/>
    <n v="37"/>
    <s v="Hired"/>
    <n v="44712"/>
    <n v="44176"/>
    <s v="Mark"/>
    <s v="Prefer not to say"/>
    <n v="2.9"/>
    <n v="1"/>
    <n v="0"/>
    <n v="0"/>
    <n v="1"/>
  </r>
  <r>
    <s v="APP0301"/>
    <s v="CAND1222"/>
    <s v="Hollie Simpson"/>
    <s v="Hollie"/>
    <s v="Simpson"/>
    <s v="Finance Analyst"/>
    <s v="HR"/>
    <s v="North West"/>
    <s v="Emma Wilson"/>
    <s v="Indeed"/>
    <d v="2024-09-27T00:00:00"/>
    <x v="4"/>
    <n v="2024"/>
    <d v="2024-10-06T00:00:00"/>
    <d v="2024-11-09T00:00:00"/>
    <d v="2024-10-26T00:00:00"/>
    <n v="29"/>
    <s v="Hired"/>
    <n v="47034"/>
    <n v="49759"/>
    <s v="Rebecca"/>
    <s v="Female"/>
    <n v="4.5"/>
    <n v="1"/>
    <n v="0"/>
    <n v="0"/>
    <n v="1"/>
  </r>
  <r>
    <s v="APP0302"/>
    <s v="CAND1193"/>
    <s v="Sophie Miller"/>
    <s v="Sophie"/>
    <s v="Miller"/>
    <s v="HR Analyst"/>
    <s v="Commercial"/>
    <s v="East Midlands"/>
    <s v="James Clarke"/>
    <s v="Indeed"/>
    <d v="2025-03-12T00:00:00"/>
    <x v="12"/>
    <n v="2025"/>
    <s v=""/>
    <s v=""/>
    <s v=""/>
    <s v=""/>
    <s v="Applied"/>
    <n v="45927"/>
    <m/>
    <s v="Rebecca"/>
    <s v="Male"/>
    <n v="2.1"/>
    <n v="1"/>
    <n v="0"/>
    <n v="0"/>
    <n v="0"/>
  </r>
  <r>
    <s v="APP0303"/>
    <s v="CAND1060"/>
    <s v="Dean Griffiths"/>
    <s v="Dean"/>
    <s v="Griffiths"/>
    <s v="Reporting Analyst"/>
    <s v="Operations"/>
    <s v="East Midlands"/>
    <s v="Sarah Green"/>
    <s v="Reed"/>
    <d v="2024-04-03T00:00:00"/>
    <x v="6"/>
    <n v="2024"/>
    <d v="2024-04-27T00:00:00"/>
    <d v="2024-05-11T00:00:00"/>
    <d v="2024-05-28T00:00:00"/>
    <n v="55"/>
    <s v="Hired"/>
    <n v="28257"/>
    <n v="32088"/>
    <s v="Helen"/>
    <s v="Male"/>
    <n v="4.0999999999999996"/>
    <n v="1"/>
    <n v="0"/>
    <n v="0"/>
    <n v="1"/>
  </r>
  <r>
    <s v="APP0304"/>
    <s v="CAND1157"/>
    <s v="Harry Read"/>
    <s v="Harry"/>
    <s v="Read"/>
    <s v="Finance Analyst"/>
    <s v="Technology"/>
    <s v="East Midlands"/>
    <s v="Emma Wilson"/>
    <s v="Linkedln"/>
    <d v="2025-01-31T00:00:00"/>
    <x v="10"/>
    <n v="2025"/>
    <s v=""/>
    <s v=""/>
    <s v=""/>
    <s v=""/>
    <s v="Rejected"/>
    <n v="40755"/>
    <m/>
    <s v="Anna"/>
    <s v="Prefer not to say"/>
    <n v="3.7"/>
    <n v="1"/>
    <n v="0"/>
    <n v="1"/>
    <n v="0"/>
  </r>
  <r>
    <s v="APP0305"/>
    <s v="CAND1067"/>
    <s v="Benjamin Morley"/>
    <s v="Benjamin"/>
    <s v="Morley"/>
    <s v="Data Analyst"/>
    <s v="HR"/>
    <s v="East Midlands"/>
    <s v="Michael Patel"/>
    <s v="Referral"/>
    <d v="2024-11-24T00:00:00"/>
    <x v="7"/>
    <n v="2024"/>
    <s v=""/>
    <s v=""/>
    <s v=""/>
    <s v=""/>
    <s v="Rejected"/>
    <n v="38343"/>
    <m/>
    <s v="Rebecca"/>
    <s v="Prefer not to say"/>
    <n v="3.9"/>
    <n v="1"/>
    <n v="0"/>
    <n v="1"/>
    <n v="0"/>
  </r>
  <r>
    <s v="APP0306"/>
    <s v="CAND1090"/>
    <s v="Gavin Turner"/>
    <s v="Gavin"/>
    <s v="Turner"/>
    <s v="Business Analyst"/>
    <s v="Technology"/>
    <s v="London"/>
    <s v="Sarah Green"/>
    <s v="Reed"/>
    <d v="2025-04-20T00:00:00"/>
    <x v="8"/>
    <n v="2025"/>
    <s v=""/>
    <s v=""/>
    <s v=""/>
    <s v=""/>
    <s v="Rejected"/>
    <n v="42637"/>
    <m/>
    <s v="Helen"/>
    <s v="Female"/>
    <n v="3.6"/>
    <n v="1"/>
    <n v="0"/>
    <n v="1"/>
    <n v="0"/>
  </r>
  <r>
    <s v="APP0307"/>
    <s v="CAND1080"/>
    <s v="Kate Chapman"/>
    <s v="Kate"/>
    <s v="Chapman"/>
    <s v="Data Analyst"/>
    <s v="Operations"/>
    <s v="Midlands"/>
    <s v="Emma Wilson"/>
    <s v="CV Library"/>
    <d v="2024-03-18T00:00:00"/>
    <x v="3"/>
    <n v="2024"/>
    <d v="2024-03-29T00:00:00"/>
    <s v=""/>
    <s v=""/>
    <s v=""/>
    <s v="Interviewed"/>
    <n v="51148"/>
    <m/>
    <s v="Helen"/>
    <s v="Male"/>
    <n v="3.2"/>
    <n v="1"/>
    <n v="0"/>
    <n v="0"/>
    <n v="1"/>
  </r>
  <r>
    <s v="APP0308"/>
    <s v="CAND1217"/>
    <s v="Mark Allen Lewis"/>
    <s v="Mark"/>
    <s v="Lewis"/>
    <s v="Business Analyst"/>
    <s v="Commercial"/>
    <s v="London"/>
    <s v="James Clarke"/>
    <s v="Indeed"/>
    <d v="2024-12-12T00:00:00"/>
    <x v="14"/>
    <n v="2024"/>
    <s v=""/>
    <s v=""/>
    <s v=""/>
    <s v=""/>
    <s v="Withdrawn"/>
    <n v="46343"/>
    <m/>
    <s v="Helen"/>
    <s v="Male"/>
    <n v="3.5"/>
    <n v="1"/>
    <n v="1"/>
    <n v="0"/>
    <n v="0"/>
  </r>
  <r>
    <s v="APP0309"/>
    <s v="CAND1200"/>
    <s v="Jamie Kent Morris"/>
    <s v="Jamie"/>
    <s v="Morris"/>
    <s v="Business Analyst"/>
    <s v="Technology"/>
    <s v="East Midlands"/>
    <s v="Emma Wilson"/>
    <s v="CV Library"/>
    <d v="2025-02-03T00:00:00"/>
    <x v="11"/>
    <n v="2025"/>
    <s v=""/>
    <s v=""/>
    <s v=""/>
    <s v=""/>
    <s v="Applied"/>
    <n v="47847"/>
    <m/>
    <s v="Rebecca"/>
    <s v="Female"/>
    <n v="3.7"/>
    <n v="1"/>
    <n v="0"/>
    <n v="0"/>
    <n v="0"/>
  </r>
  <r>
    <s v="APP0310"/>
    <s v="CAND1228"/>
    <s v="Ben Walker"/>
    <s v="Ben"/>
    <s v="Walker"/>
    <s v="HR Analyst"/>
    <s v="Finance"/>
    <s v="London"/>
    <s v="Michael Patel"/>
    <s v="Linkedln"/>
    <d v="2025-04-09T00:00:00"/>
    <x v="8"/>
    <n v="2025"/>
    <s v=""/>
    <s v=""/>
    <s v=""/>
    <s v=""/>
    <s v="Applied"/>
    <n v="30506"/>
    <m/>
    <s v="Joe"/>
    <s v="Male"/>
    <n v="2.1"/>
    <n v="1"/>
    <n v="0"/>
    <n v="0"/>
    <n v="0"/>
  </r>
  <r>
    <s v="APP0311"/>
    <s v="CAND1041"/>
    <s v="Kelly Wilson"/>
    <s v="Kelly"/>
    <s v="Wilson"/>
    <s v="Data Analyst"/>
    <s v="Operations"/>
    <s v="South East"/>
    <s v="James Clarke"/>
    <s v="Referral"/>
    <d v="2024-01-13T00:00:00"/>
    <x v="9"/>
    <n v="2024"/>
    <s v=""/>
    <s v=""/>
    <s v=""/>
    <s v=""/>
    <s v="Applied"/>
    <n v="50055"/>
    <m/>
    <s v="Rebecca"/>
    <s v="Male"/>
    <n v="4.3"/>
    <n v="1"/>
    <n v="0"/>
    <n v="0"/>
    <n v="0"/>
  </r>
  <r>
    <s v="APP0312"/>
    <s v="CAND1108"/>
    <s v="Harriet Potter"/>
    <s v="Harriet"/>
    <s v="Potter"/>
    <s v="HR Analyst"/>
    <s v="HR"/>
    <s v="North West"/>
    <s v="Sarah Green"/>
    <s v="Referral"/>
    <d v="2024-08-21T00:00:00"/>
    <x v="0"/>
    <n v="2024"/>
    <s v=""/>
    <s v=""/>
    <s v=""/>
    <s v=""/>
    <s v="Applied"/>
    <n v="29031"/>
    <m/>
    <s v="Helen"/>
    <s v="Female"/>
    <n v="3.3"/>
    <n v="1"/>
    <n v="0"/>
    <n v="0"/>
    <n v="0"/>
  </r>
  <r>
    <s v="APP0313"/>
    <s v="CAND1075"/>
    <s v="Tracey Phillips"/>
    <s v="Tracey"/>
    <s v="Phillips"/>
    <s v="Finance Analyst"/>
    <s v="Commercial"/>
    <s v="East Midlands"/>
    <s v="Tom Davies"/>
    <s v="Linkedln"/>
    <d v="2024-06-30T00:00:00"/>
    <x v="13"/>
    <n v="2024"/>
    <s v=""/>
    <s v=""/>
    <s v=""/>
    <s v=""/>
    <s v="Applied"/>
    <n v="51917"/>
    <m/>
    <s v="Mark"/>
    <s v="Prefer not to say"/>
    <m/>
    <n v="1"/>
    <n v="0"/>
    <n v="0"/>
    <n v="0"/>
  </r>
  <r>
    <s v="APP0314"/>
    <s v="CAND1225"/>
    <s v="Susan James"/>
    <s v="Susan"/>
    <s v="James"/>
    <s v="Reporting Analyst"/>
    <s v="Finance"/>
    <s v="Midlands"/>
    <s v="Michael Patel"/>
    <s v="Linkedln"/>
    <d v="2024-09-28T00:00:00"/>
    <x v="4"/>
    <n v="2024"/>
    <s v=""/>
    <s v=""/>
    <s v=""/>
    <s v=""/>
    <s v="Applied"/>
    <n v="50952"/>
    <m/>
    <s v="Helen"/>
    <s v="Male"/>
    <n v="3.4"/>
    <n v="1"/>
    <n v="0"/>
    <n v="0"/>
    <n v="0"/>
  </r>
  <r>
    <s v="APP0315"/>
    <s v="CAND1065"/>
    <s v="Guy Brown"/>
    <s v="Guy"/>
    <s v="Brown"/>
    <s v="Reporting Analyst"/>
    <s v="Finance"/>
    <s v="London"/>
    <s v="Michael Patel"/>
    <s v="Reed"/>
    <d v="2024-09-19T00:00:00"/>
    <x v="4"/>
    <n v="2024"/>
    <d v="2024-10-06T00:00:00"/>
    <d v="2024-10-31T00:00:00"/>
    <s v=""/>
    <s v=""/>
    <s v="Offered"/>
    <n v="47635"/>
    <n v="50381"/>
    <s v="Joe"/>
    <s v="Female"/>
    <n v="3.6"/>
    <n v="1"/>
    <n v="0"/>
    <n v="0"/>
    <n v="1"/>
  </r>
  <r>
    <s v="APP0316"/>
    <s v="CAND1163"/>
    <s v="Sylvia Stephens"/>
    <s v="Sylvia"/>
    <s v="Stephens"/>
    <s v="Finance Analyst"/>
    <s v="Operations"/>
    <s v="East Midlands"/>
    <s v="James Clarke"/>
    <s v="Indeed"/>
    <d v="2025-04-22T00:00:00"/>
    <x v="8"/>
    <n v="2025"/>
    <d v="2025-05-11T00:00:00"/>
    <s v=""/>
    <s v=""/>
    <s v=""/>
    <s v="Interviewed"/>
    <n v="47134"/>
    <m/>
    <s v="Joe"/>
    <s v="Prefer not to say"/>
    <n v="3.3"/>
    <n v="1"/>
    <n v="0"/>
    <n v="0"/>
    <n v="1"/>
  </r>
  <r>
    <s v="APP0317"/>
    <s v="CAND1079"/>
    <s v="Hayley Parry"/>
    <s v="Hayley"/>
    <s v="Parry"/>
    <s v="Data Analyst"/>
    <s v="Finance"/>
    <s v="North West"/>
    <s v="Sarah Green"/>
    <s v="CV Library"/>
    <d v="2024-05-17T00:00:00"/>
    <x v="5"/>
    <n v="2024"/>
    <s v=""/>
    <s v=""/>
    <s v=""/>
    <s v=""/>
    <s v="Applied"/>
    <n v="35541"/>
    <m/>
    <s v="Helen"/>
    <s v="Prefer not to say"/>
    <n v="4.9000000000000004"/>
    <n v="1"/>
    <n v="0"/>
    <n v="0"/>
    <n v="0"/>
  </r>
  <r>
    <s v="APP0318"/>
    <s v="CAND1021"/>
    <s v="Christine Young"/>
    <s v="Christine"/>
    <s v="Young"/>
    <s v="Data Analyst"/>
    <s v="Commercial"/>
    <s v="London"/>
    <s v="Tom Davies"/>
    <s v="Linkedln"/>
    <d v="2024-02-24T00:00:00"/>
    <x v="2"/>
    <n v="2024"/>
    <s v=""/>
    <s v=""/>
    <s v=""/>
    <s v=""/>
    <s v="Rejected"/>
    <n v="45957"/>
    <m/>
    <s v="Helen"/>
    <s v="Male"/>
    <n v="4.0999999999999996"/>
    <n v="1"/>
    <n v="0"/>
    <n v="1"/>
    <n v="0"/>
  </r>
  <r>
    <s v="APP0319"/>
    <s v="CAND1243"/>
    <s v="George Moore"/>
    <s v="George"/>
    <s v="Moore"/>
    <s v="Finance Analyst"/>
    <s v="Technology"/>
    <s v="East Midlands"/>
    <s v="Tom Davies"/>
    <s v="Linkedln"/>
    <d v="2025-02-09T00:00:00"/>
    <x v="11"/>
    <n v="2025"/>
    <d v="2025-03-04T00:00:00"/>
    <s v=""/>
    <s v=""/>
    <s v=""/>
    <s v="Interviewed"/>
    <n v="49445"/>
    <m/>
    <s v="Helen"/>
    <s v="Prefer not to say"/>
    <n v="4.5"/>
    <n v="1"/>
    <n v="0"/>
    <n v="0"/>
    <n v="1"/>
  </r>
  <r>
    <s v="APP0320"/>
    <s v="CAND1161"/>
    <s v="Aaron Andrews"/>
    <s v="Aaron"/>
    <s v="Andrews"/>
    <s v="Reporting Analyst"/>
    <s v="HR"/>
    <s v="Scotland"/>
    <s v="Sarah Green"/>
    <s v="Linkedln"/>
    <d v="2024-02-08T00:00:00"/>
    <x v="2"/>
    <n v="2024"/>
    <d v="2024-02-19T00:00:00"/>
    <d v="2024-02-25T00:00:00"/>
    <s v=""/>
    <s v=""/>
    <s v="Offered"/>
    <n v="34414"/>
    <n v="35275"/>
    <s v="Anna"/>
    <s v="Prefer not to say"/>
    <n v="3.6"/>
    <n v="1"/>
    <n v="0"/>
    <n v="0"/>
    <n v="1"/>
  </r>
  <r>
    <s v="APP0321"/>
    <s v="CAND1052"/>
    <s v="Nathan Martin Cross"/>
    <s v="Nathan"/>
    <s v="Cross"/>
    <s v="HR Analyst"/>
    <s v="Commercial"/>
    <s v="North West"/>
    <s v="Michael Patel"/>
    <s v="Linkedln"/>
    <d v="2024-01-05T00:00:00"/>
    <x v="9"/>
    <n v="2024"/>
    <s v=""/>
    <s v=""/>
    <s v=""/>
    <s v=""/>
    <s v="Rejected"/>
    <n v="34505"/>
    <m/>
    <s v="Helen"/>
    <s v="Prefer not to say"/>
    <n v="2.9"/>
    <n v="1"/>
    <n v="0"/>
    <n v="1"/>
    <n v="0"/>
  </r>
  <r>
    <s v="APP0322"/>
    <s v="CAND1215"/>
    <s v="Sian Collins"/>
    <s v="Sian"/>
    <s v="Collins"/>
    <s v="Reporting Analyst"/>
    <s v="Commercial"/>
    <s v="Midlands"/>
    <s v="Tom Davies"/>
    <s v="CV Library"/>
    <d v="2025-03-20T00:00:00"/>
    <x v="12"/>
    <n v="2025"/>
    <d v="2025-04-07T00:00:00"/>
    <s v=""/>
    <s v=""/>
    <s v=""/>
    <s v="Interviewed"/>
    <n v="39091"/>
    <m/>
    <s v="Anna"/>
    <s v="Male"/>
    <n v="2.9"/>
    <n v="1"/>
    <n v="0"/>
    <n v="0"/>
    <n v="1"/>
  </r>
  <r>
    <s v="APP0323"/>
    <s v="CAND1006"/>
    <s v="Jordan Ross"/>
    <s v="Jordan"/>
    <s v="Ross"/>
    <s v="Data Analyst"/>
    <s v="Technology"/>
    <s v="South East"/>
    <s v="Emma Wilson"/>
    <s v="Referral"/>
    <d v="2025-03-06T00:00:00"/>
    <x v="12"/>
    <n v="2025"/>
    <s v=""/>
    <s v=""/>
    <s v=""/>
    <s v=""/>
    <s v="Rejected"/>
    <n v="48279"/>
    <m/>
    <s v="Rebecca"/>
    <s v="Female"/>
    <n v="2.6"/>
    <n v="1"/>
    <n v="0"/>
    <n v="1"/>
    <n v="0"/>
  </r>
  <r>
    <s v="APP0324"/>
    <s v="CAND1219"/>
    <s v="David Walker"/>
    <s v="David"/>
    <s v="Walker"/>
    <s v="HR Analyst"/>
    <s v="Finance"/>
    <s v="North West"/>
    <s v="Michael Patel"/>
    <s v="Reed"/>
    <d v="2024-04-07T00:00:00"/>
    <x v="6"/>
    <n v="2024"/>
    <d v="2024-04-21T00:00:00"/>
    <s v=""/>
    <s v=""/>
    <s v=""/>
    <s v="Interviewed"/>
    <n v="40759"/>
    <m/>
    <s v="Helen"/>
    <s v="Male"/>
    <n v="2.7"/>
    <n v="1"/>
    <n v="0"/>
    <n v="0"/>
    <n v="1"/>
  </r>
  <r>
    <s v="APP0325"/>
    <s v="CAND1145"/>
    <s v="Tony O'Neill"/>
    <s v="Tony"/>
    <s v="O'Neill"/>
    <s v="Data Analyst"/>
    <s v="Operations"/>
    <s v="London"/>
    <s v="James Clarke"/>
    <s v="Linkedln"/>
    <d v="2024-08-06T00:00:00"/>
    <x v="0"/>
    <n v="2024"/>
    <s v=""/>
    <s v=""/>
    <s v=""/>
    <s v=""/>
    <s v="Rejected"/>
    <n v="46853"/>
    <m/>
    <s v="Anna"/>
    <s v="Female"/>
    <n v="3.9"/>
    <n v="1"/>
    <n v="0"/>
    <n v="1"/>
    <n v="0"/>
  </r>
  <r>
    <s v="APP0326"/>
    <s v="CAND1078"/>
    <s v="Matthew Harris"/>
    <s v="Matthew"/>
    <s v="Harris"/>
    <s v="Business Analyst"/>
    <s v="Commercial"/>
    <s v="South East"/>
    <s v="James Clarke"/>
    <s v="Indeed"/>
    <d v="2024-10-17T00:00:00"/>
    <x v="15"/>
    <n v="2024"/>
    <s v=""/>
    <s v=""/>
    <s v=""/>
    <s v=""/>
    <s v="Withdrawn"/>
    <n v="33442"/>
    <m/>
    <s v="Rebecca"/>
    <s v="Female"/>
    <n v="4.9000000000000004"/>
    <n v="1"/>
    <n v="1"/>
    <n v="0"/>
    <n v="0"/>
  </r>
  <r>
    <s v="APP0327"/>
    <s v="CAND1244"/>
    <s v="Irene Read"/>
    <s v="Irene"/>
    <s v="Read"/>
    <s v="Business Analyst"/>
    <s v="HR"/>
    <s v="London"/>
    <s v="Emma Wilson"/>
    <s v="Linkedln"/>
    <d v="2024-11-27T00:00:00"/>
    <x v="7"/>
    <n v="2024"/>
    <s v=""/>
    <s v=""/>
    <s v=""/>
    <s v=""/>
    <s v="Applied"/>
    <n v="45063"/>
    <m/>
    <s v="Joe"/>
    <s v="Prefer not to say"/>
    <n v="2.4"/>
    <n v="1"/>
    <n v="0"/>
    <n v="0"/>
    <n v="0"/>
  </r>
  <r>
    <s v="APP0328"/>
    <s v="CAND1212"/>
    <s v="Ellie Law Perry"/>
    <s v="Ellie"/>
    <s v="Perry"/>
    <s v="Reporting Analyst"/>
    <s v="HR"/>
    <s v="East Midlands"/>
    <s v="Michael Patel"/>
    <s v="Linkedln"/>
    <d v="2024-09-23T00:00:00"/>
    <x v="4"/>
    <n v="2024"/>
    <d v="2024-10-23T00:00:00"/>
    <s v=""/>
    <s v=""/>
    <s v=""/>
    <s v="Interviewed"/>
    <n v="32951"/>
    <m/>
    <s v="Joe"/>
    <s v="Female"/>
    <n v="2.7"/>
    <n v="1"/>
    <n v="0"/>
    <n v="0"/>
    <n v="1"/>
  </r>
  <r>
    <s v="APP0329"/>
    <s v="CAND1163"/>
    <s v="Christian Rowley"/>
    <s v="Christian"/>
    <s v="Rowley"/>
    <s v="Data Analyst"/>
    <s v="Technology"/>
    <s v="Yorkshire"/>
    <s v="Sarah Green"/>
    <s v="Indeed"/>
    <d v="2024-06-21T00:00:00"/>
    <x v="13"/>
    <n v="2024"/>
    <d v="2024-06-30T00:00:00"/>
    <d v="2024-07-18T00:00:00"/>
    <d v="2024-09-03T00:00:00"/>
    <n v="74"/>
    <s v="Hired"/>
    <n v="29411"/>
    <n v="30101"/>
    <s v="Joe"/>
    <s v="Male"/>
    <n v="3.3"/>
    <n v="1"/>
    <n v="0"/>
    <n v="0"/>
    <n v="1"/>
  </r>
  <r>
    <s v="APP0330"/>
    <s v="CAND1058"/>
    <s v="Lauren Green"/>
    <s v="Lauren"/>
    <s v="Green"/>
    <s v="BI Analyst"/>
    <s v="Operations"/>
    <s v="East Midlands"/>
    <s v="Tom Davies"/>
    <s v="Referral"/>
    <d v="2025-04-14T00:00:00"/>
    <x v="8"/>
    <n v="2025"/>
    <d v="2025-04-20T00:00:00"/>
    <d v="2025-05-23T00:00:00"/>
    <s v=""/>
    <s v=""/>
    <s v="Offered"/>
    <n v="39377"/>
    <n v="41798"/>
    <s v="Mark"/>
    <s v="Prefer not to say"/>
    <n v="3.9"/>
    <n v="1"/>
    <n v="0"/>
    <n v="0"/>
    <n v="1"/>
  </r>
  <r>
    <s v="APP0331"/>
    <s v="CAND1121"/>
    <s v="Sophie Foster"/>
    <s v="Sophie"/>
    <s v="Foster"/>
    <s v="Reporting Analyst"/>
    <s v="HR"/>
    <s v="North West"/>
    <s v="Michael Patel"/>
    <s v="CV Library"/>
    <d v="2024-03-27T00:00:00"/>
    <x v="3"/>
    <n v="2024"/>
    <s v=""/>
    <s v=""/>
    <s v=""/>
    <s v=""/>
    <s v="Applied"/>
    <n v="50815"/>
    <m/>
    <s v="Joe"/>
    <s v="Prefer not to say"/>
    <n v="3.8"/>
    <n v="1"/>
    <n v="0"/>
    <n v="0"/>
    <n v="0"/>
  </r>
  <r>
    <s v="APP0332"/>
    <s v="CAND1179"/>
    <s v="Denise Graham"/>
    <s v="Denise"/>
    <s v="Graham"/>
    <s v="Finance Analyst"/>
    <s v="Finance"/>
    <s v="Yorkshire"/>
    <s v="Tom Davies"/>
    <s v="Linkedln"/>
    <d v="2024-09-10T00:00:00"/>
    <x v="4"/>
    <n v="2024"/>
    <d v="2024-09-25T00:00:00"/>
    <d v="2024-09-28T00:00:00"/>
    <d v="2024-11-12T00:00:00"/>
    <n v="63"/>
    <s v="Hired"/>
    <n v="49474"/>
    <n v="51883"/>
    <s v="Mark"/>
    <s v="Male"/>
    <m/>
    <n v="1"/>
    <n v="0"/>
    <n v="0"/>
    <n v="1"/>
  </r>
  <r>
    <s v="APP0333"/>
    <s v="CAND1082"/>
    <s v="Dominic Mason"/>
    <s v="Dominic"/>
    <s v="Mason"/>
    <s v="HR Analyst"/>
    <s v="HR"/>
    <s v="Midlands"/>
    <s v="James Clarke"/>
    <s v="Linkedln"/>
    <d v="2024-01-19T00:00:00"/>
    <x v="9"/>
    <n v="2024"/>
    <s v=""/>
    <s v=""/>
    <s v=""/>
    <s v=""/>
    <s v="Applied"/>
    <n v="38087"/>
    <m/>
    <s v="Helen"/>
    <s v="Male"/>
    <n v="3.2"/>
    <n v="1"/>
    <n v="0"/>
    <n v="0"/>
    <n v="0"/>
  </r>
  <r>
    <s v="APP0334"/>
    <s v="CAND1201"/>
    <s v="Annette Williams"/>
    <s v="Annette"/>
    <s v="Williams"/>
    <s v="BI Analyst"/>
    <s v="HR"/>
    <s v="East Midlands"/>
    <s v="Michael Patel"/>
    <s v="Linkedln"/>
    <d v="2025-04-25T00:00:00"/>
    <x v="8"/>
    <n v="2025"/>
    <s v=""/>
    <s v=""/>
    <s v=""/>
    <s v=""/>
    <s v="Rejected"/>
    <n v="47937"/>
    <m/>
    <s v="Helen"/>
    <s v="Male"/>
    <n v="3.7"/>
    <n v="1"/>
    <n v="0"/>
    <n v="1"/>
    <n v="0"/>
  </r>
  <r>
    <s v="APP0335"/>
    <s v="CAND1147"/>
    <s v="Lesley Ali"/>
    <s v="Lesley"/>
    <s v="Ali"/>
    <s v="Reporting Analyst"/>
    <s v="Technology"/>
    <s v="South East"/>
    <s v="Emma Wilson"/>
    <s v="Referral"/>
    <d v="2025-02-06T00:00:00"/>
    <x v="11"/>
    <n v="2025"/>
    <d v="2025-02-28T00:00:00"/>
    <d v="2025-02-21T00:00:00"/>
    <d v="2025-04-04T00:00:00"/>
    <n v="57"/>
    <s v="Hired"/>
    <n v="29079"/>
    <n v="28407"/>
    <s v="Helen"/>
    <s v="Prefer not to say"/>
    <n v="3.7"/>
    <n v="1"/>
    <n v="0"/>
    <n v="0"/>
    <n v="1"/>
  </r>
  <r>
    <s v="APP0336"/>
    <s v="CAND1104"/>
    <s v="Annette Jordan"/>
    <s v="Annette"/>
    <s v="Jordan"/>
    <s v="Reporting Analyst"/>
    <s v="Operations"/>
    <s v="North West"/>
    <s v="Tom Davies"/>
    <s v="Linkedln"/>
    <d v="2025-04-09T00:00:00"/>
    <x v="8"/>
    <n v="2025"/>
    <s v=""/>
    <s v=""/>
    <s v=""/>
    <s v=""/>
    <s v="Applied"/>
    <n v="48019"/>
    <m/>
    <s v="Rebecca"/>
    <s v="Prefer not to say"/>
    <n v="5"/>
    <n v="1"/>
    <n v="0"/>
    <n v="0"/>
    <n v="0"/>
  </r>
  <r>
    <s v="APP0337"/>
    <s v="CAND1041"/>
    <s v="Kimberley Patel"/>
    <s v="Kimberley"/>
    <s v="Patel"/>
    <s v="Reporting Analyst"/>
    <s v="Operations"/>
    <s v="Scotland"/>
    <s v="Tom Davies"/>
    <s v="Referral"/>
    <d v="2024-11-18T00:00:00"/>
    <x v="7"/>
    <n v="2024"/>
    <d v="2024-12-10T00:00:00"/>
    <s v=""/>
    <s v=""/>
    <s v=""/>
    <s v="Interviewed"/>
    <n v="38058"/>
    <m/>
    <s v="Helen"/>
    <s v="Male"/>
    <n v="2.2999999999999998"/>
    <n v="1"/>
    <n v="0"/>
    <n v="0"/>
    <n v="1"/>
  </r>
  <r>
    <s v="APP0338"/>
    <s v="CAND1140"/>
    <s v="Lewis Kelly"/>
    <s v="Lewis"/>
    <s v="Kelly"/>
    <s v="Business Analyst"/>
    <s v="Operations"/>
    <s v="North West"/>
    <s v="Michael Patel"/>
    <s v="Referral"/>
    <d v="2025-01-20T00:00:00"/>
    <x v="10"/>
    <n v="2025"/>
    <s v=""/>
    <s v=""/>
    <s v=""/>
    <s v=""/>
    <s v="Withdrawn"/>
    <n v="47606"/>
    <m/>
    <s v="Mark"/>
    <s v="Male"/>
    <n v="3.2"/>
    <n v="1"/>
    <n v="1"/>
    <n v="0"/>
    <n v="0"/>
  </r>
  <r>
    <s v="APP0339"/>
    <s v="CAND1186"/>
    <s v="Eileen Shepherd"/>
    <s v="Eileen"/>
    <s v="Shepherd"/>
    <s v="HR Analyst"/>
    <s v="Commercial"/>
    <s v="East Midlands"/>
    <s v="Sarah Green"/>
    <s v="Indeed"/>
    <d v="2024-01-07T00:00:00"/>
    <x v="9"/>
    <n v="2024"/>
    <s v=""/>
    <s v=""/>
    <s v=""/>
    <s v=""/>
    <s v="Applied"/>
    <n v="49929"/>
    <m/>
    <s v="Mark"/>
    <s v="Male"/>
    <n v="3.2"/>
    <n v="1"/>
    <n v="0"/>
    <n v="0"/>
    <n v="0"/>
  </r>
  <r>
    <s v="APP0340"/>
    <s v="CAND1156"/>
    <s v="Tony Willis"/>
    <s v="Tony"/>
    <s v="Willis"/>
    <s v="BI Analyst"/>
    <s v="Finance"/>
    <s v="Scotland"/>
    <s v="Sarah Green"/>
    <s v="Referral"/>
    <d v="2024-03-21T00:00:00"/>
    <x v="3"/>
    <n v="2024"/>
    <d v="2024-04-01T00:00:00"/>
    <s v=""/>
    <s v=""/>
    <s v=""/>
    <s v="Interviewed"/>
    <n v="46043"/>
    <m/>
    <s v="Joe"/>
    <s v="Female"/>
    <m/>
    <n v="1"/>
    <n v="0"/>
    <n v="0"/>
    <n v="1"/>
  </r>
  <r>
    <s v="APP0341"/>
    <s v="CAND1199"/>
    <s v="Margaret Smith"/>
    <s v="Margaret"/>
    <s v="Smith"/>
    <s v="Data Analyst"/>
    <s v="Technology"/>
    <s v="South East"/>
    <s v="James Clarke"/>
    <s v="Linkedln"/>
    <d v="2025-05-03T00:00:00"/>
    <x v="16"/>
    <n v="2025"/>
    <d v="2025-05-30T00:00:00"/>
    <s v=""/>
    <s v=""/>
    <s v=""/>
    <s v="Interviewed"/>
    <n v="29646"/>
    <m/>
    <s v="Helen"/>
    <s v="Male"/>
    <n v="3.5"/>
    <n v="1"/>
    <n v="0"/>
    <n v="0"/>
    <n v="1"/>
  </r>
  <r>
    <s v="APP0342"/>
    <s v="CAND1150"/>
    <s v="Lynn Hill"/>
    <s v="Lynn"/>
    <s v="Hill"/>
    <s v="BI Analyst"/>
    <s v="Technology"/>
    <s v="Scotland"/>
    <s v="Sarah Green"/>
    <s v="Indeed"/>
    <d v="2024-06-28T00:00:00"/>
    <x v="13"/>
    <n v="2024"/>
    <s v=""/>
    <s v=""/>
    <s v=""/>
    <s v=""/>
    <s v="Rejected"/>
    <n v="30109"/>
    <m/>
    <s v="Mark"/>
    <s v="Male"/>
    <n v="3"/>
    <n v="1"/>
    <n v="0"/>
    <n v="1"/>
    <n v="0"/>
  </r>
  <r>
    <s v="APP0343"/>
    <s v="CAND1035"/>
    <s v="Michelle Evans"/>
    <s v="Michelle"/>
    <s v="Evans"/>
    <s v="HR Analyst"/>
    <s v="Technology"/>
    <s v="East Midlands"/>
    <s v="Tom Davies"/>
    <s v="CV Library"/>
    <d v="2024-06-12T00:00:00"/>
    <x v="13"/>
    <n v="2024"/>
    <d v="2024-06-22T00:00:00"/>
    <s v=""/>
    <s v=""/>
    <s v=""/>
    <s v="Interviewed"/>
    <n v="42672"/>
    <m/>
    <s v="Mark"/>
    <s v="Prefer not to say"/>
    <n v="4.5"/>
    <n v="1"/>
    <n v="0"/>
    <n v="0"/>
    <n v="1"/>
  </r>
  <r>
    <s v="APP0344"/>
    <s v="CAND1159"/>
    <s v="Brenda Russell Baker"/>
    <s v="Brenda"/>
    <s v="Baker"/>
    <s v="Business Analyst"/>
    <s v="Technology"/>
    <s v="Scotland"/>
    <s v="Sarah Green"/>
    <s v="CV Library"/>
    <d v="2024-03-03T00:00:00"/>
    <x v="3"/>
    <n v="2024"/>
    <s v=""/>
    <s v=""/>
    <s v=""/>
    <s v=""/>
    <s v="Rejected"/>
    <n v="35345"/>
    <m/>
    <s v="Joe"/>
    <s v="Prefer not to say"/>
    <n v="2.9"/>
    <n v="1"/>
    <n v="0"/>
    <n v="1"/>
    <n v="0"/>
  </r>
  <r>
    <s v="APP0345"/>
    <s v="CAND1197"/>
    <s v="Andrew Lee"/>
    <s v="Andrew"/>
    <s v="Lee"/>
    <s v="Data Analyst"/>
    <s v="Operations"/>
    <s v="Midlands"/>
    <s v="James Clarke"/>
    <s v="Linkedln"/>
    <d v="2025-05-12T00:00:00"/>
    <x v="16"/>
    <n v="2025"/>
    <s v=""/>
    <s v=""/>
    <s v=""/>
    <s v=""/>
    <s v="Rejected"/>
    <n v="28023"/>
    <m/>
    <s v="Rebecca"/>
    <s v="Male"/>
    <n v="3.5"/>
    <n v="1"/>
    <n v="0"/>
    <n v="1"/>
    <n v="0"/>
  </r>
  <r>
    <s v="APP0346"/>
    <s v="CAND1133"/>
    <s v="Lauren Gray"/>
    <s v="Lauren"/>
    <s v="Gray"/>
    <s v="BI Analyst"/>
    <s v="Operations"/>
    <s v="Scotland"/>
    <s v="Tom Davies"/>
    <s v="Linkedln"/>
    <d v="2024-11-11T00:00:00"/>
    <x v="7"/>
    <n v="2024"/>
    <d v="2024-12-10T00:00:00"/>
    <d v="2024-12-26T00:00:00"/>
    <s v=""/>
    <s v=""/>
    <s v="Offered"/>
    <n v="45470"/>
    <n v="48498"/>
    <s v="Anna"/>
    <s v="Prefer not to say"/>
    <n v="4.3"/>
    <n v="1"/>
    <n v="0"/>
    <n v="0"/>
    <n v="1"/>
  </r>
  <r>
    <s v="APP0347"/>
    <s v="CAND1130"/>
    <s v="Kyle Patel Fisher"/>
    <s v="Kyle"/>
    <s v="Fisher"/>
    <s v="HR Analyst"/>
    <s v="Finance"/>
    <s v="Midlands"/>
    <s v="Michael Patel"/>
    <s v="Linkedln"/>
    <d v="2024-08-22T00:00:00"/>
    <x v="0"/>
    <n v="2024"/>
    <d v="2024-09-10T00:00:00"/>
    <d v="2024-09-26T00:00:00"/>
    <d v="2024-11-01T00:00:00"/>
    <n v="71"/>
    <s v="Hired"/>
    <n v="34339"/>
    <n v="34253"/>
    <s v="Helen"/>
    <s v="Male"/>
    <n v="2.2000000000000002"/>
    <n v="1"/>
    <n v="0"/>
    <n v="0"/>
    <n v="1"/>
  </r>
  <r>
    <s v="APP0348"/>
    <s v="CAND1027"/>
    <s v="Rosie John"/>
    <s v="Rosie"/>
    <s v="John"/>
    <s v="BI Analyst"/>
    <s v="Finance"/>
    <s v="East Midlands"/>
    <s v="Michael Patel"/>
    <s v="Linkedln"/>
    <d v="2024-07-06T00:00:00"/>
    <x v="1"/>
    <n v="2024"/>
    <d v="2024-07-22T00:00:00"/>
    <d v="2024-08-12T00:00:00"/>
    <s v=""/>
    <s v=""/>
    <s v="Offered"/>
    <n v="42484"/>
    <n v="40835"/>
    <s v="Joe"/>
    <s v="Male"/>
    <n v="2.6"/>
    <n v="1"/>
    <n v="0"/>
    <n v="0"/>
    <n v="1"/>
  </r>
  <r>
    <s v="APP0349"/>
    <s v="CAND1212"/>
    <s v="Duncan Morris"/>
    <s v="Duncan"/>
    <s v="Morris"/>
    <s v="Business Analyst"/>
    <s v="Operations"/>
    <s v="East Midlands"/>
    <s v="Sarah Green"/>
    <s v="Linkedln"/>
    <d v="2024-06-22T00:00:00"/>
    <x v="13"/>
    <n v="2024"/>
    <d v="2024-07-02T00:00:00"/>
    <s v=""/>
    <s v=""/>
    <s v=""/>
    <s v="Interviewed"/>
    <n v="44962"/>
    <m/>
    <s v="Mark"/>
    <s v="Female"/>
    <n v="2.6"/>
    <n v="1"/>
    <n v="0"/>
    <n v="0"/>
    <n v="1"/>
  </r>
  <r>
    <s v="APP0350"/>
    <s v="CAND1083"/>
    <s v="Linda Wilson"/>
    <s v="Linda"/>
    <s v="Wilson"/>
    <s v="BI Analyst"/>
    <s v="Operations"/>
    <s v="East Midlands"/>
    <s v="Michael Patel"/>
    <s v="Linkedln"/>
    <d v="2024-08-22T00:00:00"/>
    <x v="0"/>
    <n v="2024"/>
    <s v=""/>
    <s v=""/>
    <s v=""/>
    <s v=""/>
    <s v="Withdrawn"/>
    <n v="49755"/>
    <m/>
    <s v="Rebecca"/>
    <s v="Prefer not to say"/>
    <n v="3.8"/>
    <n v="1"/>
    <n v="1"/>
    <n v="0"/>
    <n v="0"/>
  </r>
  <r>
    <s v="APP0351"/>
    <s v="CAND1150"/>
    <s v="Leslie Brooks Burrows"/>
    <s v="Leslie"/>
    <s v="Burrows"/>
    <s v="BI Analyst"/>
    <s v="Commercial"/>
    <s v="Midlands"/>
    <s v="James Clarke"/>
    <s v="Referral"/>
    <d v="2025-02-23T00:00:00"/>
    <x v="11"/>
    <n v="2025"/>
    <s v=""/>
    <s v=""/>
    <s v=""/>
    <s v=""/>
    <s v="Applied"/>
    <n v="45314"/>
    <m/>
    <s v="Joe"/>
    <s v="Male"/>
    <n v="2.5"/>
    <n v="1"/>
    <n v="0"/>
    <n v="0"/>
    <n v="0"/>
  </r>
  <r>
    <s v="APP0352"/>
    <s v="CAND1184"/>
    <s v="Grace Hill"/>
    <s v="Grace"/>
    <s v="Hill"/>
    <s v="Reporting Analyst"/>
    <s v="Operations"/>
    <s v="East Midlands"/>
    <s v="Tom Davies"/>
    <s v="CV Library"/>
    <d v="2025-02-28T00:00:00"/>
    <x v="11"/>
    <n v="2025"/>
    <s v=""/>
    <s v=""/>
    <s v=""/>
    <s v=""/>
    <s v="Applied"/>
    <n v="36630"/>
    <m/>
    <s v="Joe"/>
    <s v="Female"/>
    <n v="3.5"/>
    <n v="1"/>
    <n v="0"/>
    <n v="0"/>
    <n v="0"/>
  </r>
  <r>
    <s v="APP0353"/>
    <s v="CAND1175"/>
    <s v="Gemma Collins"/>
    <s v="Gemma"/>
    <s v="Collins"/>
    <s v="Reporting Analyst"/>
    <s v="HR"/>
    <s v="East Midlands"/>
    <s v="James Clarke"/>
    <s v="Linkedln"/>
    <d v="2025-03-02T00:00:00"/>
    <x v="12"/>
    <n v="2025"/>
    <s v=""/>
    <s v=""/>
    <s v=""/>
    <s v=""/>
    <s v="Rejected"/>
    <n v="38487"/>
    <m/>
    <s v="Mark"/>
    <s v="Prefer not to say"/>
    <n v="4.3"/>
    <n v="1"/>
    <n v="0"/>
    <n v="1"/>
    <n v="0"/>
  </r>
  <r>
    <s v="APP0354"/>
    <s v="CAND1167"/>
    <s v="Ian Norman"/>
    <s v="Ian"/>
    <s v="Norman"/>
    <s v="Finance Analyst"/>
    <s v="Technology"/>
    <s v="North West"/>
    <s v="James Clarke"/>
    <s v="Indeed"/>
    <d v="2024-12-11T00:00:00"/>
    <x v="14"/>
    <n v="2024"/>
    <d v="2024-12-29T00:00:00"/>
    <s v=""/>
    <s v=""/>
    <s v=""/>
    <s v="Interviewed"/>
    <n v="34222"/>
    <m/>
    <s v="Rebecca"/>
    <s v="Female"/>
    <n v="3.7"/>
    <n v="1"/>
    <n v="0"/>
    <n v="0"/>
    <n v="1"/>
  </r>
  <r>
    <s v="APP0355"/>
    <s v="CAND1130"/>
    <s v="Samuel Reynolds"/>
    <s v="Samuel"/>
    <s v="Reynolds"/>
    <s v="Finance Analyst"/>
    <s v="HR"/>
    <s v="South East"/>
    <s v="Emma Wilson"/>
    <s v="Linkedln"/>
    <d v="2024-03-13T00:00:00"/>
    <x v="3"/>
    <n v="2024"/>
    <d v="2024-04-11T00:00:00"/>
    <s v=""/>
    <s v=""/>
    <s v=""/>
    <s v="Interviewed"/>
    <n v="47075"/>
    <m/>
    <s v="Mark"/>
    <s v="Prefer not to say"/>
    <n v="4.0999999999999996"/>
    <n v="1"/>
    <n v="0"/>
    <n v="0"/>
    <n v="1"/>
  </r>
  <r>
    <s v="APP0356"/>
    <s v="CAND1026"/>
    <s v="Anna Smith"/>
    <s v="Anna"/>
    <s v="Smith"/>
    <s v="HR Analyst"/>
    <s v="Operations"/>
    <s v="South East"/>
    <s v="Emma Wilson"/>
    <s v="Indeed"/>
    <d v="2025-04-01T00:00:00"/>
    <x v="8"/>
    <n v="2025"/>
    <d v="2025-05-01T00:00:00"/>
    <d v="2025-04-24T00:00:00"/>
    <d v="2025-05-03T00:00:00"/>
    <n v="32"/>
    <s v="Hired"/>
    <n v="43197"/>
    <n v="45464"/>
    <s v="Helen"/>
    <s v="Prefer not to say"/>
    <n v="3.6"/>
    <n v="1"/>
    <n v="0"/>
    <n v="0"/>
    <n v="1"/>
  </r>
  <r>
    <s v="APP0357"/>
    <s v="CAND1117"/>
    <s v="Darren Lloyd"/>
    <s v="Darren"/>
    <s v="Lloyd"/>
    <s v="BI Analyst"/>
    <s v="Operations"/>
    <s v="South East"/>
    <s v="Michael Patel"/>
    <s v="Linkedln"/>
    <d v="2025-03-25T00:00:00"/>
    <x v="12"/>
    <n v="2025"/>
    <s v=""/>
    <s v=""/>
    <s v=""/>
    <s v=""/>
    <s v="Rejected"/>
    <n v="37366"/>
    <m/>
    <s v="Helen"/>
    <s v="Male"/>
    <n v="3"/>
    <n v="1"/>
    <n v="0"/>
    <n v="1"/>
    <n v="0"/>
  </r>
  <r>
    <s v="APP0358"/>
    <s v="CAND1125"/>
    <s v="Mary Mason"/>
    <s v="Mary"/>
    <s v="Mason"/>
    <s v="Finance Analyst"/>
    <s v="Finance"/>
    <s v="Yorkshire"/>
    <s v="James Clarke"/>
    <s v="Indeed"/>
    <d v="2025-01-30T00:00:00"/>
    <x v="10"/>
    <n v="2025"/>
    <d v="2025-02-13T00:00:00"/>
    <s v=""/>
    <s v=""/>
    <s v=""/>
    <s v="Interviewed"/>
    <n v="31420"/>
    <m/>
    <s v="Anna"/>
    <s v="Prefer not to say"/>
    <n v="3.5"/>
    <n v="1"/>
    <n v="0"/>
    <n v="0"/>
    <n v="1"/>
  </r>
  <r>
    <s v="APP0359"/>
    <s v="CAND1054"/>
    <s v="Jane Fox Quinn"/>
    <s v="Jane"/>
    <s v="Quinn"/>
    <s v="HR Analyst"/>
    <s v="Technology"/>
    <s v="Yorkshire"/>
    <s v="James Clarke"/>
    <s v="Linkedln"/>
    <d v="2024-07-19T00:00:00"/>
    <x v="1"/>
    <n v="2024"/>
    <d v="2024-08-07T00:00:00"/>
    <s v=""/>
    <s v=""/>
    <s v=""/>
    <s v="Interviewed"/>
    <n v="38348"/>
    <m/>
    <s v="Rebecca"/>
    <s v="Prefer not to say"/>
    <n v="4.7"/>
    <n v="1"/>
    <n v="0"/>
    <n v="0"/>
    <n v="1"/>
  </r>
  <r>
    <s v="APP0360"/>
    <s v="CAND1121"/>
    <s v="Lynne Harris"/>
    <s v="Lynne"/>
    <s v="Harris"/>
    <s v="HR Analyst"/>
    <s v="Technology"/>
    <s v="Midlands"/>
    <s v="Emma Wilson"/>
    <s v="Reed"/>
    <d v="2025-04-26T00:00:00"/>
    <x v="8"/>
    <n v="2025"/>
    <s v=""/>
    <s v=""/>
    <s v=""/>
    <s v=""/>
    <s v="Rejected"/>
    <n v="38245"/>
    <m/>
    <s v="Joe"/>
    <s v="Female"/>
    <n v="2.9"/>
    <n v="1"/>
    <n v="0"/>
    <n v="1"/>
    <n v="0"/>
  </r>
  <r>
    <s v="APP0361"/>
    <s v="CAND1157"/>
    <s v="Bernard Weston"/>
    <s v="Bernard"/>
    <s v="Weston"/>
    <s v="Business Analyst"/>
    <s v="Finance"/>
    <s v="Scotland"/>
    <s v="Emma Wilson"/>
    <s v="Linkedln"/>
    <d v="2024-10-28T00:00:00"/>
    <x v="15"/>
    <n v="2024"/>
    <d v="2024-11-26T00:00:00"/>
    <d v="2024-12-09T00:00:00"/>
    <s v=""/>
    <s v=""/>
    <s v="Offered"/>
    <n v="33643"/>
    <n v="37376"/>
    <s v="Rebecca"/>
    <s v="Prefer not to say"/>
    <n v="2.2999999999999998"/>
    <n v="1"/>
    <n v="0"/>
    <n v="0"/>
    <n v="1"/>
  </r>
  <r>
    <s v="APP0362"/>
    <s v="CAND1043"/>
    <s v="Janice Robinson"/>
    <s v="Janice"/>
    <s v="Robinson"/>
    <s v="HR Analyst"/>
    <s v="HR"/>
    <s v="North West"/>
    <s v="Sarah Green"/>
    <s v="Linkedln"/>
    <d v="2025-04-07T00:00:00"/>
    <x v="8"/>
    <n v="2025"/>
    <s v=""/>
    <s v=""/>
    <s v=""/>
    <s v=""/>
    <s v="Rejected"/>
    <n v="50808"/>
    <m/>
    <s v="Rebecca"/>
    <s v="Male"/>
    <n v="4.2"/>
    <n v="1"/>
    <n v="0"/>
    <n v="1"/>
    <n v="0"/>
  </r>
  <r>
    <s v="APP0363"/>
    <s v="CAND1243"/>
    <s v="Amanda Moore Knight"/>
    <s v="Amanda"/>
    <s v="Knight"/>
    <s v="Finance Analyst"/>
    <s v="Technology"/>
    <s v="London"/>
    <s v="Emma Wilson"/>
    <s v="Referral"/>
    <d v="2024-01-20T00:00:00"/>
    <x v="9"/>
    <n v="2024"/>
    <s v=""/>
    <s v=""/>
    <s v=""/>
    <s v=""/>
    <s v="Withdrawn"/>
    <n v="44698"/>
    <m/>
    <s v="Mark"/>
    <s v="Female"/>
    <m/>
    <n v="1"/>
    <n v="1"/>
    <n v="0"/>
    <n v="0"/>
  </r>
  <r>
    <s v="APP0364"/>
    <s v="CAND1182"/>
    <s v="Ben Graham"/>
    <s v="Ben"/>
    <s v="Graham"/>
    <s v="Finance Analyst"/>
    <s v="Operations"/>
    <s v="Midlands"/>
    <s v="Emma Wilson"/>
    <s v="Referral"/>
    <d v="2025-03-14T00:00:00"/>
    <x v="12"/>
    <n v="2025"/>
    <d v="2025-03-23T00:00:00"/>
    <s v=""/>
    <s v=""/>
    <s v=""/>
    <s v="Interviewed"/>
    <n v="40908"/>
    <m/>
    <s v="Anna"/>
    <s v="Female"/>
    <n v="4.3"/>
    <n v="1"/>
    <n v="0"/>
    <n v="0"/>
    <n v="1"/>
  </r>
  <r>
    <s v="APP0365"/>
    <s v="CAND1234"/>
    <s v="Joanna Harrison"/>
    <s v="Joanna"/>
    <s v="Harrison"/>
    <s v="BI Analyst"/>
    <s v="Operations"/>
    <s v="South East"/>
    <s v="Tom Davies"/>
    <s v="Linkedln"/>
    <d v="2024-03-14T00:00:00"/>
    <x v="3"/>
    <n v="2024"/>
    <s v=""/>
    <s v=""/>
    <s v=""/>
    <s v=""/>
    <s v="Rejected"/>
    <n v="33027"/>
    <m/>
    <s v="Rebecca"/>
    <s v="Male"/>
    <n v="2.9"/>
    <n v="1"/>
    <n v="0"/>
    <n v="1"/>
    <n v="0"/>
  </r>
  <r>
    <s v="APP0366"/>
    <s v="CAND1034"/>
    <s v="Francesca Hodgson"/>
    <s v="Francesca"/>
    <s v="Hodgson"/>
    <s v="HR Analyst"/>
    <s v="HR"/>
    <s v="North West"/>
    <s v="Tom Davies"/>
    <s v="Referral"/>
    <d v="2024-01-24T00:00:00"/>
    <x v="9"/>
    <n v="2024"/>
    <d v="2024-02-17T00:00:00"/>
    <s v=""/>
    <s v=""/>
    <s v=""/>
    <s v="Interviewed"/>
    <n v="37706"/>
    <m/>
    <s v="Joe"/>
    <s v="Prefer not to say"/>
    <n v="3.4"/>
    <n v="1"/>
    <n v="0"/>
    <n v="0"/>
    <n v="1"/>
  </r>
  <r>
    <s v="APP0367"/>
    <s v="CAND1175"/>
    <s v="Deborah Rice"/>
    <s v="Deborah"/>
    <s v="Rice"/>
    <s v="HR Analyst"/>
    <s v="Technology"/>
    <s v="South East"/>
    <s v="Sarah Green"/>
    <s v="Linkedln"/>
    <d v="2025-05-05T00:00:00"/>
    <x v="16"/>
    <n v="2025"/>
    <s v=""/>
    <s v=""/>
    <s v=""/>
    <s v=""/>
    <s v="Rejected"/>
    <n v="38124"/>
    <m/>
    <s v="Helen"/>
    <s v="Female"/>
    <n v="3.9"/>
    <n v="1"/>
    <n v="0"/>
    <n v="1"/>
    <n v="0"/>
  </r>
  <r>
    <s v="APP0368"/>
    <s v="CAND1136"/>
    <s v="Albert Hanson Robinson"/>
    <s v="Albert"/>
    <s v="Robinson"/>
    <s v="Finance Analyst"/>
    <s v="Finance"/>
    <s v="Midlands"/>
    <s v="Tom Davies"/>
    <s v="CV Library"/>
    <d v="2025-01-27T00:00:00"/>
    <x v="10"/>
    <n v="2025"/>
    <d v="2025-02-11T00:00:00"/>
    <d v="2025-03-04T00:00:00"/>
    <s v=""/>
    <s v=""/>
    <s v="Offered"/>
    <n v="49760"/>
    <n v="48432"/>
    <s v="Rebecca"/>
    <s v="Prefer not to say"/>
    <n v="4.0999999999999996"/>
    <n v="1"/>
    <n v="0"/>
    <n v="0"/>
    <n v="1"/>
  </r>
  <r>
    <s v="APP0369"/>
    <s v="CAND1111"/>
    <s v="Nicola Wilson"/>
    <s v="Nicola"/>
    <s v="Wilson"/>
    <s v="Data Analyst"/>
    <s v="Finance"/>
    <s v="East Midlands"/>
    <s v="Michael Patel"/>
    <s v="Referral"/>
    <d v="2025-01-11T00:00:00"/>
    <x v="10"/>
    <n v="2025"/>
    <s v=""/>
    <s v=""/>
    <s v=""/>
    <s v=""/>
    <s v="Withdrawn"/>
    <n v="49678"/>
    <m/>
    <s v="Rebecca"/>
    <s v="Female"/>
    <n v="2.2999999999999998"/>
    <n v="1"/>
    <n v="1"/>
    <n v="0"/>
    <n v="0"/>
  </r>
  <r>
    <s v="APP0370"/>
    <s v="CAND1010"/>
    <s v="Jeffrey Wyatt"/>
    <s v="Jeffrey"/>
    <s v="Wyatt"/>
    <s v="Finance Analyst"/>
    <s v="Commercial"/>
    <s v="Scotland"/>
    <s v="Sarah Green"/>
    <s v="CV Library"/>
    <d v="2025-04-03T00:00:00"/>
    <x v="8"/>
    <n v="2025"/>
    <s v=""/>
    <s v=""/>
    <s v=""/>
    <s v=""/>
    <s v="Applied"/>
    <n v="39335"/>
    <m/>
    <s v="Mark"/>
    <s v="Prefer not to say"/>
    <n v="3"/>
    <n v="1"/>
    <n v="0"/>
    <n v="0"/>
    <n v="0"/>
  </r>
  <r>
    <s v="APP0371"/>
    <s v="CAND1006"/>
    <s v="Joshua Moore"/>
    <s v="Joshua"/>
    <s v="Moore"/>
    <s v="Reporting Analyst"/>
    <s v="HR"/>
    <s v="Scotland"/>
    <s v="Michael Patel"/>
    <s v="Reed"/>
    <d v="2024-01-17T00:00:00"/>
    <x v="9"/>
    <n v="2024"/>
    <s v=""/>
    <s v=""/>
    <s v=""/>
    <s v=""/>
    <s v="Applied"/>
    <n v="39558"/>
    <m/>
    <s v="Rebecca"/>
    <s v="Prefer not to say"/>
    <n v="3.2"/>
    <n v="1"/>
    <n v="0"/>
    <n v="0"/>
    <n v="0"/>
  </r>
  <r>
    <s v="APP0372"/>
    <s v="CAND1096"/>
    <s v="Sarah Palmer"/>
    <s v="Sarah"/>
    <s v="Palmer"/>
    <s v="HR Analyst"/>
    <s v="Technology"/>
    <s v="East Midlands"/>
    <s v="Tom Davies"/>
    <s v="Indeed"/>
    <d v="2024-09-17T00:00:00"/>
    <x v="4"/>
    <n v="2024"/>
    <d v="2024-10-04T00:00:00"/>
    <s v=""/>
    <s v=""/>
    <s v=""/>
    <s v="Interviewed"/>
    <n v="51076"/>
    <m/>
    <s v="Rebecca"/>
    <s v="Male"/>
    <n v="3.2"/>
    <n v="1"/>
    <n v="0"/>
    <n v="0"/>
    <n v="1"/>
  </r>
  <r>
    <s v="APP0373"/>
    <s v="CAND1214"/>
    <s v="Amy Conway"/>
    <s v="Amy"/>
    <s v="Conway"/>
    <s v="Business Analyst"/>
    <s v="Technology"/>
    <s v="North West"/>
    <s v="Tom Davies"/>
    <s v="Reed"/>
    <d v="2025-01-23T00:00:00"/>
    <x v="10"/>
    <n v="2025"/>
    <d v="2025-02-18T00:00:00"/>
    <s v=""/>
    <s v=""/>
    <s v=""/>
    <s v="Interviewed"/>
    <n v="39249"/>
    <m/>
    <s v="Mark"/>
    <s v="Female"/>
    <n v="3.1"/>
    <n v="1"/>
    <n v="0"/>
    <n v="0"/>
    <n v="1"/>
  </r>
  <r>
    <s v="APP0374"/>
    <s v="CAND1247"/>
    <s v="Trevor Hooper"/>
    <s v="Trevor"/>
    <s v="Hooper"/>
    <s v="Finance Analyst"/>
    <s v="HR"/>
    <s v="London"/>
    <s v="Michael Patel"/>
    <s v="CV Library"/>
    <d v="2024-04-23T00:00:00"/>
    <x v="6"/>
    <n v="2024"/>
    <s v=""/>
    <s v=""/>
    <s v=""/>
    <s v=""/>
    <s v="Rejected"/>
    <n v="38760"/>
    <m/>
    <s v="Mark"/>
    <s v="Male"/>
    <n v="4.7"/>
    <n v="1"/>
    <n v="0"/>
    <n v="1"/>
    <n v="0"/>
  </r>
  <r>
    <s v="APP0375"/>
    <s v="CAND1037"/>
    <s v="Reece Humphries"/>
    <s v="Reece"/>
    <s v="Humphries"/>
    <s v="Reporting Analyst"/>
    <s v="Commercial"/>
    <s v="Scotland"/>
    <s v="Michael Patel"/>
    <s v="Indeed"/>
    <d v="2025-03-02T00:00:00"/>
    <x v="12"/>
    <n v="2025"/>
    <s v=""/>
    <s v=""/>
    <s v=""/>
    <s v=""/>
    <s v="Applied"/>
    <n v="49934"/>
    <m/>
    <s v="Helen"/>
    <s v="Prefer not to say"/>
    <n v="3.9"/>
    <n v="1"/>
    <n v="0"/>
    <n v="0"/>
    <n v="0"/>
  </r>
  <r>
    <s v="APP0376"/>
    <s v="CAND1022"/>
    <s v="Alexandra Gill Boyle"/>
    <s v="Alexandra"/>
    <s v="Boyle"/>
    <s v="Business Analyst"/>
    <s v="Technology"/>
    <s v="East Midlands"/>
    <s v="Michael Patel"/>
    <s v="Linkedln"/>
    <d v="2024-05-08T00:00:00"/>
    <x v="5"/>
    <n v="2024"/>
    <s v=""/>
    <s v=""/>
    <s v=""/>
    <s v=""/>
    <s v="Applied"/>
    <n v="38101"/>
    <m/>
    <s v="Mark"/>
    <s v="Female"/>
    <n v="4.7"/>
    <n v="1"/>
    <n v="0"/>
    <n v="0"/>
    <n v="0"/>
  </r>
  <r>
    <s v="APP0377"/>
    <s v="CAND1125"/>
    <s v="Kimberley Williams Stephens"/>
    <s v="Kimberley"/>
    <s v="Stephens"/>
    <s v="BI Analyst"/>
    <s v="Technology"/>
    <s v="Midlands"/>
    <s v="Michael Patel"/>
    <s v="Indeed"/>
    <d v="2024-11-17T00:00:00"/>
    <x v="7"/>
    <n v="2024"/>
    <s v=""/>
    <s v=""/>
    <s v=""/>
    <s v=""/>
    <s v="Applied"/>
    <n v="41825"/>
    <m/>
    <s v="Helen"/>
    <s v="Prefer not to say"/>
    <n v="4.0999999999999996"/>
    <n v="1"/>
    <n v="0"/>
    <n v="0"/>
    <n v="0"/>
  </r>
  <r>
    <s v="APP0378"/>
    <s v="CAND1014"/>
    <s v="Mathew Fisher"/>
    <s v="Mathew"/>
    <s v="Fisher"/>
    <s v="Finance Analyst"/>
    <s v="Commercial"/>
    <s v="South East"/>
    <s v="Michael Patel"/>
    <s v="Linkedln"/>
    <d v="2025-05-02T00:00:00"/>
    <x v="16"/>
    <n v="2025"/>
    <d v="2025-05-14T00:00:00"/>
    <d v="2025-06-05T00:00:00"/>
    <s v=""/>
    <s v=""/>
    <s v="Offered"/>
    <n v="39300"/>
    <n v="37750"/>
    <s v="Mark"/>
    <s v="Female"/>
    <n v="4.3"/>
    <n v="1"/>
    <n v="0"/>
    <n v="0"/>
    <n v="1"/>
  </r>
  <r>
    <s v="APP0379"/>
    <s v="CAND1201"/>
    <s v="Elliot Turner"/>
    <s v="Elliot"/>
    <s v="Turner"/>
    <s v="Finance Analyst"/>
    <s v="Technology"/>
    <s v="South East"/>
    <s v="Emma Wilson"/>
    <s v="Referral"/>
    <d v="2025-05-14T00:00:00"/>
    <x v="16"/>
    <n v="2025"/>
    <s v=""/>
    <s v=""/>
    <s v=""/>
    <s v=""/>
    <s v="Applied"/>
    <n v="40589"/>
    <m/>
    <s v="Rebecca"/>
    <s v="Prefer not to say"/>
    <n v="3"/>
    <n v="1"/>
    <n v="0"/>
    <n v="0"/>
    <n v="0"/>
  </r>
  <r>
    <s v="APP0380"/>
    <s v="CAND1096"/>
    <s v="Rachael Peters"/>
    <s v="Rachael"/>
    <s v="Peters"/>
    <s v="BI Analyst"/>
    <s v="Technology"/>
    <s v="South East"/>
    <s v="Emma Wilson"/>
    <s v="CV Library"/>
    <d v="2024-08-13T00:00:00"/>
    <x v="0"/>
    <n v="2024"/>
    <d v="2024-09-03T00:00:00"/>
    <d v="2024-09-15T00:00:00"/>
    <d v="2024-09-25T00:00:00"/>
    <n v="43"/>
    <s v="Hired"/>
    <n v="41693"/>
    <n v="39094"/>
    <s v="Mark"/>
    <s v="Male"/>
    <m/>
    <n v="1"/>
    <n v="0"/>
    <n v="0"/>
    <n v="1"/>
  </r>
  <r>
    <s v="APP0381"/>
    <s v="CAND1091"/>
    <s v="June Wilkinson"/>
    <s v="June"/>
    <s v="Wilkinson"/>
    <s v="Business Analyst"/>
    <s v="Technology"/>
    <s v="London"/>
    <s v="Emma Wilson"/>
    <s v="Linkedln"/>
    <d v="2024-09-26T00:00:00"/>
    <x v="4"/>
    <n v="2024"/>
    <d v="2024-10-25T00:00:00"/>
    <s v=""/>
    <s v=""/>
    <s v=""/>
    <s v="Interviewed"/>
    <n v="42462"/>
    <m/>
    <s v="Anna"/>
    <s v="Male"/>
    <n v="4.0999999999999996"/>
    <n v="1"/>
    <n v="0"/>
    <n v="0"/>
    <n v="1"/>
  </r>
  <r>
    <s v="APP0382"/>
    <s v="CAND1078"/>
    <s v="Sally Davies"/>
    <s v="Sally"/>
    <s v="Davies"/>
    <s v="HR Analyst"/>
    <s v="Technology"/>
    <s v="Scotland"/>
    <s v="Michael Patel"/>
    <s v="Reed"/>
    <d v="2024-06-14T00:00:00"/>
    <x v="13"/>
    <n v="2024"/>
    <s v=""/>
    <s v=""/>
    <s v=""/>
    <s v=""/>
    <s v="Withdrawn"/>
    <n v="43240"/>
    <m/>
    <s v="Helen"/>
    <s v="Female"/>
    <n v="4.4000000000000004"/>
    <n v="1"/>
    <n v="1"/>
    <n v="0"/>
    <n v="0"/>
  </r>
  <r>
    <s v="APP0383"/>
    <s v="CAND1045"/>
    <s v="Ricky Turner"/>
    <s v="Ricky"/>
    <s v="Turner"/>
    <s v="Reporting Analyst"/>
    <s v="Commercial"/>
    <s v="East Midlands"/>
    <s v="Emma Wilson"/>
    <s v="Linkedln"/>
    <d v="2025-01-15T00:00:00"/>
    <x v="10"/>
    <n v="2025"/>
    <d v="2025-01-30T00:00:00"/>
    <s v=""/>
    <s v=""/>
    <s v=""/>
    <s v="Interviewed"/>
    <n v="38048"/>
    <m/>
    <s v="Rebecca"/>
    <s v="Prefer not to say"/>
    <n v="2.1"/>
    <n v="1"/>
    <n v="0"/>
    <n v="0"/>
    <n v="1"/>
  </r>
  <r>
    <s v="APP0384"/>
    <s v="CAND1192"/>
    <s v="Adam Barnett"/>
    <s v="Adam"/>
    <s v="Barnett"/>
    <s v="Data Analyst"/>
    <s v="Operations"/>
    <s v="Midlands"/>
    <s v="Sarah Green"/>
    <s v="Reed"/>
    <d v="2024-11-19T00:00:00"/>
    <x v="7"/>
    <n v="2024"/>
    <d v="2024-12-19T00:00:00"/>
    <d v="2024-12-15T00:00:00"/>
    <d v="2025-01-09T00:00:00"/>
    <n v="51"/>
    <s v="Hired"/>
    <n v="36086"/>
    <n v="36532"/>
    <s v="Rebecca"/>
    <s v="Female"/>
    <m/>
    <n v="1"/>
    <n v="0"/>
    <n v="0"/>
    <n v="1"/>
  </r>
  <r>
    <s v="APP0385"/>
    <s v="CAND1111"/>
    <s v="Douglas Nash"/>
    <s v="Douglas"/>
    <s v="Nash"/>
    <s v="Business Analyst"/>
    <s v="Finance"/>
    <s v="Scotland"/>
    <s v="James Clarke"/>
    <s v="CV Library"/>
    <d v="2024-01-25T00:00:00"/>
    <x v="9"/>
    <n v="2024"/>
    <d v="2024-02-10T00:00:00"/>
    <s v=""/>
    <s v=""/>
    <s v=""/>
    <s v="Interviewed"/>
    <n v="45771"/>
    <m/>
    <s v="Mark"/>
    <s v="Female"/>
    <n v="3.1"/>
    <n v="1"/>
    <n v="0"/>
    <n v="0"/>
    <n v="1"/>
  </r>
  <r>
    <s v="APP0386"/>
    <s v="CAND1129"/>
    <s v="Roger Rowe"/>
    <s v="Roger"/>
    <s v="Rowe"/>
    <s v="Finance Analyst"/>
    <s v="HR"/>
    <s v="North West"/>
    <s v="Tom Davies"/>
    <s v="Linkedln"/>
    <d v="2024-01-25T00:00:00"/>
    <x v="9"/>
    <n v="2024"/>
    <s v=""/>
    <s v=""/>
    <s v=""/>
    <s v=""/>
    <s v="Rejected"/>
    <n v="44639"/>
    <m/>
    <s v="Anna"/>
    <s v="Female"/>
    <m/>
    <n v="1"/>
    <n v="0"/>
    <n v="1"/>
    <n v="0"/>
  </r>
  <r>
    <s v="APP0387"/>
    <s v="CAND1183"/>
    <s v="Geraldine Morley"/>
    <s v="Geraldine"/>
    <s v="Morley"/>
    <s v="Business Analyst"/>
    <s v="Finance"/>
    <s v="Yorkshire"/>
    <s v="Michael Patel"/>
    <s v="Reed"/>
    <d v="2024-10-10T00:00:00"/>
    <x v="15"/>
    <n v="2024"/>
    <d v="2024-10-22T00:00:00"/>
    <d v="2024-11-18T00:00:00"/>
    <s v=""/>
    <s v=""/>
    <s v="Offered"/>
    <n v="43007"/>
    <n v="45383"/>
    <s v="Mark"/>
    <s v="Female"/>
    <n v="3.9"/>
    <n v="1"/>
    <n v="0"/>
    <n v="0"/>
    <n v="1"/>
  </r>
  <r>
    <s v="APP0388"/>
    <s v="CAND1235"/>
    <s v="Kelly Sanderson Thomson"/>
    <s v="Kelly"/>
    <s v="Thomson"/>
    <s v="Data Analyst"/>
    <s v="HR"/>
    <s v="Scotland"/>
    <s v="Tom Davies"/>
    <s v="CV Library"/>
    <d v="2024-10-18T00:00:00"/>
    <x v="15"/>
    <n v="2024"/>
    <d v="2024-11-16T00:00:00"/>
    <d v="2024-11-22T00:00:00"/>
    <d v="2025-01-01T00:00:00"/>
    <n v="75"/>
    <s v="Hired"/>
    <n v="31928"/>
    <n v="35549"/>
    <s v="Anna"/>
    <s v="Female"/>
    <n v="3.2"/>
    <n v="1"/>
    <n v="0"/>
    <n v="0"/>
    <n v="1"/>
  </r>
  <r>
    <s v="APP0389"/>
    <s v="CAND1181"/>
    <s v="Oliver Thomson"/>
    <s v="Oliver"/>
    <s v="Thomson"/>
    <s v="Reporting Analyst"/>
    <s v="Operations"/>
    <s v="East Midlands"/>
    <s v="Emma Wilson"/>
    <s v="Linkedln"/>
    <d v="2025-02-28T00:00:00"/>
    <x v="11"/>
    <n v="2025"/>
    <s v=""/>
    <s v=""/>
    <s v=""/>
    <s v=""/>
    <s v="Rejected"/>
    <n v="48244"/>
    <m/>
    <s v="Rebecca"/>
    <s v="Female"/>
    <n v="4.7"/>
    <n v="1"/>
    <n v="0"/>
    <n v="1"/>
    <n v="0"/>
  </r>
  <r>
    <s v="APP0390"/>
    <s v="CAND1000"/>
    <s v="Lawrence Simpson"/>
    <s v="Lawrence"/>
    <s v="Simpson"/>
    <s v="Data Analyst"/>
    <s v="Technology"/>
    <s v="Yorkshire"/>
    <s v="James Clarke"/>
    <s v="Linkedln"/>
    <d v="2025-03-05T00:00:00"/>
    <x v="12"/>
    <n v="2025"/>
    <d v="2025-03-15T00:00:00"/>
    <s v=""/>
    <s v=""/>
    <s v=""/>
    <s v="Interviewed"/>
    <n v="49686"/>
    <m/>
    <s v="Joe"/>
    <s v="Male"/>
    <n v="3.8"/>
    <n v="1"/>
    <n v="0"/>
    <n v="0"/>
    <n v="1"/>
  </r>
  <r>
    <s v="APP0391"/>
    <s v="CAND1000"/>
    <s v="Roger Sutton"/>
    <s v="Roger"/>
    <s v="Sutton"/>
    <s v="Reporting Analyst"/>
    <s v="Commercial"/>
    <s v="London"/>
    <s v="Michael Patel"/>
    <s v="Linkedln"/>
    <d v="2024-10-26T00:00:00"/>
    <x v="15"/>
    <n v="2024"/>
    <d v="2024-11-09T00:00:00"/>
    <s v=""/>
    <s v=""/>
    <s v=""/>
    <s v="Interviewed"/>
    <n v="36172"/>
    <m/>
    <s v="Mark"/>
    <s v="Male"/>
    <n v="4.5"/>
    <n v="1"/>
    <n v="0"/>
    <n v="0"/>
    <n v="1"/>
  </r>
  <r>
    <s v="APP0392"/>
    <s v="CAND1071"/>
    <s v="Dominic Bond"/>
    <s v="Dominic"/>
    <s v="Bond"/>
    <s v="BI Analyst"/>
    <s v="Commercial"/>
    <s v="East Midlands"/>
    <s v="Sarah Green"/>
    <s v="Referral"/>
    <d v="2025-04-17T00:00:00"/>
    <x v="8"/>
    <n v="2025"/>
    <d v="2025-05-01T00:00:00"/>
    <s v=""/>
    <s v=""/>
    <s v=""/>
    <s v="Interviewed"/>
    <n v="45605"/>
    <m/>
    <s v="Mark"/>
    <s v="Male"/>
    <n v="4.7"/>
    <n v="1"/>
    <n v="0"/>
    <n v="0"/>
    <n v="1"/>
  </r>
  <r>
    <s v="APP0393"/>
    <s v="CAND1227"/>
    <s v="Damien Young"/>
    <s v="Damien"/>
    <s v="Young"/>
    <s v="Business Analyst"/>
    <s v="Finance"/>
    <s v="East Midlands"/>
    <s v="Sarah Green"/>
    <s v="CV Library"/>
    <d v="2024-09-06T00:00:00"/>
    <x v="4"/>
    <n v="2024"/>
    <s v=""/>
    <s v=""/>
    <s v=""/>
    <s v=""/>
    <s v="Rejected"/>
    <n v="43413"/>
    <m/>
    <s v="Mark"/>
    <s v="Prefer not to say"/>
    <m/>
    <n v="1"/>
    <n v="0"/>
    <n v="1"/>
    <n v="0"/>
  </r>
  <r>
    <s v="APP0394"/>
    <s v="CAND1152"/>
    <s v="Kathryn Newman Davies"/>
    <s v="Kathryn"/>
    <s v="Davies"/>
    <s v="Reporting Analyst"/>
    <s v="Commercial"/>
    <s v="East Midlands"/>
    <s v="Emma Wilson"/>
    <s v="Reed"/>
    <d v="2024-04-06T00:00:00"/>
    <x v="6"/>
    <n v="2024"/>
    <d v="2024-05-03T00:00:00"/>
    <s v=""/>
    <s v=""/>
    <s v=""/>
    <s v="Interviewed"/>
    <n v="50892"/>
    <m/>
    <s v="Helen"/>
    <s v="Female"/>
    <n v="2.6"/>
    <n v="1"/>
    <n v="0"/>
    <n v="0"/>
    <n v="1"/>
  </r>
  <r>
    <s v="APP0395"/>
    <s v="CAND1063"/>
    <s v="Kate Lee"/>
    <s v="Kate"/>
    <s v="Lee"/>
    <s v="BI Analyst"/>
    <s v="Finance"/>
    <s v="Scotland"/>
    <s v="Sarah Green"/>
    <s v="Linkedln"/>
    <d v="2024-01-04T00:00:00"/>
    <x v="9"/>
    <n v="2024"/>
    <d v="2024-01-23T00:00:00"/>
    <d v="2024-02-13T00:00:00"/>
    <s v=""/>
    <s v=""/>
    <s v="Offered"/>
    <n v="42701"/>
    <n v="46598"/>
    <s v="Joe"/>
    <s v="Female"/>
    <n v="4.8"/>
    <n v="1"/>
    <n v="0"/>
    <n v="0"/>
    <n v="1"/>
  </r>
  <r>
    <s v="APP0396"/>
    <s v="CAND1135"/>
    <s v="Abdul Williamson"/>
    <s v="Abdul"/>
    <s v="Williamson"/>
    <s v="Data Analyst"/>
    <s v="Finance"/>
    <s v="Scotland"/>
    <s v="Sarah Green"/>
    <s v="Reed"/>
    <d v="2025-01-27T00:00:00"/>
    <x v="10"/>
    <n v="2025"/>
    <d v="2025-02-01T00:00:00"/>
    <s v=""/>
    <s v=""/>
    <s v=""/>
    <s v="Interviewed"/>
    <n v="49138"/>
    <m/>
    <s v="Helen"/>
    <s v="Male"/>
    <n v="3.6"/>
    <n v="1"/>
    <n v="0"/>
    <n v="0"/>
    <n v="1"/>
  </r>
  <r>
    <s v="APP0397"/>
    <s v="CAND1018"/>
    <s v="Scott Dean"/>
    <s v="Scott"/>
    <s v="Dean"/>
    <s v="BI Analyst"/>
    <s v="Operations"/>
    <s v="East Midlands"/>
    <s v="Emma Wilson"/>
    <s v="Linkedln"/>
    <d v="2024-01-30T00:00:00"/>
    <x v="9"/>
    <n v="2024"/>
    <s v=""/>
    <s v=""/>
    <s v=""/>
    <s v=""/>
    <s v="Rejected"/>
    <n v="46013"/>
    <m/>
    <s v="Mark"/>
    <s v="Female"/>
    <n v="2.2999999999999998"/>
    <n v="1"/>
    <n v="0"/>
    <n v="1"/>
    <n v="0"/>
  </r>
  <r>
    <s v="APP0398"/>
    <s v="CAND1212"/>
    <s v="Alex Smith"/>
    <s v="Alex"/>
    <s v="Smith"/>
    <s v="BI Analyst"/>
    <s v="HR"/>
    <s v="Yorkshire"/>
    <s v="James Clarke"/>
    <s v="Linkedln"/>
    <d v="2024-09-29T00:00:00"/>
    <x v="4"/>
    <n v="2024"/>
    <d v="2024-10-24T00:00:00"/>
    <s v=""/>
    <s v=""/>
    <s v=""/>
    <s v="Interviewed"/>
    <n v="40076"/>
    <m/>
    <s v="Joe"/>
    <s v="Prefer not to say"/>
    <n v="2.5"/>
    <n v="1"/>
    <n v="0"/>
    <n v="0"/>
    <n v="1"/>
  </r>
  <r>
    <s v="APP0399"/>
    <s v="CAND1150"/>
    <s v="Bethan Begum"/>
    <s v="Bethan"/>
    <s v="Begum"/>
    <s v="Data Analyst"/>
    <s v="Technology"/>
    <s v="Scotland"/>
    <s v="Michael Patel"/>
    <s v="Reed"/>
    <d v="2024-07-02T00:00:00"/>
    <x v="1"/>
    <n v="2024"/>
    <s v=""/>
    <s v=""/>
    <s v=""/>
    <s v=""/>
    <s v="Applied"/>
    <n v="35106"/>
    <m/>
    <s v="Helen"/>
    <s v="Prefer not to say"/>
    <m/>
    <n v="1"/>
    <n v="0"/>
    <n v="0"/>
    <n v="0"/>
  </r>
  <r>
    <s v="APP0400"/>
    <s v="CAND1052"/>
    <s v="Jeffrey Taylor"/>
    <s v="Jeffrey"/>
    <s v="Taylor"/>
    <s v="Business Analyst"/>
    <s v="Operations"/>
    <s v="South East"/>
    <s v="James Clarke"/>
    <s v="Linkedln"/>
    <d v="2024-01-04T00:00:00"/>
    <x v="9"/>
    <n v="2024"/>
    <s v=""/>
    <s v=""/>
    <s v=""/>
    <s v=""/>
    <s v="Withdrawn"/>
    <n v="34573"/>
    <m/>
    <s v="Anna"/>
    <s v="Prefer not to say"/>
    <n v="2.2999999999999998"/>
    <n v="1"/>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850B51-D91F-421A-91E7-6FF10D1B2DFC}" name="monthly recrui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Month Year">
  <location ref="B8:E28" firstHeaderRow="0" firstDataRow="1" firstDataCol="1"/>
  <pivotFields count="32">
    <pivotField dataField="1" showAll="0"/>
    <pivotField showAll="0"/>
    <pivotField showAll="0"/>
    <pivotField showAll="0"/>
    <pivotField showAll="0"/>
    <pivotField showAll="0"/>
    <pivotField showAll="0">
      <items count="6">
        <item x="1"/>
        <item x="2"/>
        <item x="0"/>
        <item x="4"/>
        <item x="3"/>
        <item t="default"/>
      </items>
    </pivotField>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showAll="0"/>
    <pivotField showAll="0"/>
    <pivotField showAll="0"/>
    <pivotField dataField="1"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31"/>
    <field x="29"/>
  </rowFields>
  <rowItems count="20">
    <i>
      <x v="1"/>
    </i>
    <i r="1">
      <x v="1"/>
    </i>
    <i r="1">
      <x v="2"/>
    </i>
    <i r="1">
      <x v="3"/>
    </i>
    <i r="1">
      <x v="4"/>
    </i>
    <i r="1">
      <x v="5"/>
    </i>
    <i r="1">
      <x v="6"/>
    </i>
    <i r="1">
      <x v="7"/>
    </i>
    <i r="1">
      <x v="8"/>
    </i>
    <i r="1">
      <x v="9"/>
    </i>
    <i r="1">
      <x v="10"/>
    </i>
    <i r="1">
      <x v="11"/>
    </i>
    <i r="1">
      <x v="12"/>
    </i>
    <i>
      <x v="2"/>
    </i>
    <i r="1">
      <x v="1"/>
    </i>
    <i r="1">
      <x v="2"/>
    </i>
    <i r="1">
      <x v="3"/>
    </i>
    <i r="1">
      <x v="4"/>
    </i>
    <i r="1">
      <x v="5"/>
    </i>
    <i t="grand">
      <x/>
    </i>
  </rowItems>
  <colFields count="1">
    <field x="-2"/>
  </colFields>
  <colItems count="3">
    <i>
      <x/>
    </i>
    <i i="1">
      <x v="1"/>
    </i>
    <i i="2">
      <x v="2"/>
    </i>
  </colItems>
  <dataFields count="3">
    <dataField name="Applications Received" fld="0" subtotal="count" baseField="0" baseItem="0"/>
    <dataField name="Candidates Interviewed" fld="26" baseField="0" baseItem="0"/>
    <dataField name="Candidates Hired" fld="2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65CFE4-902B-4683-91C3-8B39DD631BAE}" name="salary comparis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ole">
  <location ref="B87:D94" firstHeaderRow="0" firstDataRow="1" firstDataCol="1"/>
  <pivotFields count="32">
    <pivotField showAll="0"/>
    <pivotField showAll="0"/>
    <pivotField showAll="0"/>
    <pivotField showAll="0"/>
    <pivotField showAll="0"/>
    <pivotField axis="axisRow" showAll="0" sortType="descending">
      <items count="7">
        <item x="4"/>
        <item x="2"/>
        <item x="5"/>
        <item x="3"/>
        <item x="1"/>
        <item x="0"/>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showAll="0"/>
    <pivotField showAll="0"/>
    <pivotField dataField="1" numFmtId="44" showAll="0"/>
    <pivotField dataField="1" showAll="0"/>
    <pivotField showAll="0">
      <items count="6">
        <item x="2"/>
        <item x="3"/>
        <item x="4"/>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7">
    <i>
      <x v="4"/>
    </i>
    <i>
      <x v="3"/>
    </i>
    <i>
      <x v="5"/>
    </i>
    <i>
      <x/>
    </i>
    <i>
      <x v="2"/>
    </i>
    <i>
      <x v="1"/>
    </i>
    <i t="grand">
      <x/>
    </i>
  </rowItems>
  <colFields count="1">
    <field x="-2"/>
  </colFields>
  <colItems count="2">
    <i>
      <x/>
    </i>
    <i i="1">
      <x v="1"/>
    </i>
  </colItems>
  <dataFields count="2">
    <dataField name="Avg. Expected Salary" fld="18" subtotal="average" baseField="5" baseItem="1" numFmtId="44"/>
    <dataField name="Avg. Offered Salary" fld="19" subtotal="average" baseField="5" baseItem="1" numFmtId="4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C85F87-C5B4-4297-A280-DFF4FD2B47CE}" name="recruiting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ource channel">
  <location ref="B66:D72" firstHeaderRow="0" firstDataRow="1" firstDataCol="1"/>
  <pivotFields count="32">
    <pivotField showAll="0"/>
    <pivotField showAll="0"/>
    <pivotField showAll="0"/>
    <pivotField showAll="0"/>
    <pivotField showAll="0"/>
    <pivotField showAll="0"/>
    <pivotField showAll="0">
      <items count="6">
        <item x="1"/>
        <item x="2"/>
        <item x="0"/>
        <item x="4"/>
        <item x="3"/>
        <item t="default"/>
      </items>
    </pivotField>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dataField="1"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6">
    <i>
      <x v="2"/>
    </i>
    <i>
      <x v="3"/>
    </i>
    <i>
      <x v="1"/>
    </i>
    <i>
      <x v="4"/>
    </i>
    <i>
      <x/>
    </i>
    <i t="grand">
      <x/>
    </i>
  </rowItems>
  <colFields count="1">
    <field x="-2"/>
  </colFields>
  <colItems count="2">
    <i>
      <x/>
    </i>
    <i i="1">
      <x v="1"/>
    </i>
  </colItems>
  <dataFields count="2">
    <dataField name="Applications received" fld="23" baseField="0" baseItem="0"/>
    <dataField name="Candidates hired" fld="28"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758EB0-3262-4DDC-9FBE-54B3E703BE56}" name="average hiretime by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ole">
  <location ref="B115:C122" firstHeaderRow="1" firstDataRow="1" firstDataCol="1"/>
  <pivotFields count="32">
    <pivotField showAll="0"/>
    <pivotField showAll="0"/>
    <pivotField showAll="0"/>
    <pivotField showAll="0"/>
    <pivotField showAll="0"/>
    <pivotField axis="axisRow" showAll="0" sortType="descending">
      <items count="7">
        <item x="4"/>
        <item x="2"/>
        <item x="5"/>
        <item x="3"/>
        <item x="1"/>
        <item x="0"/>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dataField="1"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7">
    <i>
      <x v="2"/>
    </i>
    <i>
      <x v="5"/>
    </i>
    <i>
      <x/>
    </i>
    <i>
      <x v="1"/>
    </i>
    <i>
      <x v="4"/>
    </i>
    <i>
      <x v="3"/>
    </i>
    <i t="grand">
      <x/>
    </i>
  </rowItems>
  <colItems count="1">
    <i/>
  </colItems>
  <dataFields count="1">
    <dataField name="Average time to hire" fld="16" subtotal="average" baseField="5" baseItem="0" numFmtId="167"/>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A72AC0-69FA-4AE1-B9E8-D246533F06DC}" name="avg hire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8:B109" firstHeaderRow="1" firstDataRow="1" firstDataCol="0"/>
  <pivotFields count="32">
    <pivotField showAll="0"/>
    <pivotField showAll="0"/>
    <pivotField showAll="0"/>
    <pivotField showAll="0"/>
    <pivotField showAll="0"/>
    <pivotField showAll="0"/>
    <pivotField showAll="0">
      <items count="6">
        <item x="1"/>
        <item x="2"/>
        <item x="0"/>
        <item x="4"/>
        <item x="3"/>
        <item t="default"/>
      </items>
    </pivotField>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dataField="1"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time to hire" fld="16" subtotal="average" baseField="0" baseItem="0" numFmtId="166"/>
  </dataFields>
  <formats count="2">
    <format dxfId="23">
      <pivotArea outline="0" collapsedLevelsAreSubtotals="1" fieldPosition="0"/>
    </format>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9BC1E0-EC74-43E5-8F83-3773D856D8C8}" name="application performance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Month">
  <location ref="B55:D56" firstHeaderRow="0" firstDataRow="1" firstDataCol="0"/>
  <pivotFields count="32">
    <pivotField showAll="0"/>
    <pivotField showAll="0"/>
    <pivotField showAll="0"/>
    <pivotField showAll="0"/>
    <pivotField showAll="0"/>
    <pivotField showAll="0"/>
    <pivotField showAll="0">
      <items count="6">
        <item x="1"/>
        <item x="2"/>
        <item x="0"/>
        <item x="4"/>
        <item x="3"/>
        <item t="default"/>
      </items>
    </pivotField>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dataField="1" showAll="0"/>
    <pivotField showAll="0"/>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Applications Received" fld="23" baseField="0" baseItem="0"/>
    <dataField name="Interviewed" fld="26" baseField="0" baseItem="0"/>
    <dataField name="Candidates hired"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570082-2E9C-4947-824E-6DA3B506B43B}" name="regional recrui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B35:D43" firstHeaderRow="0" firstDataRow="1" firstDataCol="1"/>
  <pivotFields count="32">
    <pivotField showAll="0"/>
    <pivotField showAll="0"/>
    <pivotField showAll="0"/>
    <pivotField showAll="0"/>
    <pivotField showAll="0"/>
    <pivotField showAll="0"/>
    <pivotField showAll="0">
      <items count="6">
        <item x="1"/>
        <item x="2"/>
        <item x="0"/>
        <item x="4"/>
        <item x="3"/>
        <item t="default"/>
      </items>
    </pivotField>
    <pivotField axis="axisRow" showAll="0" sortType="descending">
      <items count="8">
        <item x="4"/>
        <item x="3"/>
        <item x="0"/>
        <item x="6"/>
        <item x="1"/>
        <item x="5"/>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dataField="1" showAll="0"/>
    <pivotField showAll="0"/>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7"/>
  </rowFields>
  <rowItems count="8">
    <i>
      <x/>
    </i>
    <i>
      <x v="2"/>
    </i>
    <i>
      <x v="4"/>
    </i>
    <i>
      <x v="3"/>
    </i>
    <i>
      <x v="5"/>
    </i>
    <i>
      <x v="1"/>
    </i>
    <i>
      <x v="6"/>
    </i>
    <i t="grand">
      <x/>
    </i>
  </rowItems>
  <colFields count="1">
    <field x="-2"/>
  </colFields>
  <colItems count="2">
    <i>
      <x/>
    </i>
    <i i="1">
      <x v="1"/>
    </i>
  </colItems>
  <dataFields count="2">
    <dataField name="Applications Received" fld="23" baseField="0" baseItem="0"/>
    <dataField name="Candidates Hired" fld="2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FD05EC-2800-49C0-8643-EEDE08EAF6A0}" name="Total_applicat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30">
    <pivotField dataField="1" showAll="0"/>
    <pivotField showAll="0"/>
    <pivotField showAll="0"/>
    <pivotField showAll="0"/>
    <pivotField showAll="0"/>
    <pivotField showAll="0"/>
    <pivotField showAll="0"/>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pivotField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Appilcations" fld="0" subtotal="count" baseField="0"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98F9392-FF2E-4B5D-9F90-C90806A6651E}" sourceName="department">
  <pivotTables>
    <pivotTable tabId="7" name="regional recruitment"/>
    <pivotTable tabId="7" name="application performance trend"/>
    <pivotTable tabId="7" name="average hiretime by role"/>
    <pivotTable tabId="7" name="avg hiretime"/>
    <pivotTable tabId="7" name="monthly recruitment"/>
    <pivotTable tabId="7" name="recruiting channel"/>
    <pivotTable tabId="7" name="salary comparism"/>
  </pivotTables>
  <data>
    <tabular pivotCacheId="993213138">
      <items count="5">
        <i x="1"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er" xr10:uid="{EBC936EF-7358-4ABC-AB12-C6C5F9BBB440}" sourceName="Recruiter">
  <pivotTables>
    <pivotTable tabId="7" name="regional recruitment"/>
    <pivotTable tabId="7" name="application performance trend"/>
    <pivotTable tabId="7" name="average hiretime by role"/>
    <pivotTable tabId="7" name="avg hiretime"/>
    <pivotTable tabId="7" name="monthly recruitment"/>
    <pivotTable tabId="7" name="recruiting channel"/>
    <pivotTable tabId="7" name="salary comparism"/>
  </pivotTables>
  <data>
    <tabular pivotCacheId="993213138">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B782C66-7D14-4681-9AF0-2E66A14BBCBF}" sourceName="Gender">
  <pivotTables>
    <pivotTable tabId="7" name="regional recruitment"/>
    <pivotTable tabId="7" name="application performance trend"/>
    <pivotTable tabId="7" name="average hiretime by role"/>
    <pivotTable tabId="7" name="avg hiretime"/>
    <pivotTable tabId="7" name="monthly recruitment"/>
    <pivotTable tabId="7" name="recruiting channel"/>
    <pivotTable tabId="7" name="salary comparism"/>
  </pivotTables>
  <data>
    <tabular pivotCacheId="99321313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year" xr10:uid="{B6AFAFC6-D411-4C40-899F-7CE393781A89}" sourceName="application_year">
  <pivotTables>
    <pivotTable tabId="7" name="regional recruitment"/>
    <pivotTable tabId="7" name="application performance trend"/>
    <pivotTable tabId="7" name="average hiretime by role"/>
    <pivotTable tabId="7" name="avg hiretime"/>
    <pivotTable tabId="7" name="monthly recruitment"/>
    <pivotTable tabId="7" name="recruiting channel"/>
    <pivotTable tabId="7" name="salary comparism"/>
  </pivotTables>
  <data>
    <tabular pivotCacheId="99321313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19CDD87-2A90-479E-9AAE-B3CBF53E7698}" cache="Slicer_department" caption="Department" rowHeight="241300"/>
  <slicer name="Recruiter" xr10:uid="{428BDE8B-1AED-4E29-9435-AD6FF5ADA0BB}" cache="Slicer_Recruiter" caption="Recruiter" rowHeight="241300"/>
  <slicer name="Gender" xr10:uid="{0BD87A32-789B-4316-A001-7109E5B34155}" cache="Slicer_Gender" caption="Gender" rowHeight="241300"/>
  <slicer name="application_year" xr10:uid="{F399EA6D-EB66-4602-AB6B-93742CCA4A08}" cache="Slicer_application_year" caption="Year"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DDCF2-7F52-44AF-9BBE-BA2A555B33A3}">
  <dimension ref="A1:R416"/>
  <sheetViews>
    <sheetView topLeftCell="G1" zoomScale="130" zoomScaleNormal="130" workbookViewId="0">
      <pane ySplit="1" topLeftCell="A191" activePane="bottomLeft" state="frozen"/>
      <selection activeCell="D1" sqref="D1"/>
      <selection pane="bottomLeft" activeCell="E215" sqref="E215"/>
    </sheetView>
  </sheetViews>
  <sheetFormatPr defaultColWidth="16.08984375" defaultRowHeight="14.5" x14ac:dyDescent="0.35"/>
  <sheetData>
    <row r="1" spans="1:18" ht="23.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418</v>
      </c>
      <c r="C2" t="s">
        <v>624</v>
      </c>
      <c r="D2" t="s">
        <v>1022</v>
      </c>
      <c r="E2" t="s">
        <v>1028</v>
      </c>
      <c r="F2" t="s">
        <v>1033</v>
      </c>
      <c r="G2" t="s">
        <v>1041</v>
      </c>
      <c r="H2" t="s">
        <v>1046</v>
      </c>
      <c r="I2" t="s">
        <v>1053</v>
      </c>
      <c r="J2" t="s">
        <v>1394</v>
      </c>
      <c r="M2" t="s">
        <v>1615</v>
      </c>
      <c r="N2">
        <v>49836</v>
      </c>
      <c r="P2" t="s">
        <v>1621</v>
      </c>
      <c r="Q2" t="s">
        <v>1626</v>
      </c>
      <c r="R2">
        <v>3.1</v>
      </c>
    </row>
    <row r="3" spans="1:18" x14ac:dyDescent="0.35">
      <c r="A3" t="s">
        <v>19</v>
      </c>
      <c r="B3" t="s">
        <v>419</v>
      </c>
      <c r="C3" t="s">
        <v>625</v>
      </c>
      <c r="D3" t="s">
        <v>1023</v>
      </c>
      <c r="E3" t="s">
        <v>1028</v>
      </c>
      <c r="F3" t="s">
        <v>1034</v>
      </c>
      <c r="G3" t="s">
        <v>1042</v>
      </c>
      <c r="H3" t="s">
        <v>1047</v>
      </c>
      <c r="I3" t="s">
        <v>1054</v>
      </c>
      <c r="M3" t="s">
        <v>1616</v>
      </c>
      <c r="N3">
        <v>34889</v>
      </c>
      <c r="P3" t="s">
        <v>1622</v>
      </c>
      <c r="Q3" t="s">
        <v>1627</v>
      </c>
      <c r="R3">
        <v>2.2999999999999998</v>
      </c>
    </row>
    <row r="4" spans="1:18" x14ac:dyDescent="0.35">
      <c r="A4" t="s">
        <v>20</v>
      </c>
      <c r="B4" t="s">
        <v>420</v>
      </c>
      <c r="C4" t="s">
        <v>626</v>
      </c>
      <c r="D4" t="s">
        <v>1024</v>
      </c>
      <c r="E4" t="s">
        <v>1029</v>
      </c>
      <c r="F4" t="s">
        <v>1035</v>
      </c>
      <c r="G4" t="s">
        <v>1041</v>
      </c>
      <c r="H4" t="s">
        <v>1048</v>
      </c>
      <c r="I4" t="s">
        <v>1055</v>
      </c>
      <c r="M4" t="s">
        <v>1617</v>
      </c>
      <c r="N4">
        <v>41887</v>
      </c>
      <c r="P4" t="s">
        <v>1623</v>
      </c>
      <c r="Q4" t="s">
        <v>1628</v>
      </c>
      <c r="R4">
        <v>4.8</v>
      </c>
    </row>
    <row r="5" spans="1:18" x14ac:dyDescent="0.35">
      <c r="A5" t="s">
        <v>21</v>
      </c>
      <c r="B5" t="s">
        <v>421</v>
      </c>
      <c r="C5" t="s">
        <v>627</v>
      </c>
      <c r="D5" t="s">
        <v>1022</v>
      </c>
      <c r="E5" t="s">
        <v>1029</v>
      </c>
      <c r="F5" t="s">
        <v>1036</v>
      </c>
      <c r="G5" t="s">
        <v>1042</v>
      </c>
      <c r="H5" t="s">
        <v>1046</v>
      </c>
      <c r="I5" t="s">
        <v>1056</v>
      </c>
      <c r="J5" t="s">
        <v>1395</v>
      </c>
      <c r="K5" t="s">
        <v>1520</v>
      </c>
      <c r="M5" t="s">
        <v>1618</v>
      </c>
      <c r="N5">
        <v>47904</v>
      </c>
      <c r="O5">
        <v>48335</v>
      </c>
      <c r="P5" t="s">
        <v>1624</v>
      </c>
      <c r="Q5" t="s">
        <v>1628</v>
      </c>
      <c r="R5">
        <v>4</v>
      </c>
    </row>
    <row r="6" spans="1:18" x14ac:dyDescent="0.35">
      <c r="A6" t="s">
        <v>22</v>
      </c>
      <c r="B6" t="s">
        <v>418</v>
      </c>
      <c r="C6" t="s">
        <v>628</v>
      </c>
      <c r="D6" t="s">
        <v>1023</v>
      </c>
      <c r="E6" t="s">
        <v>1029</v>
      </c>
      <c r="F6" t="s">
        <v>1037</v>
      </c>
      <c r="G6" t="s">
        <v>1042</v>
      </c>
      <c r="H6" t="s">
        <v>1049</v>
      </c>
      <c r="I6" t="s">
        <v>1057</v>
      </c>
      <c r="M6" t="s">
        <v>1619</v>
      </c>
      <c r="N6">
        <v>31730</v>
      </c>
      <c r="P6" t="s">
        <v>1625</v>
      </c>
      <c r="Q6" t="s">
        <v>1627</v>
      </c>
      <c r="R6">
        <v>2.8</v>
      </c>
    </row>
    <row r="7" spans="1:18" x14ac:dyDescent="0.35">
      <c r="A7" t="s">
        <v>23</v>
      </c>
      <c r="B7" t="s">
        <v>422</v>
      </c>
      <c r="C7" t="s">
        <v>629</v>
      </c>
      <c r="D7" t="s">
        <v>1023</v>
      </c>
      <c r="E7" t="s">
        <v>1030</v>
      </c>
      <c r="F7" t="s">
        <v>1038</v>
      </c>
      <c r="G7" t="s">
        <v>1043</v>
      </c>
      <c r="H7" t="s">
        <v>1047</v>
      </c>
      <c r="I7" t="s">
        <v>1058</v>
      </c>
      <c r="M7" t="s">
        <v>1616</v>
      </c>
      <c r="N7">
        <v>50139</v>
      </c>
      <c r="P7" t="s">
        <v>1623</v>
      </c>
      <c r="Q7" t="s">
        <v>1626</v>
      </c>
      <c r="R7">
        <v>3.3</v>
      </c>
    </row>
    <row r="8" spans="1:18" x14ac:dyDescent="0.35">
      <c r="A8" t="s">
        <v>24</v>
      </c>
      <c r="B8" t="s">
        <v>423</v>
      </c>
      <c r="C8" t="s">
        <v>630</v>
      </c>
      <c r="D8" t="s">
        <v>1025</v>
      </c>
      <c r="E8" t="s">
        <v>1031</v>
      </c>
      <c r="F8" t="s">
        <v>1033</v>
      </c>
      <c r="G8" t="s">
        <v>1044</v>
      </c>
      <c r="H8" t="s">
        <v>1046</v>
      </c>
      <c r="I8" t="s">
        <v>1059</v>
      </c>
      <c r="J8" t="s">
        <v>1396</v>
      </c>
      <c r="K8" t="s">
        <v>1521</v>
      </c>
      <c r="M8" t="s">
        <v>1618</v>
      </c>
      <c r="N8">
        <v>51785</v>
      </c>
      <c r="O8">
        <v>49211</v>
      </c>
      <c r="P8" t="s">
        <v>1624</v>
      </c>
      <c r="Q8" t="s">
        <v>1627</v>
      </c>
      <c r="R8">
        <v>3.6</v>
      </c>
    </row>
    <row r="9" spans="1:18" x14ac:dyDescent="0.35">
      <c r="A9" t="s">
        <v>25</v>
      </c>
      <c r="B9" t="s">
        <v>424</v>
      </c>
      <c r="C9" t="s">
        <v>631</v>
      </c>
      <c r="D9" t="s">
        <v>1025</v>
      </c>
      <c r="E9" t="s">
        <v>1032</v>
      </c>
      <c r="F9" t="s">
        <v>1038</v>
      </c>
      <c r="G9" t="s">
        <v>1042</v>
      </c>
      <c r="H9" t="s">
        <v>1048</v>
      </c>
      <c r="I9" t="s">
        <v>1060</v>
      </c>
      <c r="M9" t="s">
        <v>1619</v>
      </c>
      <c r="N9">
        <v>35205</v>
      </c>
      <c r="P9" t="s">
        <v>1622</v>
      </c>
      <c r="Q9" t="s">
        <v>1627</v>
      </c>
    </row>
    <row r="10" spans="1:18" x14ac:dyDescent="0.35">
      <c r="A10" t="s">
        <v>26</v>
      </c>
      <c r="B10" t="s">
        <v>425</v>
      </c>
      <c r="C10" t="s">
        <v>632</v>
      </c>
      <c r="D10" t="s">
        <v>1026</v>
      </c>
      <c r="E10" t="s">
        <v>1028</v>
      </c>
      <c r="F10" t="s">
        <v>1039</v>
      </c>
      <c r="G10" t="s">
        <v>1043</v>
      </c>
      <c r="H10" t="s">
        <v>1050</v>
      </c>
      <c r="I10" t="s">
        <v>1061</v>
      </c>
      <c r="M10" t="s">
        <v>1617</v>
      </c>
      <c r="N10">
        <v>44501</v>
      </c>
      <c r="P10" t="s">
        <v>1625</v>
      </c>
      <c r="Q10" t="s">
        <v>1626</v>
      </c>
      <c r="R10">
        <v>2.5</v>
      </c>
    </row>
    <row r="11" spans="1:18" x14ac:dyDescent="0.35">
      <c r="A11" t="s">
        <v>27</v>
      </c>
      <c r="B11" t="s">
        <v>426</v>
      </c>
      <c r="C11" t="s">
        <v>633</v>
      </c>
      <c r="D11" t="s">
        <v>1023</v>
      </c>
      <c r="E11" t="s">
        <v>1030</v>
      </c>
      <c r="F11" t="s">
        <v>1040</v>
      </c>
      <c r="G11" t="s">
        <v>1045</v>
      </c>
      <c r="H11" t="s">
        <v>1050</v>
      </c>
      <c r="I11" t="s">
        <v>1062</v>
      </c>
      <c r="J11" t="s">
        <v>1109</v>
      </c>
      <c r="M11" t="s">
        <v>1615</v>
      </c>
      <c r="N11">
        <v>42576</v>
      </c>
      <c r="P11" t="s">
        <v>1621</v>
      </c>
      <c r="Q11" t="s">
        <v>1628</v>
      </c>
      <c r="R11">
        <v>4.7</v>
      </c>
    </row>
    <row r="12" spans="1:18" x14ac:dyDescent="0.35">
      <c r="A12" t="s">
        <v>28</v>
      </c>
      <c r="B12" t="s">
        <v>424</v>
      </c>
      <c r="C12" t="s">
        <v>634</v>
      </c>
      <c r="D12" t="s">
        <v>1022</v>
      </c>
      <c r="E12" t="s">
        <v>1032</v>
      </c>
      <c r="F12" t="s">
        <v>1038</v>
      </c>
      <c r="G12" t="s">
        <v>1043</v>
      </c>
      <c r="H12" t="s">
        <v>1049</v>
      </c>
      <c r="I12" t="s">
        <v>1063</v>
      </c>
      <c r="J12" t="s">
        <v>1397</v>
      </c>
      <c r="K12" t="s">
        <v>1083</v>
      </c>
      <c r="M12" t="s">
        <v>1618</v>
      </c>
      <c r="N12">
        <v>28120</v>
      </c>
      <c r="O12">
        <v>30806</v>
      </c>
      <c r="P12" t="s">
        <v>1624</v>
      </c>
      <c r="Q12" t="s">
        <v>1627</v>
      </c>
      <c r="R12">
        <v>2.2000000000000002</v>
      </c>
    </row>
    <row r="13" spans="1:18" x14ac:dyDescent="0.35">
      <c r="A13" t="s">
        <v>29</v>
      </c>
      <c r="B13" t="s">
        <v>427</v>
      </c>
      <c r="C13" t="s">
        <v>635</v>
      </c>
      <c r="D13" t="s">
        <v>1025</v>
      </c>
      <c r="E13" t="s">
        <v>1031</v>
      </c>
      <c r="F13" t="s">
        <v>1037</v>
      </c>
      <c r="G13" t="s">
        <v>1042</v>
      </c>
      <c r="H13" t="s">
        <v>1051</v>
      </c>
      <c r="I13" t="s">
        <v>1064</v>
      </c>
      <c r="J13" t="s">
        <v>1398</v>
      </c>
      <c r="M13" t="s">
        <v>1615</v>
      </c>
      <c r="N13">
        <v>41262</v>
      </c>
      <c r="P13" t="s">
        <v>1623</v>
      </c>
      <c r="Q13" t="s">
        <v>1627</v>
      </c>
      <c r="R13">
        <v>4.4000000000000004</v>
      </c>
    </row>
    <row r="14" spans="1:18" x14ac:dyDescent="0.35">
      <c r="A14" t="s">
        <v>30</v>
      </c>
      <c r="B14" t="s">
        <v>428</v>
      </c>
      <c r="C14" t="s">
        <v>636</v>
      </c>
      <c r="D14" t="s">
        <v>1025</v>
      </c>
      <c r="E14" t="s">
        <v>1028</v>
      </c>
      <c r="F14" t="s">
        <v>1033</v>
      </c>
      <c r="G14" t="s">
        <v>1041</v>
      </c>
      <c r="H14" t="s">
        <v>1048</v>
      </c>
      <c r="I14" t="s">
        <v>1065</v>
      </c>
      <c r="J14" t="s">
        <v>1078</v>
      </c>
      <c r="M14" t="s">
        <v>1615</v>
      </c>
      <c r="N14">
        <v>40434</v>
      </c>
      <c r="P14" t="s">
        <v>1625</v>
      </c>
      <c r="Q14" t="s">
        <v>1628</v>
      </c>
      <c r="R14">
        <v>4.4000000000000004</v>
      </c>
    </row>
    <row r="15" spans="1:18" x14ac:dyDescent="0.35">
      <c r="A15" t="s">
        <v>31</v>
      </c>
      <c r="B15" t="s">
        <v>429</v>
      </c>
      <c r="C15" t="s">
        <v>637</v>
      </c>
      <c r="D15" t="s">
        <v>1026</v>
      </c>
      <c r="E15" t="s">
        <v>1030</v>
      </c>
      <c r="F15" t="s">
        <v>1040</v>
      </c>
      <c r="G15" t="s">
        <v>1045</v>
      </c>
      <c r="H15" t="s">
        <v>1051</v>
      </c>
      <c r="I15" t="s">
        <v>1066</v>
      </c>
      <c r="M15" t="s">
        <v>1616</v>
      </c>
      <c r="N15">
        <v>39657</v>
      </c>
      <c r="P15" t="s">
        <v>1625</v>
      </c>
      <c r="Q15" t="s">
        <v>1626</v>
      </c>
      <c r="R15">
        <v>3</v>
      </c>
    </row>
    <row r="16" spans="1:18" x14ac:dyDescent="0.35">
      <c r="A16" t="s">
        <v>32</v>
      </c>
      <c r="B16" t="s">
        <v>430</v>
      </c>
      <c r="C16" t="s">
        <v>638</v>
      </c>
      <c r="D16" t="s">
        <v>1026</v>
      </c>
      <c r="E16" t="s">
        <v>1029</v>
      </c>
      <c r="F16" t="s">
        <v>1035</v>
      </c>
      <c r="G16" t="s">
        <v>1044</v>
      </c>
      <c r="H16" t="s">
        <v>1046</v>
      </c>
      <c r="I16" t="s">
        <v>1067</v>
      </c>
      <c r="M16" t="s">
        <v>1616</v>
      </c>
      <c r="N16">
        <v>43984</v>
      </c>
      <c r="P16" t="s">
        <v>1623</v>
      </c>
      <c r="Q16" t="s">
        <v>1627</v>
      </c>
      <c r="R16">
        <v>3.9</v>
      </c>
    </row>
    <row r="17" spans="1:18" x14ac:dyDescent="0.35">
      <c r="A17" t="s">
        <v>33</v>
      </c>
      <c r="B17" t="s">
        <v>431</v>
      </c>
      <c r="C17" t="s">
        <v>639</v>
      </c>
      <c r="D17" t="s">
        <v>1025</v>
      </c>
      <c r="E17" t="s">
        <v>1032</v>
      </c>
      <c r="F17" t="s">
        <v>1037</v>
      </c>
      <c r="G17" t="s">
        <v>1041</v>
      </c>
      <c r="H17" t="s">
        <v>1051</v>
      </c>
      <c r="I17" t="s">
        <v>1068</v>
      </c>
      <c r="M17" t="s">
        <v>1617</v>
      </c>
      <c r="N17">
        <v>40008</v>
      </c>
      <c r="P17" t="s">
        <v>1622</v>
      </c>
      <c r="Q17" t="s">
        <v>1626</v>
      </c>
      <c r="R17">
        <v>2.9</v>
      </c>
    </row>
    <row r="18" spans="1:18" x14ac:dyDescent="0.35">
      <c r="A18" t="s">
        <v>34</v>
      </c>
      <c r="B18" t="s">
        <v>432</v>
      </c>
      <c r="C18" t="s">
        <v>640</v>
      </c>
      <c r="D18" t="s">
        <v>1022</v>
      </c>
      <c r="E18" t="s">
        <v>1029</v>
      </c>
      <c r="F18" t="s">
        <v>1034</v>
      </c>
      <c r="G18" t="s">
        <v>1041</v>
      </c>
      <c r="H18" t="s">
        <v>1051</v>
      </c>
      <c r="I18" t="s">
        <v>1069</v>
      </c>
      <c r="J18" t="s">
        <v>1399</v>
      </c>
      <c r="K18" t="s">
        <v>1522</v>
      </c>
      <c r="L18" t="s">
        <v>1581</v>
      </c>
      <c r="M18" t="s">
        <v>1620</v>
      </c>
      <c r="N18">
        <v>43061</v>
      </c>
      <c r="O18">
        <v>46495</v>
      </c>
      <c r="P18" t="s">
        <v>1624</v>
      </c>
      <c r="Q18" t="s">
        <v>1626</v>
      </c>
      <c r="R18">
        <v>4.5999999999999996</v>
      </c>
    </row>
    <row r="19" spans="1:18" x14ac:dyDescent="0.35">
      <c r="A19" t="s">
        <v>35</v>
      </c>
      <c r="B19" t="s">
        <v>433</v>
      </c>
      <c r="C19" t="s">
        <v>641</v>
      </c>
      <c r="D19" t="s">
        <v>1025</v>
      </c>
      <c r="E19" t="s">
        <v>1032</v>
      </c>
      <c r="F19" t="s">
        <v>1037</v>
      </c>
      <c r="G19" t="s">
        <v>1044</v>
      </c>
      <c r="H19" t="s">
        <v>1046</v>
      </c>
      <c r="I19" t="s">
        <v>1070</v>
      </c>
      <c r="M19" t="s">
        <v>1619</v>
      </c>
      <c r="N19">
        <v>38559</v>
      </c>
      <c r="P19" t="s">
        <v>1621</v>
      </c>
      <c r="Q19" t="s">
        <v>1626</v>
      </c>
      <c r="R19">
        <v>4.3</v>
      </c>
    </row>
    <row r="20" spans="1:18" x14ac:dyDescent="0.35">
      <c r="A20" t="s">
        <v>36</v>
      </c>
      <c r="B20" t="s">
        <v>434</v>
      </c>
      <c r="C20" t="s">
        <v>642</v>
      </c>
      <c r="D20" t="s">
        <v>1025</v>
      </c>
      <c r="E20" t="s">
        <v>1031</v>
      </c>
      <c r="F20" t="s">
        <v>1035</v>
      </c>
      <c r="G20" t="s">
        <v>1043</v>
      </c>
      <c r="H20" t="s">
        <v>1046</v>
      </c>
      <c r="I20" t="s">
        <v>1071</v>
      </c>
      <c r="M20" t="s">
        <v>1616</v>
      </c>
      <c r="N20">
        <v>39953</v>
      </c>
      <c r="P20" t="s">
        <v>1623</v>
      </c>
      <c r="Q20" t="s">
        <v>1628</v>
      </c>
      <c r="R20">
        <v>2.9</v>
      </c>
    </row>
    <row r="21" spans="1:18" x14ac:dyDescent="0.35">
      <c r="A21" t="s">
        <v>37</v>
      </c>
      <c r="B21" t="s">
        <v>435</v>
      </c>
      <c r="C21" t="s">
        <v>643</v>
      </c>
      <c r="D21" t="s">
        <v>1025</v>
      </c>
      <c r="E21" t="s">
        <v>1031</v>
      </c>
      <c r="F21" t="s">
        <v>1034</v>
      </c>
      <c r="G21" t="s">
        <v>1044</v>
      </c>
      <c r="H21" t="s">
        <v>1049</v>
      </c>
      <c r="I21" t="s">
        <v>1072</v>
      </c>
      <c r="M21" t="s">
        <v>1619</v>
      </c>
      <c r="N21">
        <v>40400</v>
      </c>
      <c r="P21" t="s">
        <v>1621</v>
      </c>
      <c r="Q21" t="s">
        <v>1627</v>
      </c>
      <c r="R21">
        <v>3.3</v>
      </c>
    </row>
    <row r="22" spans="1:18" x14ac:dyDescent="0.35">
      <c r="A22" t="s">
        <v>38</v>
      </c>
      <c r="B22" t="s">
        <v>436</v>
      </c>
      <c r="C22" t="s">
        <v>644</v>
      </c>
      <c r="D22" t="s">
        <v>1027</v>
      </c>
      <c r="E22" t="s">
        <v>1028</v>
      </c>
      <c r="F22" t="s">
        <v>1040</v>
      </c>
      <c r="G22" t="s">
        <v>1043</v>
      </c>
      <c r="H22" t="s">
        <v>1050</v>
      </c>
      <c r="I22" t="s">
        <v>1073</v>
      </c>
      <c r="M22" t="s">
        <v>1616</v>
      </c>
      <c r="N22">
        <v>36345</v>
      </c>
      <c r="P22" t="s">
        <v>1621</v>
      </c>
      <c r="Q22" t="s">
        <v>1628</v>
      </c>
      <c r="R22">
        <v>2.4</v>
      </c>
    </row>
    <row r="23" spans="1:18" x14ac:dyDescent="0.35">
      <c r="A23" t="s">
        <v>39</v>
      </c>
      <c r="B23" t="s">
        <v>437</v>
      </c>
      <c r="C23" t="s">
        <v>645</v>
      </c>
      <c r="D23" t="s">
        <v>1024</v>
      </c>
      <c r="E23" t="s">
        <v>1032</v>
      </c>
      <c r="F23" t="s">
        <v>1038</v>
      </c>
      <c r="G23" t="s">
        <v>1045</v>
      </c>
      <c r="H23" t="s">
        <v>1046</v>
      </c>
      <c r="I23" t="s">
        <v>1074</v>
      </c>
      <c r="M23" t="s">
        <v>1619</v>
      </c>
      <c r="N23">
        <v>46206</v>
      </c>
      <c r="P23" t="s">
        <v>1624</v>
      </c>
      <c r="Q23" t="s">
        <v>1628</v>
      </c>
    </row>
    <row r="24" spans="1:18" x14ac:dyDescent="0.35">
      <c r="A24" t="s">
        <v>40</v>
      </c>
      <c r="B24" t="s">
        <v>438</v>
      </c>
      <c r="C24" t="s">
        <v>646</v>
      </c>
      <c r="D24" t="s">
        <v>1022</v>
      </c>
      <c r="E24" t="s">
        <v>1030</v>
      </c>
      <c r="F24" t="s">
        <v>1036</v>
      </c>
      <c r="G24" t="s">
        <v>1043</v>
      </c>
      <c r="H24" t="s">
        <v>1050</v>
      </c>
      <c r="I24" t="s">
        <v>1075</v>
      </c>
      <c r="M24" t="s">
        <v>1616</v>
      </c>
      <c r="N24">
        <v>31353</v>
      </c>
      <c r="P24" t="s">
        <v>1625</v>
      </c>
      <c r="Q24" t="s">
        <v>1628</v>
      </c>
      <c r="R24">
        <v>3.2</v>
      </c>
    </row>
    <row r="25" spans="1:18" x14ac:dyDescent="0.35">
      <c r="A25" t="s">
        <v>41</v>
      </c>
      <c r="B25" t="s">
        <v>439</v>
      </c>
      <c r="C25" t="s">
        <v>647</v>
      </c>
      <c r="D25" t="s">
        <v>1025</v>
      </c>
      <c r="E25" t="s">
        <v>1030</v>
      </c>
      <c r="F25" t="s">
        <v>1037</v>
      </c>
      <c r="G25" t="s">
        <v>1044</v>
      </c>
      <c r="H25" t="s">
        <v>1050</v>
      </c>
      <c r="I25" t="s">
        <v>1076</v>
      </c>
      <c r="J25" t="s">
        <v>1400</v>
      </c>
      <c r="K25" t="s">
        <v>1523</v>
      </c>
      <c r="M25" t="s">
        <v>1618</v>
      </c>
      <c r="N25">
        <v>40729</v>
      </c>
      <c r="O25">
        <v>44715</v>
      </c>
      <c r="P25" t="s">
        <v>1625</v>
      </c>
      <c r="Q25" t="s">
        <v>1628</v>
      </c>
      <c r="R25">
        <v>3.3</v>
      </c>
    </row>
    <row r="26" spans="1:18" x14ac:dyDescent="0.35">
      <c r="A26" t="s">
        <v>42</v>
      </c>
      <c r="B26" t="s">
        <v>440</v>
      </c>
      <c r="C26" t="s">
        <v>648</v>
      </c>
      <c r="D26" t="s">
        <v>1025</v>
      </c>
      <c r="E26" t="s">
        <v>1030</v>
      </c>
      <c r="F26" t="s">
        <v>1038</v>
      </c>
      <c r="G26" t="s">
        <v>1042</v>
      </c>
      <c r="H26" t="s">
        <v>1049</v>
      </c>
      <c r="I26" t="s">
        <v>1077</v>
      </c>
      <c r="M26" t="s">
        <v>1617</v>
      </c>
      <c r="N26">
        <v>40287</v>
      </c>
      <c r="P26" t="s">
        <v>1623</v>
      </c>
      <c r="Q26" t="s">
        <v>1627</v>
      </c>
      <c r="R26">
        <v>4.3</v>
      </c>
    </row>
    <row r="27" spans="1:18" x14ac:dyDescent="0.35">
      <c r="A27" t="s">
        <v>43</v>
      </c>
      <c r="B27" t="s">
        <v>441</v>
      </c>
      <c r="C27" t="s">
        <v>649</v>
      </c>
      <c r="D27" t="s">
        <v>1026</v>
      </c>
      <c r="E27" t="s">
        <v>1030</v>
      </c>
      <c r="F27" t="s">
        <v>1038</v>
      </c>
      <c r="G27" t="s">
        <v>1041</v>
      </c>
      <c r="H27" t="s">
        <v>1050</v>
      </c>
      <c r="I27" t="s">
        <v>1078</v>
      </c>
      <c r="M27" t="s">
        <v>1616</v>
      </c>
      <c r="N27">
        <v>31708</v>
      </c>
      <c r="P27" t="s">
        <v>1621</v>
      </c>
      <c r="Q27" t="s">
        <v>1626</v>
      </c>
      <c r="R27">
        <v>4.0999999999999996</v>
      </c>
    </row>
    <row r="28" spans="1:18" x14ac:dyDescent="0.35">
      <c r="A28" t="s">
        <v>44</v>
      </c>
      <c r="B28" t="s">
        <v>442</v>
      </c>
      <c r="C28" t="s">
        <v>650</v>
      </c>
      <c r="D28" t="s">
        <v>1027</v>
      </c>
      <c r="E28" t="s">
        <v>1029</v>
      </c>
      <c r="F28" t="s">
        <v>1035</v>
      </c>
      <c r="G28" t="s">
        <v>1042</v>
      </c>
      <c r="H28" t="s">
        <v>1050</v>
      </c>
      <c r="I28" t="s">
        <v>1079</v>
      </c>
      <c r="J28" t="s">
        <v>1291</v>
      </c>
      <c r="M28" t="s">
        <v>1615</v>
      </c>
      <c r="N28">
        <v>45796</v>
      </c>
      <c r="P28" t="s">
        <v>1624</v>
      </c>
      <c r="Q28" t="s">
        <v>1627</v>
      </c>
      <c r="R28">
        <v>4.5</v>
      </c>
    </row>
    <row r="29" spans="1:18" x14ac:dyDescent="0.35">
      <c r="A29" t="s">
        <v>45</v>
      </c>
      <c r="B29" t="s">
        <v>443</v>
      </c>
      <c r="C29" t="s">
        <v>651</v>
      </c>
      <c r="D29" t="s">
        <v>1024</v>
      </c>
      <c r="E29" t="s">
        <v>1032</v>
      </c>
      <c r="F29" t="s">
        <v>1039</v>
      </c>
      <c r="G29" t="s">
        <v>1044</v>
      </c>
      <c r="H29" t="s">
        <v>1049</v>
      </c>
      <c r="I29" t="s">
        <v>1080</v>
      </c>
      <c r="M29" t="s">
        <v>1616</v>
      </c>
      <c r="N29">
        <v>43911</v>
      </c>
      <c r="P29" t="s">
        <v>1625</v>
      </c>
      <c r="Q29" t="s">
        <v>1626</v>
      </c>
      <c r="R29">
        <v>3.8</v>
      </c>
    </row>
    <row r="30" spans="1:18" x14ac:dyDescent="0.35">
      <c r="A30" t="s">
        <v>46</v>
      </c>
      <c r="B30" t="s">
        <v>444</v>
      </c>
      <c r="C30" t="s">
        <v>652</v>
      </c>
      <c r="D30" t="s">
        <v>1023</v>
      </c>
      <c r="E30" t="s">
        <v>1028</v>
      </c>
      <c r="F30" t="s">
        <v>1039</v>
      </c>
      <c r="G30" t="s">
        <v>1043</v>
      </c>
      <c r="H30" t="s">
        <v>1052</v>
      </c>
      <c r="I30" t="s">
        <v>1081</v>
      </c>
      <c r="J30" t="s">
        <v>1308</v>
      </c>
      <c r="K30" t="s">
        <v>1524</v>
      </c>
      <c r="L30" t="s">
        <v>1463</v>
      </c>
      <c r="M30" t="s">
        <v>1620</v>
      </c>
      <c r="N30">
        <v>43892</v>
      </c>
      <c r="O30">
        <v>43698</v>
      </c>
      <c r="P30" t="s">
        <v>1625</v>
      </c>
      <c r="Q30" t="s">
        <v>1628</v>
      </c>
      <c r="R30">
        <v>2.7</v>
      </c>
    </row>
    <row r="31" spans="1:18" x14ac:dyDescent="0.35">
      <c r="A31" t="s">
        <v>47</v>
      </c>
      <c r="B31" t="s">
        <v>445</v>
      </c>
      <c r="C31" t="s">
        <v>653</v>
      </c>
      <c r="D31" t="s">
        <v>1024</v>
      </c>
      <c r="E31" t="s">
        <v>1028</v>
      </c>
      <c r="F31" t="s">
        <v>1037</v>
      </c>
      <c r="G31" t="s">
        <v>1041</v>
      </c>
      <c r="H31" t="s">
        <v>1048</v>
      </c>
      <c r="I31" t="s">
        <v>1082</v>
      </c>
      <c r="J31" t="s">
        <v>1401</v>
      </c>
      <c r="M31" t="s">
        <v>1615</v>
      </c>
      <c r="N31">
        <v>31353</v>
      </c>
      <c r="P31" t="s">
        <v>1624</v>
      </c>
      <c r="Q31" t="s">
        <v>1626</v>
      </c>
      <c r="R31">
        <v>2.4</v>
      </c>
    </row>
    <row r="32" spans="1:18" x14ac:dyDescent="0.35">
      <c r="A32" t="s">
        <v>48</v>
      </c>
      <c r="B32" t="s">
        <v>446</v>
      </c>
      <c r="C32" t="s">
        <v>654</v>
      </c>
      <c r="D32" t="s">
        <v>1024</v>
      </c>
      <c r="E32" t="s">
        <v>1029</v>
      </c>
      <c r="F32" t="s">
        <v>1034</v>
      </c>
      <c r="G32" t="s">
        <v>1043</v>
      </c>
      <c r="H32" t="s">
        <v>1052</v>
      </c>
      <c r="I32" t="s">
        <v>1083</v>
      </c>
      <c r="M32" t="s">
        <v>1619</v>
      </c>
      <c r="N32">
        <v>38825</v>
      </c>
      <c r="P32" t="s">
        <v>1622</v>
      </c>
      <c r="Q32" t="s">
        <v>1626</v>
      </c>
      <c r="R32">
        <v>4.8</v>
      </c>
    </row>
    <row r="33" spans="1:18" x14ac:dyDescent="0.35">
      <c r="A33" t="s">
        <v>49</v>
      </c>
      <c r="B33" t="s">
        <v>447</v>
      </c>
      <c r="C33" t="s">
        <v>655</v>
      </c>
      <c r="D33" t="s">
        <v>1022</v>
      </c>
      <c r="E33" t="s">
        <v>1030</v>
      </c>
      <c r="F33" t="s">
        <v>1035</v>
      </c>
      <c r="G33" t="s">
        <v>1041</v>
      </c>
      <c r="H33" t="s">
        <v>1047</v>
      </c>
      <c r="I33" t="s">
        <v>1084</v>
      </c>
      <c r="M33" t="s">
        <v>1617</v>
      </c>
      <c r="N33">
        <v>37727</v>
      </c>
      <c r="P33" t="s">
        <v>1622</v>
      </c>
      <c r="Q33" t="s">
        <v>1627</v>
      </c>
      <c r="R33">
        <v>3.1</v>
      </c>
    </row>
    <row r="34" spans="1:18" x14ac:dyDescent="0.35">
      <c r="A34" t="s">
        <v>50</v>
      </c>
      <c r="B34" t="s">
        <v>437</v>
      </c>
      <c r="C34" t="s">
        <v>656</v>
      </c>
      <c r="D34" t="s">
        <v>1022</v>
      </c>
      <c r="E34" t="s">
        <v>1032</v>
      </c>
      <c r="F34" t="s">
        <v>1040</v>
      </c>
      <c r="G34" t="s">
        <v>1042</v>
      </c>
      <c r="H34" t="s">
        <v>1050</v>
      </c>
      <c r="I34" t="s">
        <v>1085</v>
      </c>
      <c r="J34" t="s">
        <v>1402</v>
      </c>
      <c r="M34" t="s">
        <v>1615</v>
      </c>
      <c r="N34">
        <v>43908</v>
      </c>
      <c r="P34" t="s">
        <v>1624</v>
      </c>
      <c r="Q34" t="s">
        <v>1628</v>
      </c>
      <c r="R34">
        <v>5</v>
      </c>
    </row>
    <row r="35" spans="1:18" x14ac:dyDescent="0.35">
      <c r="A35" t="s">
        <v>51</v>
      </c>
      <c r="B35" t="s">
        <v>448</v>
      </c>
      <c r="C35" t="s">
        <v>657</v>
      </c>
      <c r="D35" t="s">
        <v>1022</v>
      </c>
      <c r="E35" t="s">
        <v>1031</v>
      </c>
      <c r="F35" t="s">
        <v>1035</v>
      </c>
      <c r="G35" t="s">
        <v>1045</v>
      </c>
      <c r="H35" t="s">
        <v>1051</v>
      </c>
      <c r="I35" t="s">
        <v>1086</v>
      </c>
      <c r="J35" t="s">
        <v>1403</v>
      </c>
      <c r="K35" t="s">
        <v>1525</v>
      </c>
      <c r="L35" t="s">
        <v>1582</v>
      </c>
      <c r="M35" t="s">
        <v>1620</v>
      </c>
      <c r="N35">
        <v>38161</v>
      </c>
      <c r="O35">
        <v>38916</v>
      </c>
      <c r="P35" t="s">
        <v>1625</v>
      </c>
      <c r="Q35" t="s">
        <v>1628</v>
      </c>
      <c r="R35">
        <v>2.5</v>
      </c>
    </row>
    <row r="36" spans="1:18" x14ac:dyDescent="0.35">
      <c r="A36" t="s">
        <v>52</v>
      </c>
      <c r="B36" t="s">
        <v>419</v>
      </c>
      <c r="C36" t="s">
        <v>658</v>
      </c>
      <c r="D36" t="s">
        <v>1026</v>
      </c>
      <c r="E36" t="s">
        <v>1028</v>
      </c>
      <c r="F36" t="s">
        <v>1034</v>
      </c>
      <c r="G36" t="s">
        <v>1045</v>
      </c>
      <c r="H36" t="s">
        <v>1049</v>
      </c>
      <c r="I36" t="s">
        <v>1087</v>
      </c>
      <c r="J36" t="s">
        <v>1115</v>
      </c>
      <c r="K36" t="s">
        <v>1526</v>
      </c>
      <c r="L36" t="s">
        <v>1583</v>
      </c>
      <c r="M36" t="s">
        <v>1620</v>
      </c>
      <c r="N36">
        <v>39128</v>
      </c>
      <c r="O36">
        <v>39038</v>
      </c>
      <c r="P36" t="s">
        <v>1624</v>
      </c>
      <c r="Q36" t="s">
        <v>1626</v>
      </c>
      <c r="R36">
        <v>3.3</v>
      </c>
    </row>
    <row r="37" spans="1:18" x14ac:dyDescent="0.35">
      <c r="A37" t="s">
        <v>53</v>
      </c>
      <c r="B37" t="s">
        <v>449</v>
      </c>
      <c r="C37" t="s">
        <v>659</v>
      </c>
      <c r="D37" t="s">
        <v>1024</v>
      </c>
      <c r="E37" t="s">
        <v>1032</v>
      </c>
      <c r="F37" t="s">
        <v>1038</v>
      </c>
      <c r="G37" t="s">
        <v>1042</v>
      </c>
      <c r="H37" t="s">
        <v>1050</v>
      </c>
      <c r="I37" t="s">
        <v>1088</v>
      </c>
      <c r="M37" t="s">
        <v>1619</v>
      </c>
      <c r="N37">
        <v>32659</v>
      </c>
      <c r="P37" t="s">
        <v>1625</v>
      </c>
      <c r="Q37" t="s">
        <v>1628</v>
      </c>
      <c r="R37">
        <v>2.2000000000000002</v>
      </c>
    </row>
    <row r="38" spans="1:18" x14ac:dyDescent="0.35">
      <c r="A38" t="s">
        <v>54</v>
      </c>
      <c r="B38" t="s">
        <v>450</v>
      </c>
      <c r="C38" t="s">
        <v>660</v>
      </c>
      <c r="D38" t="s">
        <v>1023</v>
      </c>
      <c r="E38" t="s">
        <v>1028</v>
      </c>
      <c r="F38" t="s">
        <v>1035</v>
      </c>
      <c r="G38" t="s">
        <v>1043</v>
      </c>
      <c r="H38" t="s">
        <v>1046</v>
      </c>
      <c r="I38" t="s">
        <v>1089</v>
      </c>
      <c r="J38" t="s">
        <v>1404</v>
      </c>
      <c r="M38" t="s">
        <v>1615</v>
      </c>
      <c r="N38">
        <v>34309</v>
      </c>
      <c r="P38" t="s">
        <v>1622</v>
      </c>
      <c r="Q38" t="s">
        <v>1627</v>
      </c>
      <c r="R38">
        <v>2.5</v>
      </c>
    </row>
    <row r="39" spans="1:18" x14ac:dyDescent="0.35">
      <c r="A39" t="s">
        <v>55</v>
      </c>
      <c r="B39" t="s">
        <v>451</v>
      </c>
      <c r="C39" t="s">
        <v>661</v>
      </c>
      <c r="D39" t="s">
        <v>1022</v>
      </c>
      <c r="E39" t="s">
        <v>1029</v>
      </c>
      <c r="F39" t="s">
        <v>1037</v>
      </c>
      <c r="G39" t="s">
        <v>1041</v>
      </c>
      <c r="H39" t="s">
        <v>1050</v>
      </c>
      <c r="I39" t="s">
        <v>1090</v>
      </c>
      <c r="M39" t="s">
        <v>1616</v>
      </c>
      <c r="N39">
        <v>29123</v>
      </c>
      <c r="P39" t="s">
        <v>1623</v>
      </c>
      <c r="Q39" t="s">
        <v>1626</v>
      </c>
      <c r="R39">
        <v>3.6</v>
      </c>
    </row>
    <row r="40" spans="1:18" x14ac:dyDescent="0.35">
      <c r="A40" t="s">
        <v>56</v>
      </c>
      <c r="B40" t="s">
        <v>452</v>
      </c>
      <c r="C40" t="s">
        <v>662</v>
      </c>
      <c r="D40" t="s">
        <v>1027</v>
      </c>
      <c r="E40" t="s">
        <v>1029</v>
      </c>
      <c r="F40" t="s">
        <v>1033</v>
      </c>
      <c r="G40" t="s">
        <v>1041</v>
      </c>
      <c r="H40" t="s">
        <v>1050</v>
      </c>
      <c r="I40" t="s">
        <v>1091</v>
      </c>
      <c r="M40" t="s">
        <v>1616</v>
      </c>
      <c r="N40">
        <v>44189</v>
      </c>
      <c r="P40" t="s">
        <v>1622</v>
      </c>
      <c r="Q40" t="s">
        <v>1626</v>
      </c>
      <c r="R40">
        <v>3.2</v>
      </c>
    </row>
    <row r="41" spans="1:18" x14ac:dyDescent="0.35">
      <c r="A41" t="s">
        <v>57</v>
      </c>
      <c r="B41" t="s">
        <v>453</v>
      </c>
      <c r="C41" t="s">
        <v>663</v>
      </c>
      <c r="D41" t="s">
        <v>1025</v>
      </c>
      <c r="E41" t="s">
        <v>1030</v>
      </c>
      <c r="F41" t="s">
        <v>1040</v>
      </c>
      <c r="G41" t="s">
        <v>1045</v>
      </c>
      <c r="H41" t="s">
        <v>1046</v>
      </c>
      <c r="I41" t="s">
        <v>1092</v>
      </c>
      <c r="M41" t="s">
        <v>1616</v>
      </c>
      <c r="N41">
        <v>44526</v>
      </c>
      <c r="P41" t="s">
        <v>1624</v>
      </c>
      <c r="Q41" t="s">
        <v>1628</v>
      </c>
      <c r="R41">
        <v>3.2</v>
      </c>
    </row>
    <row r="42" spans="1:18" x14ac:dyDescent="0.35">
      <c r="A42" t="s">
        <v>58</v>
      </c>
      <c r="B42" t="s">
        <v>454</v>
      </c>
      <c r="C42" t="s">
        <v>664</v>
      </c>
      <c r="D42" t="s">
        <v>1025</v>
      </c>
      <c r="E42" t="s">
        <v>1028</v>
      </c>
      <c r="F42" t="s">
        <v>1035</v>
      </c>
      <c r="G42" t="s">
        <v>1042</v>
      </c>
      <c r="H42" t="s">
        <v>1051</v>
      </c>
      <c r="I42" t="s">
        <v>1093</v>
      </c>
      <c r="J42" t="s">
        <v>1405</v>
      </c>
      <c r="M42" t="s">
        <v>1615</v>
      </c>
      <c r="N42">
        <v>50270</v>
      </c>
      <c r="P42" t="s">
        <v>1621</v>
      </c>
      <c r="Q42" t="s">
        <v>1627</v>
      </c>
      <c r="R42">
        <v>4.0999999999999996</v>
      </c>
    </row>
    <row r="43" spans="1:18" x14ac:dyDescent="0.35">
      <c r="A43" t="s">
        <v>59</v>
      </c>
      <c r="B43" t="s">
        <v>455</v>
      </c>
      <c r="C43" t="s">
        <v>665</v>
      </c>
      <c r="D43" t="s">
        <v>1025</v>
      </c>
      <c r="E43" t="s">
        <v>1032</v>
      </c>
      <c r="F43" t="s">
        <v>1034</v>
      </c>
      <c r="G43" t="s">
        <v>1042</v>
      </c>
      <c r="H43" t="s">
        <v>1051</v>
      </c>
      <c r="I43" t="s">
        <v>1094</v>
      </c>
      <c r="M43" t="s">
        <v>1616</v>
      </c>
      <c r="N43">
        <v>44498</v>
      </c>
      <c r="P43" t="s">
        <v>1625</v>
      </c>
      <c r="Q43" t="s">
        <v>1628</v>
      </c>
      <c r="R43">
        <v>3.6</v>
      </c>
    </row>
    <row r="44" spans="1:18" x14ac:dyDescent="0.35">
      <c r="A44" t="s">
        <v>60</v>
      </c>
      <c r="B44" t="s">
        <v>456</v>
      </c>
      <c r="C44" t="s">
        <v>666</v>
      </c>
      <c r="D44" t="s">
        <v>1022</v>
      </c>
      <c r="E44" t="s">
        <v>1031</v>
      </c>
      <c r="F44" t="s">
        <v>1038</v>
      </c>
      <c r="G44" t="s">
        <v>1043</v>
      </c>
      <c r="H44" t="s">
        <v>1047</v>
      </c>
      <c r="I44" t="s">
        <v>1095</v>
      </c>
      <c r="M44" t="s">
        <v>1619</v>
      </c>
      <c r="N44">
        <v>33498</v>
      </c>
      <c r="P44" t="s">
        <v>1624</v>
      </c>
      <c r="Q44" t="s">
        <v>1626</v>
      </c>
      <c r="R44">
        <v>4.5</v>
      </c>
    </row>
    <row r="45" spans="1:18" x14ac:dyDescent="0.35">
      <c r="A45" t="s">
        <v>61</v>
      </c>
      <c r="B45" t="s">
        <v>457</v>
      </c>
      <c r="C45" t="s">
        <v>667</v>
      </c>
      <c r="D45" t="s">
        <v>1023</v>
      </c>
      <c r="E45" t="s">
        <v>1028</v>
      </c>
      <c r="F45" t="s">
        <v>1036</v>
      </c>
      <c r="G45" t="s">
        <v>1045</v>
      </c>
      <c r="H45" t="s">
        <v>1048</v>
      </c>
      <c r="I45" t="s">
        <v>1096</v>
      </c>
      <c r="M45" t="s">
        <v>1616</v>
      </c>
      <c r="N45">
        <v>44058</v>
      </c>
      <c r="P45" t="s">
        <v>1624</v>
      </c>
      <c r="Q45" t="s">
        <v>1627</v>
      </c>
      <c r="R45">
        <v>3.2</v>
      </c>
    </row>
    <row r="46" spans="1:18" x14ac:dyDescent="0.35">
      <c r="A46" t="s">
        <v>62</v>
      </c>
      <c r="B46" t="s">
        <v>458</v>
      </c>
      <c r="C46" t="s">
        <v>668</v>
      </c>
      <c r="D46" t="s">
        <v>1026</v>
      </c>
      <c r="E46" t="s">
        <v>1032</v>
      </c>
      <c r="F46" t="s">
        <v>1039</v>
      </c>
      <c r="G46" t="s">
        <v>1042</v>
      </c>
      <c r="H46" t="s">
        <v>1047</v>
      </c>
      <c r="I46" t="s">
        <v>1097</v>
      </c>
      <c r="M46" t="s">
        <v>1619</v>
      </c>
      <c r="N46">
        <v>38421</v>
      </c>
      <c r="P46" t="s">
        <v>1625</v>
      </c>
      <c r="Q46" t="s">
        <v>1628</v>
      </c>
      <c r="R46">
        <v>2.8</v>
      </c>
    </row>
    <row r="47" spans="1:18" x14ac:dyDescent="0.35">
      <c r="A47" t="s">
        <v>63</v>
      </c>
      <c r="B47" t="s">
        <v>459</v>
      </c>
      <c r="C47" t="s">
        <v>669</v>
      </c>
      <c r="D47" t="s">
        <v>1025</v>
      </c>
      <c r="E47" t="s">
        <v>1030</v>
      </c>
      <c r="F47" t="s">
        <v>1035</v>
      </c>
      <c r="G47" t="s">
        <v>1044</v>
      </c>
      <c r="H47" t="s">
        <v>1046</v>
      </c>
      <c r="I47" t="s">
        <v>1098</v>
      </c>
      <c r="M47" t="s">
        <v>1617</v>
      </c>
      <c r="N47">
        <v>29475</v>
      </c>
      <c r="P47" t="s">
        <v>1622</v>
      </c>
      <c r="Q47" t="s">
        <v>1627</v>
      </c>
      <c r="R47">
        <v>3.4</v>
      </c>
    </row>
    <row r="48" spans="1:18" x14ac:dyDescent="0.35">
      <c r="A48" t="s">
        <v>64</v>
      </c>
      <c r="B48" t="s">
        <v>460</v>
      </c>
      <c r="C48" t="s">
        <v>670</v>
      </c>
      <c r="D48" t="s">
        <v>1023</v>
      </c>
      <c r="E48" t="s">
        <v>1032</v>
      </c>
      <c r="F48" t="s">
        <v>1033</v>
      </c>
      <c r="G48" t="s">
        <v>1041</v>
      </c>
      <c r="H48" t="s">
        <v>1050</v>
      </c>
      <c r="I48" t="s">
        <v>1099</v>
      </c>
      <c r="M48" t="s">
        <v>1616</v>
      </c>
      <c r="N48">
        <v>43698</v>
      </c>
      <c r="P48" t="s">
        <v>1624</v>
      </c>
      <c r="Q48" t="s">
        <v>1627</v>
      </c>
      <c r="R48">
        <v>3.5</v>
      </c>
    </row>
    <row r="49" spans="1:18" x14ac:dyDescent="0.35">
      <c r="A49" t="s">
        <v>65</v>
      </c>
      <c r="B49" t="s">
        <v>461</v>
      </c>
      <c r="C49" t="s">
        <v>671</v>
      </c>
      <c r="D49" t="s">
        <v>1026</v>
      </c>
      <c r="E49" t="s">
        <v>1031</v>
      </c>
      <c r="F49" t="s">
        <v>1037</v>
      </c>
      <c r="G49" t="s">
        <v>1042</v>
      </c>
      <c r="H49" t="s">
        <v>1046</v>
      </c>
      <c r="I49" t="s">
        <v>1100</v>
      </c>
      <c r="M49" t="s">
        <v>1619</v>
      </c>
      <c r="N49">
        <v>32416</v>
      </c>
      <c r="P49" t="s">
        <v>1621</v>
      </c>
      <c r="Q49" t="s">
        <v>1627</v>
      </c>
      <c r="R49">
        <v>3.8</v>
      </c>
    </row>
    <row r="50" spans="1:18" x14ac:dyDescent="0.35">
      <c r="A50" t="s">
        <v>66</v>
      </c>
      <c r="B50" t="s">
        <v>462</v>
      </c>
      <c r="C50" t="s">
        <v>672</v>
      </c>
      <c r="D50" t="s">
        <v>1024</v>
      </c>
      <c r="E50" t="s">
        <v>1032</v>
      </c>
      <c r="F50" t="s">
        <v>1037</v>
      </c>
      <c r="G50" t="s">
        <v>1041</v>
      </c>
      <c r="H50" t="s">
        <v>1046</v>
      </c>
      <c r="I50" t="s">
        <v>1101</v>
      </c>
      <c r="J50" t="s">
        <v>1406</v>
      </c>
      <c r="K50" t="s">
        <v>1527</v>
      </c>
      <c r="L50" t="s">
        <v>1584</v>
      </c>
      <c r="M50" t="s">
        <v>1620</v>
      </c>
      <c r="N50">
        <v>42769</v>
      </c>
      <c r="O50">
        <v>44001</v>
      </c>
      <c r="P50" t="s">
        <v>1621</v>
      </c>
      <c r="Q50" t="s">
        <v>1627</v>
      </c>
      <c r="R50">
        <v>2.4</v>
      </c>
    </row>
    <row r="51" spans="1:18" x14ac:dyDescent="0.35">
      <c r="A51" t="s">
        <v>67</v>
      </c>
      <c r="B51" t="s">
        <v>463</v>
      </c>
      <c r="C51" t="s">
        <v>673</v>
      </c>
      <c r="D51" t="s">
        <v>1023</v>
      </c>
      <c r="E51" t="s">
        <v>1029</v>
      </c>
      <c r="F51" t="s">
        <v>1038</v>
      </c>
      <c r="G51" t="s">
        <v>1043</v>
      </c>
      <c r="H51" t="s">
        <v>1049</v>
      </c>
      <c r="I51" t="s">
        <v>1102</v>
      </c>
      <c r="J51" t="s">
        <v>1407</v>
      </c>
      <c r="K51" t="s">
        <v>1528</v>
      </c>
      <c r="M51" t="s">
        <v>1618</v>
      </c>
      <c r="N51">
        <v>32582</v>
      </c>
      <c r="O51">
        <v>30886</v>
      </c>
      <c r="P51" t="s">
        <v>1622</v>
      </c>
      <c r="Q51" t="s">
        <v>1628</v>
      </c>
      <c r="R51">
        <v>4.7</v>
      </c>
    </row>
    <row r="52" spans="1:18" x14ac:dyDescent="0.35">
      <c r="A52" t="s">
        <v>68</v>
      </c>
      <c r="B52" t="s">
        <v>460</v>
      </c>
      <c r="C52" t="s">
        <v>674</v>
      </c>
      <c r="D52" t="s">
        <v>1023</v>
      </c>
      <c r="E52" t="s">
        <v>1028</v>
      </c>
      <c r="F52" t="s">
        <v>1036</v>
      </c>
      <c r="G52" t="s">
        <v>1044</v>
      </c>
      <c r="H52" t="s">
        <v>1048</v>
      </c>
      <c r="I52" t="s">
        <v>1103</v>
      </c>
      <c r="M52" t="s">
        <v>1616</v>
      </c>
      <c r="N52">
        <v>48670</v>
      </c>
      <c r="P52" t="s">
        <v>1622</v>
      </c>
      <c r="Q52" t="s">
        <v>1627</v>
      </c>
    </row>
    <row r="53" spans="1:18" x14ac:dyDescent="0.35">
      <c r="A53" t="s">
        <v>69</v>
      </c>
      <c r="B53" t="s">
        <v>464</v>
      </c>
      <c r="C53" t="s">
        <v>675</v>
      </c>
      <c r="D53" t="s">
        <v>1027</v>
      </c>
      <c r="E53" t="s">
        <v>1030</v>
      </c>
      <c r="F53" t="s">
        <v>1036</v>
      </c>
      <c r="G53" t="s">
        <v>1042</v>
      </c>
      <c r="H53" t="s">
        <v>1051</v>
      </c>
      <c r="I53" t="s">
        <v>1104</v>
      </c>
      <c r="M53" t="s">
        <v>1616</v>
      </c>
      <c r="N53">
        <v>42256</v>
      </c>
      <c r="P53" t="s">
        <v>1625</v>
      </c>
      <c r="Q53" t="s">
        <v>1626</v>
      </c>
      <c r="R53">
        <v>4.3</v>
      </c>
    </row>
    <row r="54" spans="1:18" x14ac:dyDescent="0.35">
      <c r="A54" t="s">
        <v>70</v>
      </c>
      <c r="B54" t="s">
        <v>465</v>
      </c>
      <c r="C54" t="s">
        <v>676</v>
      </c>
      <c r="D54" t="s">
        <v>1023</v>
      </c>
      <c r="E54" t="s">
        <v>1030</v>
      </c>
      <c r="F54" t="s">
        <v>1037</v>
      </c>
      <c r="G54" t="s">
        <v>1045</v>
      </c>
      <c r="H54" t="s">
        <v>1047</v>
      </c>
      <c r="I54" t="s">
        <v>1105</v>
      </c>
      <c r="M54" t="s">
        <v>1616</v>
      </c>
      <c r="N54">
        <v>42381</v>
      </c>
      <c r="P54" t="s">
        <v>1625</v>
      </c>
      <c r="Q54" t="s">
        <v>1627</v>
      </c>
      <c r="R54">
        <v>4</v>
      </c>
    </row>
    <row r="55" spans="1:18" x14ac:dyDescent="0.35">
      <c r="A55" t="s">
        <v>71</v>
      </c>
      <c r="B55" t="s">
        <v>466</v>
      </c>
      <c r="C55" t="s">
        <v>677</v>
      </c>
      <c r="D55" t="s">
        <v>1025</v>
      </c>
      <c r="E55" t="s">
        <v>1028</v>
      </c>
      <c r="F55" t="s">
        <v>1040</v>
      </c>
      <c r="G55" t="s">
        <v>1045</v>
      </c>
      <c r="H55" t="s">
        <v>1047</v>
      </c>
      <c r="I55" t="s">
        <v>1106</v>
      </c>
      <c r="J55" t="s">
        <v>1408</v>
      </c>
      <c r="M55" t="s">
        <v>1615</v>
      </c>
      <c r="N55">
        <v>32945</v>
      </c>
      <c r="P55" t="s">
        <v>1625</v>
      </c>
      <c r="Q55" t="s">
        <v>1628</v>
      </c>
    </row>
    <row r="56" spans="1:18" x14ac:dyDescent="0.35">
      <c r="A56" t="s">
        <v>72</v>
      </c>
      <c r="B56" t="s">
        <v>467</v>
      </c>
      <c r="C56" t="s">
        <v>678</v>
      </c>
      <c r="D56" t="s">
        <v>1025</v>
      </c>
      <c r="E56" t="s">
        <v>1028</v>
      </c>
      <c r="F56" t="s">
        <v>1035</v>
      </c>
      <c r="G56" t="s">
        <v>1042</v>
      </c>
      <c r="H56" t="s">
        <v>1047</v>
      </c>
      <c r="I56" t="s">
        <v>1107</v>
      </c>
      <c r="M56" t="s">
        <v>1619</v>
      </c>
      <c r="N56">
        <v>50972</v>
      </c>
      <c r="P56" t="s">
        <v>1621</v>
      </c>
      <c r="Q56" t="s">
        <v>1628</v>
      </c>
      <c r="R56">
        <v>3.4</v>
      </c>
    </row>
    <row r="57" spans="1:18" x14ac:dyDescent="0.35">
      <c r="A57" t="s">
        <v>73</v>
      </c>
      <c r="B57" t="s">
        <v>468</v>
      </c>
      <c r="C57" t="s">
        <v>679</v>
      </c>
      <c r="D57" t="s">
        <v>1027</v>
      </c>
      <c r="E57" t="s">
        <v>1030</v>
      </c>
      <c r="F57" t="s">
        <v>1039</v>
      </c>
      <c r="G57" t="s">
        <v>1044</v>
      </c>
      <c r="H57" t="s">
        <v>1047</v>
      </c>
      <c r="I57" t="s">
        <v>1108</v>
      </c>
      <c r="M57" t="s">
        <v>1619</v>
      </c>
      <c r="N57">
        <v>36413</v>
      </c>
      <c r="P57" t="s">
        <v>1625</v>
      </c>
      <c r="Q57" t="s">
        <v>1626</v>
      </c>
      <c r="R57">
        <v>4.4000000000000004</v>
      </c>
    </row>
    <row r="58" spans="1:18" x14ac:dyDescent="0.35">
      <c r="A58" t="s">
        <v>74</v>
      </c>
      <c r="B58" t="s">
        <v>469</v>
      </c>
      <c r="C58" t="s">
        <v>680</v>
      </c>
      <c r="D58" t="s">
        <v>1024</v>
      </c>
      <c r="E58" t="s">
        <v>1029</v>
      </c>
      <c r="F58" t="s">
        <v>1033</v>
      </c>
      <c r="G58" t="s">
        <v>1043</v>
      </c>
      <c r="H58" t="s">
        <v>1051</v>
      </c>
      <c r="I58" t="s">
        <v>1109</v>
      </c>
      <c r="J58" t="s">
        <v>1409</v>
      </c>
      <c r="K58" t="s">
        <v>1529</v>
      </c>
      <c r="M58" t="s">
        <v>1618</v>
      </c>
      <c r="N58">
        <v>50813</v>
      </c>
      <c r="O58">
        <v>54082</v>
      </c>
      <c r="P58" t="s">
        <v>1622</v>
      </c>
      <c r="Q58" t="s">
        <v>1626</v>
      </c>
      <c r="R58">
        <v>4</v>
      </c>
    </row>
    <row r="59" spans="1:18" x14ac:dyDescent="0.35">
      <c r="A59" t="s">
        <v>75</v>
      </c>
      <c r="B59" t="s">
        <v>445</v>
      </c>
      <c r="C59" t="s">
        <v>681</v>
      </c>
      <c r="D59" t="s">
        <v>1022</v>
      </c>
      <c r="E59" t="s">
        <v>1029</v>
      </c>
      <c r="F59" t="s">
        <v>1035</v>
      </c>
      <c r="G59" t="s">
        <v>1043</v>
      </c>
      <c r="H59" t="s">
        <v>1046</v>
      </c>
      <c r="I59" t="s">
        <v>1110</v>
      </c>
      <c r="M59" t="s">
        <v>1619</v>
      </c>
      <c r="N59">
        <v>29541</v>
      </c>
      <c r="P59" t="s">
        <v>1625</v>
      </c>
      <c r="Q59" t="s">
        <v>1627</v>
      </c>
      <c r="R59">
        <v>2.1</v>
      </c>
    </row>
    <row r="60" spans="1:18" x14ac:dyDescent="0.35">
      <c r="A60" t="s">
        <v>76</v>
      </c>
      <c r="B60" t="s">
        <v>468</v>
      </c>
      <c r="C60" t="s">
        <v>682</v>
      </c>
      <c r="D60" t="s">
        <v>1027</v>
      </c>
      <c r="E60" t="s">
        <v>1030</v>
      </c>
      <c r="F60" t="s">
        <v>1035</v>
      </c>
      <c r="G60" t="s">
        <v>1044</v>
      </c>
      <c r="H60" t="s">
        <v>1046</v>
      </c>
      <c r="I60" t="s">
        <v>1111</v>
      </c>
      <c r="J60" t="s">
        <v>1274</v>
      </c>
      <c r="K60" t="s">
        <v>1530</v>
      </c>
      <c r="L60" t="s">
        <v>1585</v>
      </c>
      <c r="M60" t="s">
        <v>1620</v>
      </c>
      <c r="N60">
        <v>43147</v>
      </c>
      <c r="O60">
        <v>42406</v>
      </c>
      <c r="P60" t="s">
        <v>1622</v>
      </c>
      <c r="Q60" t="s">
        <v>1627</v>
      </c>
      <c r="R60">
        <v>3.1</v>
      </c>
    </row>
    <row r="61" spans="1:18" x14ac:dyDescent="0.35">
      <c r="A61" t="s">
        <v>77</v>
      </c>
      <c r="B61" t="s">
        <v>470</v>
      </c>
      <c r="C61" t="s">
        <v>683</v>
      </c>
      <c r="D61" t="s">
        <v>1026</v>
      </c>
      <c r="E61" t="s">
        <v>1032</v>
      </c>
      <c r="F61" t="s">
        <v>1036</v>
      </c>
      <c r="G61" t="s">
        <v>1045</v>
      </c>
      <c r="H61" t="s">
        <v>1048</v>
      </c>
      <c r="I61" t="s">
        <v>1112</v>
      </c>
      <c r="M61" t="s">
        <v>1619</v>
      </c>
      <c r="N61">
        <v>37498</v>
      </c>
      <c r="P61" t="s">
        <v>1624</v>
      </c>
      <c r="Q61" t="s">
        <v>1627</v>
      </c>
      <c r="R61">
        <v>2.4</v>
      </c>
    </row>
    <row r="62" spans="1:18" x14ac:dyDescent="0.35">
      <c r="A62" t="s">
        <v>78</v>
      </c>
      <c r="B62" t="s">
        <v>441</v>
      </c>
      <c r="C62" t="s">
        <v>684</v>
      </c>
      <c r="D62" t="s">
        <v>1023</v>
      </c>
      <c r="E62" t="s">
        <v>1028</v>
      </c>
      <c r="F62" t="s">
        <v>1033</v>
      </c>
      <c r="G62" t="s">
        <v>1043</v>
      </c>
      <c r="H62" t="s">
        <v>1046</v>
      </c>
      <c r="I62" t="s">
        <v>1113</v>
      </c>
      <c r="M62" t="s">
        <v>1617</v>
      </c>
      <c r="N62">
        <v>48404</v>
      </c>
      <c r="P62" t="s">
        <v>1625</v>
      </c>
      <c r="Q62" t="s">
        <v>1626</v>
      </c>
      <c r="R62">
        <v>2.4</v>
      </c>
    </row>
    <row r="63" spans="1:18" x14ac:dyDescent="0.35">
      <c r="A63" t="s">
        <v>79</v>
      </c>
      <c r="B63" t="s">
        <v>471</v>
      </c>
      <c r="C63" t="s">
        <v>685</v>
      </c>
      <c r="D63" t="s">
        <v>1027</v>
      </c>
      <c r="E63" t="s">
        <v>1030</v>
      </c>
      <c r="F63" t="s">
        <v>1033</v>
      </c>
      <c r="G63" t="s">
        <v>1042</v>
      </c>
      <c r="H63" t="s">
        <v>1047</v>
      </c>
      <c r="I63" t="s">
        <v>1114</v>
      </c>
      <c r="M63" t="s">
        <v>1616</v>
      </c>
      <c r="N63">
        <v>32933</v>
      </c>
      <c r="P63" t="s">
        <v>1621</v>
      </c>
      <c r="Q63" t="s">
        <v>1626</v>
      </c>
      <c r="R63">
        <v>3</v>
      </c>
    </row>
    <row r="64" spans="1:18" x14ac:dyDescent="0.35">
      <c r="A64" t="s">
        <v>80</v>
      </c>
      <c r="B64" t="s">
        <v>472</v>
      </c>
      <c r="C64" t="s">
        <v>686</v>
      </c>
      <c r="D64" t="s">
        <v>1027</v>
      </c>
      <c r="E64" t="s">
        <v>1028</v>
      </c>
      <c r="F64" t="s">
        <v>1039</v>
      </c>
      <c r="G64" t="s">
        <v>1042</v>
      </c>
      <c r="H64" t="s">
        <v>1049</v>
      </c>
      <c r="I64" t="s">
        <v>1115</v>
      </c>
      <c r="M64" t="s">
        <v>1616</v>
      </c>
      <c r="N64">
        <v>38199</v>
      </c>
      <c r="P64" t="s">
        <v>1623</v>
      </c>
      <c r="Q64" t="s">
        <v>1627</v>
      </c>
      <c r="R64">
        <v>2.6</v>
      </c>
    </row>
    <row r="65" spans="1:18" x14ac:dyDescent="0.35">
      <c r="A65" t="s">
        <v>81</v>
      </c>
      <c r="B65" t="s">
        <v>473</v>
      </c>
      <c r="C65" t="s">
        <v>687</v>
      </c>
      <c r="D65" t="s">
        <v>1023</v>
      </c>
      <c r="E65" t="s">
        <v>1031</v>
      </c>
      <c r="F65" t="s">
        <v>1033</v>
      </c>
      <c r="G65" t="s">
        <v>1044</v>
      </c>
      <c r="H65" t="s">
        <v>1048</v>
      </c>
      <c r="I65" t="s">
        <v>1116</v>
      </c>
      <c r="M65" t="s">
        <v>1619</v>
      </c>
      <c r="N65">
        <v>41832</v>
      </c>
      <c r="P65" t="s">
        <v>1625</v>
      </c>
      <c r="Q65" t="s">
        <v>1626</v>
      </c>
      <c r="R65">
        <v>4.4000000000000004</v>
      </c>
    </row>
    <row r="66" spans="1:18" x14ac:dyDescent="0.35">
      <c r="A66" t="s">
        <v>82</v>
      </c>
      <c r="B66" t="s">
        <v>474</v>
      </c>
      <c r="C66" t="s">
        <v>688</v>
      </c>
      <c r="D66" t="s">
        <v>1025</v>
      </c>
      <c r="E66" t="s">
        <v>1029</v>
      </c>
      <c r="F66" t="s">
        <v>1039</v>
      </c>
      <c r="G66" t="s">
        <v>1043</v>
      </c>
      <c r="H66" t="s">
        <v>1046</v>
      </c>
      <c r="I66" t="s">
        <v>1117</v>
      </c>
      <c r="J66" t="s">
        <v>1067</v>
      </c>
      <c r="K66" t="s">
        <v>1531</v>
      </c>
      <c r="L66" t="s">
        <v>1586</v>
      </c>
      <c r="M66" t="s">
        <v>1620</v>
      </c>
      <c r="N66">
        <v>38809</v>
      </c>
      <c r="O66">
        <v>37212</v>
      </c>
      <c r="P66" t="s">
        <v>1625</v>
      </c>
      <c r="Q66" t="s">
        <v>1627</v>
      </c>
      <c r="R66">
        <v>4.2</v>
      </c>
    </row>
    <row r="67" spans="1:18" x14ac:dyDescent="0.35">
      <c r="A67" t="s">
        <v>83</v>
      </c>
      <c r="B67" t="s">
        <v>475</v>
      </c>
      <c r="C67" t="s">
        <v>689</v>
      </c>
      <c r="D67" t="s">
        <v>1025</v>
      </c>
      <c r="E67" t="s">
        <v>1029</v>
      </c>
      <c r="F67" t="s">
        <v>1033</v>
      </c>
      <c r="G67" t="s">
        <v>1045</v>
      </c>
      <c r="H67" t="s">
        <v>1051</v>
      </c>
      <c r="I67" t="s">
        <v>1118</v>
      </c>
      <c r="M67" t="s">
        <v>1619</v>
      </c>
      <c r="N67">
        <v>49724</v>
      </c>
      <c r="P67" t="s">
        <v>1625</v>
      </c>
      <c r="Q67" t="s">
        <v>1627</v>
      </c>
      <c r="R67">
        <v>3.4</v>
      </c>
    </row>
    <row r="68" spans="1:18" x14ac:dyDescent="0.35">
      <c r="A68" t="s">
        <v>84</v>
      </c>
      <c r="B68" t="s">
        <v>476</v>
      </c>
      <c r="C68" t="s">
        <v>690</v>
      </c>
      <c r="D68" t="s">
        <v>1023</v>
      </c>
      <c r="E68" t="s">
        <v>1028</v>
      </c>
      <c r="F68" t="s">
        <v>1034</v>
      </c>
      <c r="G68" t="s">
        <v>1041</v>
      </c>
      <c r="H68" t="s">
        <v>1052</v>
      </c>
      <c r="I68" t="s">
        <v>1119</v>
      </c>
      <c r="M68" t="s">
        <v>1617</v>
      </c>
      <c r="N68">
        <v>45671</v>
      </c>
      <c r="P68" t="s">
        <v>1625</v>
      </c>
      <c r="Q68" t="s">
        <v>1626</v>
      </c>
      <c r="R68">
        <v>2.4</v>
      </c>
    </row>
    <row r="69" spans="1:18" x14ac:dyDescent="0.35">
      <c r="A69" t="s">
        <v>85</v>
      </c>
      <c r="B69" t="s">
        <v>477</v>
      </c>
      <c r="C69" t="s">
        <v>691</v>
      </c>
      <c r="D69" t="s">
        <v>1023</v>
      </c>
      <c r="E69" t="s">
        <v>1030</v>
      </c>
      <c r="F69" t="s">
        <v>1036</v>
      </c>
      <c r="G69" t="s">
        <v>1043</v>
      </c>
      <c r="H69" t="s">
        <v>1050</v>
      </c>
      <c r="I69" t="s">
        <v>1120</v>
      </c>
      <c r="M69" t="s">
        <v>1616</v>
      </c>
      <c r="N69">
        <v>48447</v>
      </c>
      <c r="P69" t="s">
        <v>1623</v>
      </c>
      <c r="Q69" t="s">
        <v>1627</v>
      </c>
      <c r="R69">
        <v>2.1</v>
      </c>
    </row>
    <row r="70" spans="1:18" x14ac:dyDescent="0.35">
      <c r="A70" t="s">
        <v>86</v>
      </c>
      <c r="B70" t="s">
        <v>478</v>
      </c>
      <c r="C70" t="s">
        <v>692</v>
      </c>
      <c r="D70" t="s">
        <v>1023</v>
      </c>
      <c r="E70" t="s">
        <v>1031</v>
      </c>
      <c r="F70" t="s">
        <v>1034</v>
      </c>
      <c r="G70" t="s">
        <v>1042</v>
      </c>
      <c r="H70" t="s">
        <v>1046</v>
      </c>
      <c r="I70" t="s">
        <v>1121</v>
      </c>
      <c r="M70" t="s">
        <v>1619</v>
      </c>
      <c r="N70">
        <v>42167</v>
      </c>
      <c r="P70" t="s">
        <v>1621</v>
      </c>
      <c r="Q70" t="s">
        <v>1626</v>
      </c>
      <c r="R70">
        <v>3.2</v>
      </c>
    </row>
    <row r="71" spans="1:18" x14ac:dyDescent="0.35">
      <c r="A71" t="s">
        <v>87</v>
      </c>
      <c r="B71" t="s">
        <v>470</v>
      </c>
      <c r="C71" t="s">
        <v>693</v>
      </c>
      <c r="D71" t="s">
        <v>1022</v>
      </c>
      <c r="E71" t="s">
        <v>1032</v>
      </c>
      <c r="F71" t="s">
        <v>1035</v>
      </c>
      <c r="G71" t="s">
        <v>1043</v>
      </c>
      <c r="H71" t="s">
        <v>1047</v>
      </c>
      <c r="I71" t="s">
        <v>1122</v>
      </c>
      <c r="J71" t="s">
        <v>1410</v>
      </c>
      <c r="M71" t="s">
        <v>1615</v>
      </c>
      <c r="N71">
        <v>46045</v>
      </c>
      <c r="P71" t="s">
        <v>1625</v>
      </c>
      <c r="Q71" t="s">
        <v>1628</v>
      </c>
      <c r="R71">
        <v>2.9</v>
      </c>
    </row>
    <row r="72" spans="1:18" x14ac:dyDescent="0.35">
      <c r="A72" t="s">
        <v>88</v>
      </c>
      <c r="B72" t="s">
        <v>479</v>
      </c>
      <c r="C72" t="s">
        <v>673</v>
      </c>
      <c r="D72" t="s">
        <v>1027</v>
      </c>
      <c r="E72" t="s">
        <v>1030</v>
      </c>
      <c r="F72" t="s">
        <v>1037</v>
      </c>
      <c r="G72" t="s">
        <v>1044</v>
      </c>
      <c r="H72" t="s">
        <v>1050</v>
      </c>
      <c r="I72" t="s">
        <v>1123</v>
      </c>
      <c r="M72" t="s">
        <v>1619</v>
      </c>
      <c r="N72">
        <v>34310</v>
      </c>
      <c r="P72" t="s">
        <v>1625</v>
      </c>
      <c r="Q72" t="s">
        <v>1626</v>
      </c>
      <c r="R72">
        <v>4.3</v>
      </c>
    </row>
    <row r="73" spans="1:18" x14ac:dyDescent="0.35">
      <c r="A73" t="s">
        <v>89</v>
      </c>
      <c r="B73" t="s">
        <v>480</v>
      </c>
      <c r="C73" t="s">
        <v>694</v>
      </c>
      <c r="D73" t="s">
        <v>1024</v>
      </c>
      <c r="E73" t="s">
        <v>1032</v>
      </c>
      <c r="F73" t="s">
        <v>1040</v>
      </c>
      <c r="G73" t="s">
        <v>1044</v>
      </c>
      <c r="H73" t="s">
        <v>1049</v>
      </c>
      <c r="I73" t="s">
        <v>1124</v>
      </c>
      <c r="J73" t="s">
        <v>1342</v>
      </c>
      <c r="K73" t="s">
        <v>1532</v>
      </c>
      <c r="M73" t="s">
        <v>1618</v>
      </c>
      <c r="N73">
        <v>46030</v>
      </c>
      <c r="O73">
        <v>47097</v>
      </c>
      <c r="P73" t="s">
        <v>1623</v>
      </c>
      <c r="Q73" t="s">
        <v>1627</v>
      </c>
      <c r="R73">
        <v>3.9</v>
      </c>
    </row>
    <row r="74" spans="1:18" x14ac:dyDescent="0.35">
      <c r="A74" t="s">
        <v>90</v>
      </c>
      <c r="B74" t="s">
        <v>481</v>
      </c>
      <c r="C74" t="s">
        <v>695</v>
      </c>
      <c r="D74" t="s">
        <v>1027</v>
      </c>
      <c r="E74" t="s">
        <v>1031</v>
      </c>
      <c r="F74" t="s">
        <v>1036</v>
      </c>
      <c r="G74" t="s">
        <v>1041</v>
      </c>
      <c r="H74" t="s">
        <v>1051</v>
      </c>
      <c r="I74" t="s">
        <v>1125</v>
      </c>
      <c r="M74" t="s">
        <v>1619</v>
      </c>
      <c r="N74">
        <v>41765</v>
      </c>
      <c r="P74" t="s">
        <v>1621</v>
      </c>
      <c r="Q74" t="s">
        <v>1627</v>
      </c>
      <c r="R74">
        <v>3.9</v>
      </c>
    </row>
    <row r="75" spans="1:18" x14ac:dyDescent="0.35">
      <c r="A75" t="s">
        <v>91</v>
      </c>
      <c r="B75" t="s">
        <v>482</v>
      </c>
      <c r="C75" t="s">
        <v>696</v>
      </c>
      <c r="D75" t="s">
        <v>1027</v>
      </c>
      <c r="E75" t="s">
        <v>1028</v>
      </c>
      <c r="F75" t="s">
        <v>1039</v>
      </c>
      <c r="G75" t="s">
        <v>1042</v>
      </c>
      <c r="H75" t="s">
        <v>1046</v>
      </c>
      <c r="I75" t="s">
        <v>1126</v>
      </c>
      <c r="M75" t="s">
        <v>1616</v>
      </c>
      <c r="N75">
        <v>51338</v>
      </c>
      <c r="P75" t="s">
        <v>1622</v>
      </c>
      <c r="Q75" t="s">
        <v>1628</v>
      </c>
      <c r="R75">
        <v>3.4</v>
      </c>
    </row>
    <row r="76" spans="1:18" x14ac:dyDescent="0.35">
      <c r="A76" t="s">
        <v>92</v>
      </c>
      <c r="B76" t="s">
        <v>483</v>
      </c>
      <c r="C76" t="s">
        <v>697</v>
      </c>
      <c r="D76" t="s">
        <v>1027</v>
      </c>
      <c r="E76" t="s">
        <v>1030</v>
      </c>
      <c r="F76" t="s">
        <v>1033</v>
      </c>
      <c r="G76" t="s">
        <v>1045</v>
      </c>
      <c r="H76" t="s">
        <v>1052</v>
      </c>
      <c r="I76" t="s">
        <v>1089</v>
      </c>
      <c r="M76" t="s">
        <v>1616</v>
      </c>
      <c r="N76">
        <v>44062</v>
      </c>
      <c r="P76" t="s">
        <v>1625</v>
      </c>
      <c r="Q76" t="s">
        <v>1627</v>
      </c>
      <c r="R76">
        <v>3.2</v>
      </c>
    </row>
    <row r="77" spans="1:18" x14ac:dyDescent="0.35">
      <c r="A77" t="s">
        <v>93</v>
      </c>
      <c r="B77" t="s">
        <v>480</v>
      </c>
      <c r="C77" t="s">
        <v>698</v>
      </c>
      <c r="D77" t="s">
        <v>1025</v>
      </c>
      <c r="E77" t="s">
        <v>1030</v>
      </c>
      <c r="F77" t="s">
        <v>1038</v>
      </c>
      <c r="G77" t="s">
        <v>1045</v>
      </c>
      <c r="H77" t="s">
        <v>1049</v>
      </c>
      <c r="I77" t="s">
        <v>1065</v>
      </c>
      <c r="M77" t="s">
        <v>1617</v>
      </c>
      <c r="N77">
        <v>46574</v>
      </c>
      <c r="P77" t="s">
        <v>1625</v>
      </c>
      <c r="Q77" t="s">
        <v>1626</v>
      </c>
      <c r="R77">
        <v>3.3</v>
      </c>
    </row>
    <row r="78" spans="1:18" x14ac:dyDescent="0.35">
      <c r="A78" t="s">
        <v>94</v>
      </c>
      <c r="B78" t="s">
        <v>484</v>
      </c>
      <c r="C78" t="s">
        <v>699</v>
      </c>
      <c r="D78" t="s">
        <v>1024</v>
      </c>
      <c r="E78" t="s">
        <v>1032</v>
      </c>
      <c r="F78" t="s">
        <v>1034</v>
      </c>
      <c r="G78" t="s">
        <v>1042</v>
      </c>
      <c r="H78" t="s">
        <v>1052</v>
      </c>
      <c r="I78" t="s">
        <v>1127</v>
      </c>
      <c r="M78" t="s">
        <v>1619</v>
      </c>
      <c r="N78">
        <v>32625</v>
      </c>
      <c r="P78" t="s">
        <v>1623</v>
      </c>
      <c r="Q78" t="s">
        <v>1628</v>
      </c>
      <c r="R78">
        <v>2.2999999999999998</v>
      </c>
    </row>
    <row r="79" spans="1:18" x14ac:dyDescent="0.35">
      <c r="A79" t="s">
        <v>95</v>
      </c>
      <c r="B79" t="s">
        <v>480</v>
      </c>
      <c r="C79" t="s">
        <v>700</v>
      </c>
      <c r="D79" t="s">
        <v>1024</v>
      </c>
      <c r="E79" t="s">
        <v>1032</v>
      </c>
      <c r="F79" t="s">
        <v>1035</v>
      </c>
      <c r="G79" t="s">
        <v>1044</v>
      </c>
      <c r="H79" t="s">
        <v>1046</v>
      </c>
      <c r="I79" t="s">
        <v>1128</v>
      </c>
      <c r="M79" t="s">
        <v>1619</v>
      </c>
      <c r="N79">
        <v>31162</v>
      </c>
      <c r="P79" t="s">
        <v>1625</v>
      </c>
      <c r="Q79" t="s">
        <v>1627</v>
      </c>
      <c r="R79">
        <v>2.9</v>
      </c>
    </row>
    <row r="80" spans="1:18" x14ac:dyDescent="0.35">
      <c r="A80" t="s">
        <v>96</v>
      </c>
      <c r="B80" t="s">
        <v>435</v>
      </c>
      <c r="C80" t="s">
        <v>701</v>
      </c>
      <c r="D80" t="s">
        <v>1025</v>
      </c>
      <c r="E80" t="s">
        <v>1028</v>
      </c>
      <c r="F80" t="s">
        <v>1033</v>
      </c>
      <c r="G80" t="s">
        <v>1045</v>
      </c>
      <c r="H80" t="s">
        <v>1049</v>
      </c>
      <c r="I80" t="s">
        <v>1129</v>
      </c>
      <c r="M80" t="s">
        <v>1619</v>
      </c>
      <c r="N80">
        <v>45762</v>
      </c>
      <c r="P80" t="s">
        <v>1621</v>
      </c>
      <c r="Q80" t="s">
        <v>1628</v>
      </c>
      <c r="R80">
        <v>3.8</v>
      </c>
    </row>
    <row r="81" spans="1:18" x14ac:dyDescent="0.35">
      <c r="A81" t="s">
        <v>97</v>
      </c>
      <c r="B81" t="s">
        <v>485</v>
      </c>
      <c r="C81" t="s">
        <v>702</v>
      </c>
      <c r="D81" t="s">
        <v>1023</v>
      </c>
      <c r="E81" t="s">
        <v>1029</v>
      </c>
      <c r="F81" t="s">
        <v>1039</v>
      </c>
      <c r="G81" t="s">
        <v>1044</v>
      </c>
      <c r="H81" t="s">
        <v>1049</v>
      </c>
      <c r="I81" t="s">
        <v>1130</v>
      </c>
      <c r="J81" t="s">
        <v>1411</v>
      </c>
      <c r="K81" t="s">
        <v>1245</v>
      </c>
      <c r="M81" t="s">
        <v>1618</v>
      </c>
      <c r="N81">
        <v>47874</v>
      </c>
      <c r="O81">
        <v>49964</v>
      </c>
      <c r="P81" t="s">
        <v>1622</v>
      </c>
      <c r="Q81" t="s">
        <v>1628</v>
      </c>
    </row>
    <row r="82" spans="1:18" x14ac:dyDescent="0.35">
      <c r="A82" t="s">
        <v>98</v>
      </c>
      <c r="B82" t="s">
        <v>486</v>
      </c>
      <c r="C82" t="s">
        <v>703</v>
      </c>
      <c r="D82" t="s">
        <v>1023</v>
      </c>
      <c r="E82" t="s">
        <v>1031</v>
      </c>
      <c r="F82" t="s">
        <v>1034</v>
      </c>
      <c r="G82" t="s">
        <v>1044</v>
      </c>
      <c r="H82" t="s">
        <v>1049</v>
      </c>
      <c r="I82" t="s">
        <v>1131</v>
      </c>
      <c r="M82" t="s">
        <v>1619</v>
      </c>
      <c r="N82">
        <v>31908</v>
      </c>
      <c r="P82" t="s">
        <v>1624</v>
      </c>
      <c r="Q82" t="s">
        <v>1626</v>
      </c>
      <c r="R82">
        <v>3</v>
      </c>
    </row>
    <row r="83" spans="1:18" x14ac:dyDescent="0.35">
      <c r="A83" t="s">
        <v>99</v>
      </c>
      <c r="B83" t="s">
        <v>487</v>
      </c>
      <c r="C83" t="s">
        <v>704</v>
      </c>
      <c r="D83" t="s">
        <v>1023</v>
      </c>
      <c r="E83" t="s">
        <v>1030</v>
      </c>
      <c r="F83" t="s">
        <v>1033</v>
      </c>
      <c r="G83" t="s">
        <v>1043</v>
      </c>
      <c r="H83" t="s">
        <v>1048</v>
      </c>
      <c r="I83" t="s">
        <v>1132</v>
      </c>
      <c r="M83" t="s">
        <v>1619</v>
      </c>
      <c r="N83">
        <v>49458</v>
      </c>
      <c r="P83" t="s">
        <v>1625</v>
      </c>
      <c r="Q83" t="s">
        <v>1627</v>
      </c>
      <c r="R83">
        <v>4.7</v>
      </c>
    </row>
    <row r="84" spans="1:18" x14ac:dyDescent="0.35">
      <c r="A84" t="s">
        <v>100</v>
      </c>
      <c r="B84" t="s">
        <v>488</v>
      </c>
      <c r="C84" t="s">
        <v>705</v>
      </c>
      <c r="D84" t="s">
        <v>1024</v>
      </c>
      <c r="E84" t="s">
        <v>1032</v>
      </c>
      <c r="F84" t="s">
        <v>1035</v>
      </c>
      <c r="G84" t="s">
        <v>1042</v>
      </c>
      <c r="H84" t="s">
        <v>1048</v>
      </c>
      <c r="I84" t="s">
        <v>1133</v>
      </c>
      <c r="J84" t="s">
        <v>1412</v>
      </c>
      <c r="K84" t="s">
        <v>1533</v>
      </c>
      <c r="M84" t="s">
        <v>1618</v>
      </c>
      <c r="N84">
        <v>41675</v>
      </c>
      <c r="O84">
        <v>43986</v>
      </c>
      <c r="P84" t="s">
        <v>1622</v>
      </c>
      <c r="Q84" t="s">
        <v>1626</v>
      </c>
      <c r="R84">
        <v>3.7</v>
      </c>
    </row>
    <row r="85" spans="1:18" x14ac:dyDescent="0.35">
      <c r="A85" t="s">
        <v>101</v>
      </c>
      <c r="B85" t="s">
        <v>489</v>
      </c>
      <c r="C85" t="s">
        <v>706</v>
      </c>
      <c r="D85" t="s">
        <v>1022</v>
      </c>
      <c r="E85" t="s">
        <v>1031</v>
      </c>
      <c r="F85" t="s">
        <v>1040</v>
      </c>
      <c r="G85" t="s">
        <v>1042</v>
      </c>
      <c r="H85" t="s">
        <v>1046</v>
      </c>
      <c r="I85" t="s">
        <v>1134</v>
      </c>
      <c r="J85" t="s">
        <v>1413</v>
      </c>
      <c r="M85" t="s">
        <v>1615</v>
      </c>
      <c r="N85">
        <v>35356</v>
      </c>
      <c r="P85" t="s">
        <v>1624</v>
      </c>
      <c r="Q85" t="s">
        <v>1626</v>
      </c>
      <c r="R85">
        <v>4.5</v>
      </c>
    </row>
    <row r="86" spans="1:18" x14ac:dyDescent="0.35">
      <c r="A86" t="s">
        <v>102</v>
      </c>
      <c r="B86" t="s">
        <v>452</v>
      </c>
      <c r="C86" t="s">
        <v>707</v>
      </c>
      <c r="D86" t="s">
        <v>1024</v>
      </c>
      <c r="E86" t="s">
        <v>1031</v>
      </c>
      <c r="F86" t="s">
        <v>1039</v>
      </c>
      <c r="G86" t="s">
        <v>1044</v>
      </c>
      <c r="H86" t="s">
        <v>1049</v>
      </c>
      <c r="I86" t="s">
        <v>1083</v>
      </c>
      <c r="J86" t="s">
        <v>1414</v>
      </c>
      <c r="K86" t="s">
        <v>1465</v>
      </c>
      <c r="L86" t="s">
        <v>1587</v>
      </c>
      <c r="M86" t="s">
        <v>1620</v>
      </c>
      <c r="N86">
        <v>47308</v>
      </c>
      <c r="O86">
        <v>49200</v>
      </c>
      <c r="P86" t="s">
        <v>1625</v>
      </c>
      <c r="Q86" t="s">
        <v>1628</v>
      </c>
      <c r="R86">
        <v>4.5</v>
      </c>
    </row>
    <row r="87" spans="1:18" x14ac:dyDescent="0.35">
      <c r="A87" t="s">
        <v>103</v>
      </c>
      <c r="B87" t="s">
        <v>490</v>
      </c>
      <c r="C87" t="s">
        <v>708</v>
      </c>
      <c r="D87" t="s">
        <v>1023</v>
      </c>
      <c r="E87" t="s">
        <v>1031</v>
      </c>
      <c r="F87" t="s">
        <v>1040</v>
      </c>
      <c r="G87" t="s">
        <v>1041</v>
      </c>
      <c r="H87" t="s">
        <v>1051</v>
      </c>
      <c r="I87" t="s">
        <v>1135</v>
      </c>
      <c r="J87" t="s">
        <v>1415</v>
      </c>
      <c r="M87" t="s">
        <v>1615</v>
      </c>
      <c r="N87">
        <v>35437</v>
      </c>
      <c r="P87" t="s">
        <v>1623</v>
      </c>
      <c r="Q87" t="s">
        <v>1628</v>
      </c>
      <c r="R87">
        <v>4.2</v>
      </c>
    </row>
    <row r="88" spans="1:18" x14ac:dyDescent="0.35">
      <c r="A88" t="s">
        <v>104</v>
      </c>
      <c r="B88" t="s">
        <v>491</v>
      </c>
      <c r="C88" t="s">
        <v>709</v>
      </c>
      <c r="D88" t="s">
        <v>1027</v>
      </c>
      <c r="E88" t="s">
        <v>1028</v>
      </c>
      <c r="F88" t="s">
        <v>1039</v>
      </c>
      <c r="G88" t="s">
        <v>1043</v>
      </c>
      <c r="H88" t="s">
        <v>1048</v>
      </c>
      <c r="I88" t="s">
        <v>1136</v>
      </c>
      <c r="J88" t="s">
        <v>1416</v>
      </c>
      <c r="M88" t="s">
        <v>1615</v>
      </c>
      <c r="N88">
        <v>29033</v>
      </c>
      <c r="P88" t="s">
        <v>1622</v>
      </c>
      <c r="Q88" t="s">
        <v>1628</v>
      </c>
      <c r="R88">
        <v>4.8</v>
      </c>
    </row>
    <row r="89" spans="1:18" x14ac:dyDescent="0.35">
      <c r="A89" t="s">
        <v>105</v>
      </c>
      <c r="B89" t="s">
        <v>492</v>
      </c>
      <c r="C89" t="s">
        <v>710</v>
      </c>
      <c r="D89" t="s">
        <v>1023</v>
      </c>
      <c r="E89" t="s">
        <v>1028</v>
      </c>
      <c r="F89" t="s">
        <v>1036</v>
      </c>
      <c r="G89" t="s">
        <v>1045</v>
      </c>
      <c r="H89" t="s">
        <v>1050</v>
      </c>
      <c r="I89" t="s">
        <v>1137</v>
      </c>
      <c r="M89" t="s">
        <v>1616</v>
      </c>
      <c r="N89">
        <v>43841</v>
      </c>
      <c r="P89" t="s">
        <v>1625</v>
      </c>
      <c r="Q89" t="s">
        <v>1626</v>
      </c>
      <c r="R89">
        <v>4.5999999999999996</v>
      </c>
    </row>
    <row r="90" spans="1:18" x14ac:dyDescent="0.35">
      <c r="A90" t="s">
        <v>106</v>
      </c>
      <c r="B90" t="s">
        <v>493</v>
      </c>
      <c r="C90" t="s">
        <v>711</v>
      </c>
      <c r="D90" t="s">
        <v>1027</v>
      </c>
      <c r="E90" t="s">
        <v>1030</v>
      </c>
      <c r="F90" t="s">
        <v>1035</v>
      </c>
      <c r="G90" t="s">
        <v>1044</v>
      </c>
      <c r="H90" t="s">
        <v>1049</v>
      </c>
      <c r="I90" t="s">
        <v>1138</v>
      </c>
      <c r="M90" t="s">
        <v>1616</v>
      </c>
      <c r="N90">
        <v>28352</v>
      </c>
      <c r="P90" t="s">
        <v>1622</v>
      </c>
      <c r="Q90" t="s">
        <v>1626</v>
      </c>
      <c r="R90">
        <v>3.1</v>
      </c>
    </row>
    <row r="91" spans="1:18" x14ac:dyDescent="0.35">
      <c r="A91" t="s">
        <v>107</v>
      </c>
      <c r="B91" t="s">
        <v>494</v>
      </c>
      <c r="C91" t="s">
        <v>712</v>
      </c>
      <c r="D91" t="s">
        <v>1022</v>
      </c>
      <c r="E91" t="s">
        <v>1029</v>
      </c>
      <c r="F91" t="s">
        <v>1035</v>
      </c>
      <c r="G91" t="s">
        <v>1044</v>
      </c>
      <c r="H91" t="s">
        <v>1048</v>
      </c>
      <c r="I91" t="s">
        <v>1139</v>
      </c>
      <c r="J91" t="s">
        <v>1417</v>
      </c>
      <c r="M91" t="s">
        <v>1615</v>
      </c>
      <c r="N91">
        <v>36244</v>
      </c>
      <c r="P91" t="s">
        <v>1621</v>
      </c>
      <c r="Q91" t="s">
        <v>1626</v>
      </c>
      <c r="R91">
        <v>3.2</v>
      </c>
    </row>
    <row r="92" spans="1:18" x14ac:dyDescent="0.35">
      <c r="A92" t="s">
        <v>108</v>
      </c>
      <c r="B92" t="s">
        <v>443</v>
      </c>
      <c r="C92" t="s">
        <v>713</v>
      </c>
      <c r="D92" t="s">
        <v>1025</v>
      </c>
      <c r="E92" t="s">
        <v>1029</v>
      </c>
      <c r="F92" t="s">
        <v>1038</v>
      </c>
      <c r="G92" t="s">
        <v>1042</v>
      </c>
      <c r="H92" t="s">
        <v>1052</v>
      </c>
      <c r="I92" t="s">
        <v>1140</v>
      </c>
      <c r="J92" t="s">
        <v>1118</v>
      </c>
      <c r="M92" t="s">
        <v>1615</v>
      </c>
      <c r="N92">
        <v>44770</v>
      </c>
      <c r="P92" t="s">
        <v>1622</v>
      </c>
      <c r="Q92" t="s">
        <v>1626</v>
      </c>
      <c r="R92">
        <v>3.8</v>
      </c>
    </row>
    <row r="93" spans="1:18" x14ac:dyDescent="0.35">
      <c r="A93" t="s">
        <v>109</v>
      </c>
      <c r="B93" t="s">
        <v>495</v>
      </c>
      <c r="C93" t="s">
        <v>714</v>
      </c>
      <c r="D93" t="s">
        <v>1025</v>
      </c>
      <c r="E93" t="s">
        <v>1031</v>
      </c>
      <c r="F93" t="s">
        <v>1036</v>
      </c>
      <c r="G93" t="s">
        <v>1042</v>
      </c>
      <c r="H93" t="s">
        <v>1049</v>
      </c>
      <c r="I93" t="s">
        <v>1141</v>
      </c>
      <c r="M93" t="s">
        <v>1616</v>
      </c>
      <c r="N93">
        <v>29639</v>
      </c>
      <c r="P93" t="s">
        <v>1622</v>
      </c>
      <c r="Q93" t="s">
        <v>1628</v>
      </c>
      <c r="R93">
        <v>4.3</v>
      </c>
    </row>
    <row r="94" spans="1:18" x14ac:dyDescent="0.35">
      <c r="A94" t="s">
        <v>110</v>
      </c>
      <c r="B94" t="s">
        <v>496</v>
      </c>
      <c r="C94" t="s">
        <v>715</v>
      </c>
      <c r="D94" t="s">
        <v>1022</v>
      </c>
      <c r="E94" t="s">
        <v>1029</v>
      </c>
      <c r="F94" t="s">
        <v>1039</v>
      </c>
      <c r="G94" t="s">
        <v>1041</v>
      </c>
      <c r="H94" t="s">
        <v>1048</v>
      </c>
      <c r="I94" t="s">
        <v>1131</v>
      </c>
      <c r="J94" t="s">
        <v>1418</v>
      </c>
      <c r="M94" t="s">
        <v>1615</v>
      </c>
      <c r="N94">
        <v>44653</v>
      </c>
      <c r="P94" t="s">
        <v>1621</v>
      </c>
      <c r="Q94" t="s">
        <v>1626</v>
      </c>
      <c r="R94">
        <v>2.7</v>
      </c>
    </row>
    <row r="95" spans="1:18" x14ac:dyDescent="0.35">
      <c r="A95" t="s">
        <v>111</v>
      </c>
      <c r="B95" t="s">
        <v>431</v>
      </c>
      <c r="C95" t="s">
        <v>716</v>
      </c>
      <c r="D95" t="s">
        <v>1023</v>
      </c>
      <c r="E95" t="s">
        <v>1028</v>
      </c>
      <c r="F95" t="s">
        <v>1039</v>
      </c>
      <c r="G95" t="s">
        <v>1042</v>
      </c>
      <c r="H95" t="s">
        <v>1052</v>
      </c>
      <c r="I95" t="s">
        <v>1069</v>
      </c>
      <c r="M95" t="s">
        <v>1616</v>
      </c>
      <c r="N95">
        <v>50131</v>
      </c>
      <c r="P95" t="s">
        <v>1624</v>
      </c>
      <c r="Q95" t="s">
        <v>1626</v>
      </c>
      <c r="R95">
        <v>4.2</v>
      </c>
    </row>
    <row r="96" spans="1:18" x14ac:dyDescent="0.35">
      <c r="A96" t="s">
        <v>112</v>
      </c>
      <c r="B96" t="s">
        <v>497</v>
      </c>
      <c r="C96" t="s">
        <v>717</v>
      </c>
      <c r="D96" t="s">
        <v>1026</v>
      </c>
      <c r="E96" t="s">
        <v>1028</v>
      </c>
      <c r="F96" t="s">
        <v>1040</v>
      </c>
      <c r="G96" t="s">
        <v>1044</v>
      </c>
      <c r="H96" t="s">
        <v>1047</v>
      </c>
      <c r="I96" t="s">
        <v>1142</v>
      </c>
      <c r="J96" t="s">
        <v>1419</v>
      </c>
      <c r="M96" t="s">
        <v>1615</v>
      </c>
      <c r="N96">
        <v>29691</v>
      </c>
      <c r="P96" t="s">
        <v>1624</v>
      </c>
      <c r="Q96" t="s">
        <v>1627</v>
      </c>
      <c r="R96">
        <v>2.9</v>
      </c>
    </row>
    <row r="97" spans="1:18" x14ac:dyDescent="0.35">
      <c r="A97" t="s">
        <v>113</v>
      </c>
      <c r="B97" t="s">
        <v>491</v>
      </c>
      <c r="C97" t="s">
        <v>718</v>
      </c>
      <c r="D97" t="s">
        <v>1027</v>
      </c>
      <c r="E97" t="s">
        <v>1028</v>
      </c>
      <c r="F97" t="s">
        <v>1033</v>
      </c>
      <c r="G97" t="s">
        <v>1042</v>
      </c>
      <c r="H97" t="s">
        <v>1047</v>
      </c>
      <c r="I97" t="s">
        <v>1143</v>
      </c>
      <c r="M97" t="s">
        <v>1616</v>
      </c>
      <c r="N97">
        <v>45176</v>
      </c>
      <c r="P97" t="s">
        <v>1623</v>
      </c>
      <c r="Q97" t="s">
        <v>1628</v>
      </c>
      <c r="R97">
        <v>3.5</v>
      </c>
    </row>
    <row r="98" spans="1:18" x14ac:dyDescent="0.35">
      <c r="A98" t="s">
        <v>114</v>
      </c>
      <c r="B98" t="s">
        <v>498</v>
      </c>
      <c r="C98" t="s">
        <v>719</v>
      </c>
      <c r="D98" t="s">
        <v>1025</v>
      </c>
      <c r="E98" t="s">
        <v>1031</v>
      </c>
      <c r="F98" t="s">
        <v>1034</v>
      </c>
      <c r="G98" t="s">
        <v>1045</v>
      </c>
      <c r="H98" t="s">
        <v>1046</v>
      </c>
      <c r="I98" t="s">
        <v>1144</v>
      </c>
      <c r="J98" t="s">
        <v>1081</v>
      </c>
      <c r="K98" t="s">
        <v>1354</v>
      </c>
      <c r="L98" t="s">
        <v>1588</v>
      </c>
      <c r="M98" t="s">
        <v>1620</v>
      </c>
      <c r="N98">
        <v>30117</v>
      </c>
      <c r="O98">
        <v>33263</v>
      </c>
      <c r="P98" t="s">
        <v>1621</v>
      </c>
      <c r="Q98" t="s">
        <v>1627</v>
      </c>
      <c r="R98">
        <v>2.5</v>
      </c>
    </row>
    <row r="99" spans="1:18" x14ac:dyDescent="0.35">
      <c r="A99" t="s">
        <v>115</v>
      </c>
      <c r="B99" t="s">
        <v>432</v>
      </c>
      <c r="C99" t="s">
        <v>720</v>
      </c>
      <c r="D99" t="s">
        <v>1027</v>
      </c>
      <c r="E99" t="s">
        <v>1028</v>
      </c>
      <c r="F99" t="s">
        <v>1033</v>
      </c>
      <c r="G99" t="s">
        <v>1045</v>
      </c>
      <c r="H99" t="s">
        <v>1052</v>
      </c>
      <c r="I99" t="s">
        <v>1061</v>
      </c>
      <c r="J99" t="s">
        <v>1420</v>
      </c>
      <c r="M99" t="s">
        <v>1615</v>
      </c>
      <c r="N99">
        <v>31037</v>
      </c>
      <c r="P99" t="s">
        <v>1623</v>
      </c>
      <c r="Q99" t="s">
        <v>1627</v>
      </c>
      <c r="R99">
        <v>3</v>
      </c>
    </row>
    <row r="100" spans="1:18" x14ac:dyDescent="0.35">
      <c r="A100" t="s">
        <v>116</v>
      </c>
      <c r="B100" t="s">
        <v>499</v>
      </c>
      <c r="C100" t="s">
        <v>721</v>
      </c>
      <c r="D100" t="s">
        <v>1026</v>
      </c>
      <c r="E100" t="s">
        <v>1028</v>
      </c>
      <c r="F100" t="s">
        <v>1037</v>
      </c>
      <c r="G100" t="s">
        <v>1041</v>
      </c>
      <c r="H100" t="s">
        <v>1046</v>
      </c>
      <c r="I100" t="s">
        <v>1145</v>
      </c>
      <c r="J100" t="s">
        <v>1172</v>
      </c>
      <c r="M100" t="s">
        <v>1615</v>
      </c>
      <c r="N100">
        <v>34556</v>
      </c>
      <c r="P100" t="s">
        <v>1622</v>
      </c>
      <c r="Q100" t="s">
        <v>1627</v>
      </c>
      <c r="R100">
        <v>3.7</v>
      </c>
    </row>
    <row r="101" spans="1:18" x14ac:dyDescent="0.35">
      <c r="A101" t="s">
        <v>117</v>
      </c>
      <c r="B101" t="s">
        <v>500</v>
      </c>
      <c r="C101" t="s">
        <v>722</v>
      </c>
      <c r="D101" t="s">
        <v>1027</v>
      </c>
      <c r="E101" t="s">
        <v>1032</v>
      </c>
      <c r="F101" t="s">
        <v>1033</v>
      </c>
      <c r="G101" t="s">
        <v>1041</v>
      </c>
      <c r="H101" t="s">
        <v>1049</v>
      </c>
      <c r="I101" t="s">
        <v>1146</v>
      </c>
      <c r="M101" t="s">
        <v>1616</v>
      </c>
      <c r="N101">
        <v>51375</v>
      </c>
      <c r="P101" t="s">
        <v>1624</v>
      </c>
      <c r="Q101" t="s">
        <v>1626</v>
      </c>
      <c r="R101">
        <v>3.6</v>
      </c>
    </row>
    <row r="102" spans="1:18" x14ac:dyDescent="0.35">
      <c r="A102" t="s">
        <v>118</v>
      </c>
      <c r="B102" t="s">
        <v>501</v>
      </c>
      <c r="C102" t="s">
        <v>723</v>
      </c>
      <c r="D102" t="s">
        <v>1025</v>
      </c>
      <c r="E102" t="s">
        <v>1032</v>
      </c>
      <c r="F102" t="s">
        <v>1039</v>
      </c>
      <c r="G102" t="s">
        <v>1042</v>
      </c>
      <c r="H102" t="s">
        <v>1051</v>
      </c>
      <c r="I102" t="s">
        <v>1147</v>
      </c>
      <c r="M102" t="s">
        <v>1619</v>
      </c>
      <c r="N102">
        <v>36335</v>
      </c>
      <c r="P102" t="s">
        <v>1622</v>
      </c>
      <c r="Q102" t="s">
        <v>1627</v>
      </c>
      <c r="R102">
        <v>4.5999999999999996</v>
      </c>
    </row>
    <row r="103" spans="1:18" x14ac:dyDescent="0.35">
      <c r="A103" t="s">
        <v>119</v>
      </c>
      <c r="B103" t="s">
        <v>502</v>
      </c>
      <c r="C103" t="s">
        <v>724</v>
      </c>
      <c r="D103" t="s">
        <v>1022</v>
      </c>
      <c r="E103" t="s">
        <v>1028</v>
      </c>
      <c r="F103" t="s">
        <v>1038</v>
      </c>
      <c r="G103" t="s">
        <v>1044</v>
      </c>
      <c r="H103" t="s">
        <v>1052</v>
      </c>
      <c r="I103" t="s">
        <v>1148</v>
      </c>
      <c r="J103" t="s">
        <v>1421</v>
      </c>
      <c r="K103" t="s">
        <v>1165</v>
      </c>
      <c r="M103" t="s">
        <v>1618</v>
      </c>
      <c r="N103">
        <v>41843</v>
      </c>
      <c r="O103">
        <v>38877</v>
      </c>
      <c r="P103" t="s">
        <v>1625</v>
      </c>
      <c r="Q103" t="s">
        <v>1627</v>
      </c>
      <c r="R103">
        <v>3.2</v>
      </c>
    </row>
    <row r="104" spans="1:18" x14ac:dyDescent="0.35">
      <c r="A104" t="s">
        <v>120</v>
      </c>
      <c r="B104" t="s">
        <v>503</v>
      </c>
      <c r="C104" t="s">
        <v>725</v>
      </c>
      <c r="D104" t="s">
        <v>1026</v>
      </c>
      <c r="E104" t="s">
        <v>1028</v>
      </c>
      <c r="F104" t="s">
        <v>1033</v>
      </c>
      <c r="G104" t="s">
        <v>1041</v>
      </c>
      <c r="H104" t="s">
        <v>1047</v>
      </c>
      <c r="I104" t="s">
        <v>1149</v>
      </c>
      <c r="J104" t="s">
        <v>1422</v>
      </c>
      <c r="K104" t="s">
        <v>1534</v>
      </c>
      <c r="L104" t="s">
        <v>1589</v>
      </c>
      <c r="M104" t="s">
        <v>1620</v>
      </c>
      <c r="N104">
        <v>38124</v>
      </c>
      <c r="O104">
        <v>40408</v>
      </c>
      <c r="P104" t="s">
        <v>1624</v>
      </c>
      <c r="Q104" t="s">
        <v>1628</v>
      </c>
      <c r="R104">
        <v>2.4</v>
      </c>
    </row>
    <row r="105" spans="1:18" x14ac:dyDescent="0.35">
      <c r="A105" t="s">
        <v>121</v>
      </c>
      <c r="B105" t="s">
        <v>504</v>
      </c>
      <c r="C105" t="s">
        <v>726</v>
      </c>
      <c r="D105" t="s">
        <v>1026</v>
      </c>
      <c r="E105" t="s">
        <v>1029</v>
      </c>
      <c r="F105" t="s">
        <v>1038</v>
      </c>
      <c r="G105" t="s">
        <v>1043</v>
      </c>
      <c r="H105" t="s">
        <v>1046</v>
      </c>
      <c r="I105" t="s">
        <v>1150</v>
      </c>
      <c r="M105" t="s">
        <v>1619</v>
      </c>
      <c r="N105">
        <v>37650</v>
      </c>
      <c r="P105" t="s">
        <v>1625</v>
      </c>
      <c r="Q105" t="s">
        <v>1626</v>
      </c>
      <c r="R105">
        <v>3.9</v>
      </c>
    </row>
    <row r="106" spans="1:18" x14ac:dyDescent="0.35">
      <c r="A106" t="s">
        <v>122</v>
      </c>
      <c r="B106" t="s">
        <v>505</v>
      </c>
      <c r="C106" t="s">
        <v>727</v>
      </c>
      <c r="D106" t="s">
        <v>1024</v>
      </c>
      <c r="E106" t="s">
        <v>1029</v>
      </c>
      <c r="F106" t="s">
        <v>1037</v>
      </c>
      <c r="G106" t="s">
        <v>1041</v>
      </c>
      <c r="H106" t="s">
        <v>1049</v>
      </c>
      <c r="I106" t="s">
        <v>1151</v>
      </c>
      <c r="M106" t="s">
        <v>1616</v>
      </c>
      <c r="N106">
        <v>46953</v>
      </c>
      <c r="P106" t="s">
        <v>1621</v>
      </c>
      <c r="Q106" t="s">
        <v>1626</v>
      </c>
      <c r="R106">
        <v>4.7</v>
      </c>
    </row>
    <row r="107" spans="1:18" x14ac:dyDescent="0.35">
      <c r="A107" t="s">
        <v>123</v>
      </c>
      <c r="B107" t="s">
        <v>506</v>
      </c>
      <c r="C107" t="s">
        <v>728</v>
      </c>
      <c r="D107" t="s">
        <v>1025</v>
      </c>
      <c r="E107" t="s">
        <v>1032</v>
      </c>
      <c r="F107" t="s">
        <v>1040</v>
      </c>
      <c r="G107" t="s">
        <v>1044</v>
      </c>
      <c r="H107" t="s">
        <v>1051</v>
      </c>
      <c r="I107" t="s">
        <v>1152</v>
      </c>
      <c r="M107" t="s">
        <v>1616</v>
      </c>
      <c r="N107">
        <v>28955</v>
      </c>
      <c r="P107" t="s">
        <v>1621</v>
      </c>
      <c r="Q107" t="s">
        <v>1626</v>
      </c>
      <c r="R107">
        <v>3.7</v>
      </c>
    </row>
    <row r="108" spans="1:18" x14ac:dyDescent="0.35">
      <c r="A108" t="s">
        <v>124</v>
      </c>
      <c r="B108" t="s">
        <v>507</v>
      </c>
      <c r="C108" t="s">
        <v>729</v>
      </c>
      <c r="D108" t="s">
        <v>1025</v>
      </c>
      <c r="E108" t="s">
        <v>1029</v>
      </c>
      <c r="F108" t="s">
        <v>1039</v>
      </c>
      <c r="G108" t="s">
        <v>1044</v>
      </c>
      <c r="H108" t="s">
        <v>1050</v>
      </c>
      <c r="I108" t="s">
        <v>1153</v>
      </c>
      <c r="J108" t="s">
        <v>1423</v>
      </c>
      <c r="K108" t="s">
        <v>1054</v>
      </c>
      <c r="M108" t="s">
        <v>1618</v>
      </c>
      <c r="N108">
        <v>37558</v>
      </c>
      <c r="O108">
        <v>39981</v>
      </c>
      <c r="P108" t="s">
        <v>1622</v>
      </c>
      <c r="Q108" t="s">
        <v>1626</v>
      </c>
      <c r="R108">
        <v>2.4</v>
      </c>
    </row>
    <row r="109" spans="1:18" x14ac:dyDescent="0.35">
      <c r="A109" t="s">
        <v>125</v>
      </c>
      <c r="B109" t="s">
        <v>508</v>
      </c>
      <c r="C109" t="s">
        <v>730</v>
      </c>
      <c r="D109" t="s">
        <v>1024</v>
      </c>
      <c r="E109" t="s">
        <v>1031</v>
      </c>
      <c r="F109" t="s">
        <v>1037</v>
      </c>
      <c r="G109" t="s">
        <v>1045</v>
      </c>
      <c r="H109" t="s">
        <v>1046</v>
      </c>
      <c r="I109" t="s">
        <v>1154</v>
      </c>
      <c r="J109" t="s">
        <v>1424</v>
      </c>
      <c r="K109" t="s">
        <v>1535</v>
      </c>
      <c r="M109" t="s">
        <v>1618</v>
      </c>
      <c r="N109">
        <v>28282</v>
      </c>
      <c r="O109">
        <v>27996</v>
      </c>
      <c r="P109" t="s">
        <v>1622</v>
      </c>
      <c r="Q109" t="s">
        <v>1628</v>
      </c>
      <c r="R109">
        <v>2.4</v>
      </c>
    </row>
    <row r="110" spans="1:18" x14ac:dyDescent="0.35">
      <c r="A110" t="s">
        <v>126</v>
      </c>
      <c r="B110" t="s">
        <v>509</v>
      </c>
      <c r="C110" t="s">
        <v>731</v>
      </c>
      <c r="D110" t="s">
        <v>1023</v>
      </c>
      <c r="E110" t="s">
        <v>1032</v>
      </c>
      <c r="F110" t="s">
        <v>1038</v>
      </c>
      <c r="G110" t="s">
        <v>1044</v>
      </c>
      <c r="H110" t="s">
        <v>1046</v>
      </c>
      <c r="I110" t="s">
        <v>1155</v>
      </c>
      <c r="J110" t="s">
        <v>1425</v>
      </c>
      <c r="K110" t="s">
        <v>1536</v>
      </c>
      <c r="L110" t="s">
        <v>1268</v>
      </c>
      <c r="M110" t="s">
        <v>1620</v>
      </c>
      <c r="N110">
        <v>40603</v>
      </c>
      <c r="O110">
        <v>43909</v>
      </c>
      <c r="P110" t="s">
        <v>1625</v>
      </c>
      <c r="Q110" t="s">
        <v>1628</v>
      </c>
      <c r="R110">
        <v>4.3</v>
      </c>
    </row>
    <row r="111" spans="1:18" x14ac:dyDescent="0.35">
      <c r="A111" t="s">
        <v>127</v>
      </c>
      <c r="B111" t="s">
        <v>510</v>
      </c>
      <c r="C111" t="s">
        <v>732</v>
      </c>
      <c r="D111" t="s">
        <v>1026</v>
      </c>
      <c r="E111" t="s">
        <v>1030</v>
      </c>
      <c r="F111" t="s">
        <v>1037</v>
      </c>
      <c r="G111" t="s">
        <v>1045</v>
      </c>
      <c r="H111" t="s">
        <v>1050</v>
      </c>
      <c r="I111" t="s">
        <v>1156</v>
      </c>
      <c r="M111" t="s">
        <v>1616</v>
      </c>
      <c r="N111">
        <v>32716</v>
      </c>
      <c r="P111" t="s">
        <v>1624</v>
      </c>
      <c r="Q111" t="s">
        <v>1627</v>
      </c>
      <c r="R111">
        <v>5</v>
      </c>
    </row>
    <row r="112" spans="1:18" x14ac:dyDescent="0.35">
      <c r="A112" t="s">
        <v>128</v>
      </c>
      <c r="B112" t="s">
        <v>511</v>
      </c>
      <c r="C112" t="s">
        <v>733</v>
      </c>
      <c r="D112" t="s">
        <v>1024</v>
      </c>
      <c r="E112" t="s">
        <v>1028</v>
      </c>
      <c r="F112" t="s">
        <v>1039</v>
      </c>
      <c r="G112" t="s">
        <v>1045</v>
      </c>
      <c r="H112" t="s">
        <v>1048</v>
      </c>
      <c r="I112" t="s">
        <v>1157</v>
      </c>
      <c r="M112" t="s">
        <v>1617</v>
      </c>
      <c r="N112">
        <v>48799</v>
      </c>
      <c r="P112" t="s">
        <v>1623</v>
      </c>
      <c r="Q112" t="s">
        <v>1628</v>
      </c>
      <c r="R112">
        <v>4.0999999999999996</v>
      </c>
    </row>
    <row r="113" spans="1:18" x14ac:dyDescent="0.35">
      <c r="A113" t="s">
        <v>129</v>
      </c>
      <c r="B113" t="s">
        <v>441</v>
      </c>
      <c r="C113" t="s">
        <v>734</v>
      </c>
      <c r="D113" t="s">
        <v>1027</v>
      </c>
      <c r="E113" t="s">
        <v>1028</v>
      </c>
      <c r="F113" t="s">
        <v>1033</v>
      </c>
      <c r="G113" t="s">
        <v>1042</v>
      </c>
      <c r="H113" t="s">
        <v>1048</v>
      </c>
      <c r="I113" t="s">
        <v>1158</v>
      </c>
      <c r="M113" t="s">
        <v>1619</v>
      </c>
      <c r="N113">
        <v>50511</v>
      </c>
      <c r="P113" t="s">
        <v>1625</v>
      </c>
      <c r="Q113" t="s">
        <v>1627</v>
      </c>
      <c r="R113">
        <v>3.6</v>
      </c>
    </row>
    <row r="114" spans="1:18" x14ac:dyDescent="0.35">
      <c r="A114" t="s">
        <v>130</v>
      </c>
      <c r="B114" t="s">
        <v>512</v>
      </c>
      <c r="C114" t="s">
        <v>735</v>
      </c>
      <c r="D114" t="s">
        <v>1027</v>
      </c>
      <c r="E114" t="s">
        <v>1028</v>
      </c>
      <c r="F114" t="s">
        <v>1040</v>
      </c>
      <c r="G114" t="s">
        <v>1044</v>
      </c>
      <c r="H114" t="s">
        <v>1046</v>
      </c>
      <c r="I114" t="s">
        <v>1159</v>
      </c>
      <c r="M114" t="s">
        <v>1619</v>
      </c>
      <c r="N114">
        <v>36699</v>
      </c>
      <c r="P114" t="s">
        <v>1623</v>
      </c>
      <c r="Q114" t="s">
        <v>1627</v>
      </c>
      <c r="R114">
        <v>3.1</v>
      </c>
    </row>
    <row r="115" spans="1:18" x14ac:dyDescent="0.35">
      <c r="A115" t="s">
        <v>131</v>
      </c>
      <c r="B115" t="s">
        <v>502</v>
      </c>
      <c r="C115" t="s">
        <v>736</v>
      </c>
      <c r="D115" t="s">
        <v>1023</v>
      </c>
      <c r="E115" t="s">
        <v>1030</v>
      </c>
      <c r="F115" t="s">
        <v>1038</v>
      </c>
      <c r="G115" t="s">
        <v>1043</v>
      </c>
      <c r="H115" t="s">
        <v>1052</v>
      </c>
      <c r="I115" t="s">
        <v>1160</v>
      </c>
      <c r="M115" t="s">
        <v>1616</v>
      </c>
      <c r="N115">
        <v>42036</v>
      </c>
      <c r="P115" t="s">
        <v>1624</v>
      </c>
      <c r="Q115" t="s">
        <v>1628</v>
      </c>
      <c r="R115">
        <v>3.4</v>
      </c>
    </row>
    <row r="116" spans="1:18" x14ac:dyDescent="0.35">
      <c r="A116" t="s">
        <v>132</v>
      </c>
      <c r="B116" t="s">
        <v>513</v>
      </c>
      <c r="C116" t="s">
        <v>737</v>
      </c>
      <c r="D116" t="s">
        <v>1027</v>
      </c>
      <c r="E116" t="s">
        <v>1029</v>
      </c>
      <c r="F116" t="s">
        <v>1036</v>
      </c>
      <c r="G116" t="s">
        <v>1041</v>
      </c>
      <c r="H116" t="s">
        <v>1052</v>
      </c>
      <c r="I116" t="s">
        <v>1161</v>
      </c>
      <c r="M116" t="s">
        <v>1619</v>
      </c>
      <c r="N116">
        <v>36611</v>
      </c>
      <c r="P116" t="s">
        <v>1622</v>
      </c>
      <c r="Q116" t="s">
        <v>1626</v>
      </c>
      <c r="R116">
        <v>4.5</v>
      </c>
    </row>
    <row r="117" spans="1:18" x14ac:dyDescent="0.35">
      <c r="A117" t="s">
        <v>133</v>
      </c>
      <c r="B117" t="s">
        <v>514</v>
      </c>
      <c r="C117" t="s">
        <v>738</v>
      </c>
      <c r="D117" t="s">
        <v>1025</v>
      </c>
      <c r="E117" t="s">
        <v>1028</v>
      </c>
      <c r="F117" t="s">
        <v>1040</v>
      </c>
      <c r="G117" t="s">
        <v>1045</v>
      </c>
      <c r="H117" t="s">
        <v>1050</v>
      </c>
      <c r="I117" t="s">
        <v>1162</v>
      </c>
      <c r="M117" t="s">
        <v>1616</v>
      </c>
      <c r="N117">
        <v>46266</v>
      </c>
      <c r="P117" t="s">
        <v>1622</v>
      </c>
      <c r="Q117" t="s">
        <v>1626</v>
      </c>
      <c r="R117">
        <v>4.7</v>
      </c>
    </row>
    <row r="118" spans="1:18" x14ac:dyDescent="0.35">
      <c r="A118" t="s">
        <v>134</v>
      </c>
      <c r="B118" t="s">
        <v>426</v>
      </c>
      <c r="C118" t="s">
        <v>739</v>
      </c>
      <c r="D118" t="s">
        <v>1025</v>
      </c>
      <c r="E118" t="s">
        <v>1029</v>
      </c>
      <c r="F118" t="s">
        <v>1038</v>
      </c>
      <c r="G118" t="s">
        <v>1045</v>
      </c>
      <c r="H118" t="s">
        <v>1050</v>
      </c>
      <c r="I118" t="s">
        <v>1163</v>
      </c>
      <c r="J118" t="s">
        <v>1426</v>
      </c>
      <c r="M118" t="s">
        <v>1615</v>
      </c>
      <c r="N118">
        <v>37414</v>
      </c>
      <c r="P118" t="s">
        <v>1625</v>
      </c>
      <c r="Q118" t="s">
        <v>1627</v>
      </c>
      <c r="R118">
        <v>2.7</v>
      </c>
    </row>
    <row r="119" spans="1:18" x14ac:dyDescent="0.35">
      <c r="A119" t="s">
        <v>135</v>
      </c>
      <c r="B119" t="s">
        <v>515</v>
      </c>
      <c r="C119" t="s">
        <v>740</v>
      </c>
      <c r="D119" t="s">
        <v>1023</v>
      </c>
      <c r="E119" t="s">
        <v>1032</v>
      </c>
      <c r="F119" t="s">
        <v>1039</v>
      </c>
      <c r="G119" t="s">
        <v>1041</v>
      </c>
      <c r="H119" t="s">
        <v>1048</v>
      </c>
      <c r="I119" t="s">
        <v>1164</v>
      </c>
      <c r="M119" t="s">
        <v>1616</v>
      </c>
      <c r="N119">
        <v>32302</v>
      </c>
      <c r="P119" t="s">
        <v>1623</v>
      </c>
      <c r="Q119" t="s">
        <v>1628</v>
      </c>
      <c r="R119">
        <v>4.4000000000000004</v>
      </c>
    </row>
    <row r="120" spans="1:18" x14ac:dyDescent="0.35">
      <c r="A120" t="s">
        <v>136</v>
      </c>
      <c r="B120" t="s">
        <v>484</v>
      </c>
      <c r="C120" t="s">
        <v>741</v>
      </c>
      <c r="D120" t="s">
        <v>1025</v>
      </c>
      <c r="E120" t="s">
        <v>1032</v>
      </c>
      <c r="F120" t="s">
        <v>1038</v>
      </c>
      <c r="G120" t="s">
        <v>1045</v>
      </c>
      <c r="H120" t="s">
        <v>1051</v>
      </c>
      <c r="I120" t="s">
        <v>1137</v>
      </c>
      <c r="M120" t="s">
        <v>1616</v>
      </c>
      <c r="N120">
        <v>41530</v>
      </c>
      <c r="P120" t="s">
        <v>1623</v>
      </c>
      <c r="Q120" t="s">
        <v>1626</v>
      </c>
      <c r="R120">
        <v>4.7</v>
      </c>
    </row>
    <row r="121" spans="1:18" x14ac:dyDescent="0.35">
      <c r="A121" t="s">
        <v>137</v>
      </c>
      <c r="B121" t="s">
        <v>438</v>
      </c>
      <c r="C121" t="s">
        <v>742</v>
      </c>
      <c r="D121" t="s">
        <v>1024</v>
      </c>
      <c r="E121" t="s">
        <v>1030</v>
      </c>
      <c r="F121" t="s">
        <v>1033</v>
      </c>
      <c r="G121" t="s">
        <v>1044</v>
      </c>
      <c r="H121" t="s">
        <v>1051</v>
      </c>
      <c r="I121" t="s">
        <v>1165</v>
      </c>
      <c r="M121" t="s">
        <v>1619</v>
      </c>
      <c r="N121">
        <v>31357</v>
      </c>
      <c r="P121" t="s">
        <v>1625</v>
      </c>
      <c r="Q121" t="s">
        <v>1628</v>
      </c>
      <c r="R121">
        <v>3.9</v>
      </c>
    </row>
    <row r="122" spans="1:18" x14ac:dyDescent="0.35">
      <c r="A122" t="s">
        <v>138</v>
      </c>
      <c r="B122" t="s">
        <v>516</v>
      </c>
      <c r="C122" t="s">
        <v>743</v>
      </c>
      <c r="D122" t="s">
        <v>1026</v>
      </c>
      <c r="E122" t="s">
        <v>1032</v>
      </c>
      <c r="F122" t="s">
        <v>1036</v>
      </c>
      <c r="G122" t="s">
        <v>1041</v>
      </c>
      <c r="H122" t="s">
        <v>1046</v>
      </c>
      <c r="I122" t="s">
        <v>1166</v>
      </c>
      <c r="M122" t="s">
        <v>1619</v>
      </c>
      <c r="N122">
        <v>37399</v>
      </c>
      <c r="P122" t="s">
        <v>1623</v>
      </c>
      <c r="Q122" t="s">
        <v>1627</v>
      </c>
      <c r="R122">
        <v>2.1</v>
      </c>
    </row>
    <row r="123" spans="1:18" x14ac:dyDescent="0.35">
      <c r="A123" t="s">
        <v>139</v>
      </c>
      <c r="B123" t="s">
        <v>517</v>
      </c>
      <c r="C123" t="s">
        <v>744</v>
      </c>
      <c r="D123" t="s">
        <v>1025</v>
      </c>
      <c r="E123" t="s">
        <v>1028</v>
      </c>
      <c r="F123" t="s">
        <v>1038</v>
      </c>
      <c r="G123" t="s">
        <v>1045</v>
      </c>
      <c r="H123" t="s">
        <v>1048</v>
      </c>
      <c r="I123" t="s">
        <v>1167</v>
      </c>
      <c r="J123" t="s">
        <v>1427</v>
      </c>
      <c r="K123" t="s">
        <v>1104</v>
      </c>
      <c r="M123" t="s">
        <v>1618</v>
      </c>
      <c r="N123">
        <v>44009</v>
      </c>
      <c r="O123">
        <v>42486</v>
      </c>
      <c r="P123" t="s">
        <v>1621</v>
      </c>
      <c r="Q123" t="s">
        <v>1628</v>
      </c>
      <c r="R123">
        <v>2.8</v>
      </c>
    </row>
    <row r="124" spans="1:18" x14ac:dyDescent="0.35">
      <c r="A124" t="s">
        <v>140</v>
      </c>
      <c r="B124" t="s">
        <v>518</v>
      </c>
      <c r="C124" t="s">
        <v>745</v>
      </c>
      <c r="D124" t="s">
        <v>1026</v>
      </c>
      <c r="E124" t="s">
        <v>1029</v>
      </c>
      <c r="F124" t="s">
        <v>1038</v>
      </c>
      <c r="G124" t="s">
        <v>1041</v>
      </c>
      <c r="H124" t="s">
        <v>1052</v>
      </c>
      <c r="I124" t="s">
        <v>1168</v>
      </c>
      <c r="J124" t="s">
        <v>1246</v>
      </c>
      <c r="K124" t="s">
        <v>1537</v>
      </c>
      <c r="M124" t="s">
        <v>1618</v>
      </c>
      <c r="N124">
        <v>39148</v>
      </c>
      <c r="O124">
        <v>42401</v>
      </c>
      <c r="P124" t="s">
        <v>1622</v>
      </c>
      <c r="Q124" t="s">
        <v>1628</v>
      </c>
      <c r="R124">
        <v>2.6</v>
      </c>
    </row>
    <row r="125" spans="1:18" x14ac:dyDescent="0.35">
      <c r="A125" t="s">
        <v>141</v>
      </c>
      <c r="B125" t="s">
        <v>519</v>
      </c>
      <c r="C125" t="s">
        <v>746</v>
      </c>
      <c r="D125" t="s">
        <v>1023</v>
      </c>
      <c r="E125" t="s">
        <v>1032</v>
      </c>
      <c r="F125" t="s">
        <v>1034</v>
      </c>
      <c r="G125" t="s">
        <v>1042</v>
      </c>
      <c r="H125" t="s">
        <v>1048</v>
      </c>
      <c r="I125" t="s">
        <v>1169</v>
      </c>
      <c r="J125" t="s">
        <v>1428</v>
      </c>
      <c r="M125" t="s">
        <v>1615</v>
      </c>
      <c r="N125">
        <v>40438</v>
      </c>
      <c r="P125" t="s">
        <v>1625</v>
      </c>
      <c r="Q125" t="s">
        <v>1627</v>
      </c>
      <c r="R125">
        <v>4</v>
      </c>
    </row>
    <row r="126" spans="1:18" x14ac:dyDescent="0.35">
      <c r="A126" t="s">
        <v>142</v>
      </c>
      <c r="B126" t="s">
        <v>520</v>
      </c>
      <c r="C126" t="s">
        <v>747</v>
      </c>
      <c r="D126" t="s">
        <v>1026</v>
      </c>
      <c r="E126" t="s">
        <v>1030</v>
      </c>
      <c r="F126" t="s">
        <v>1036</v>
      </c>
      <c r="G126" t="s">
        <v>1043</v>
      </c>
      <c r="H126" t="s">
        <v>1048</v>
      </c>
      <c r="I126" t="s">
        <v>1170</v>
      </c>
      <c r="M126" t="s">
        <v>1617</v>
      </c>
      <c r="N126">
        <v>28932</v>
      </c>
      <c r="P126" t="s">
        <v>1623</v>
      </c>
      <c r="Q126" t="s">
        <v>1626</v>
      </c>
      <c r="R126">
        <v>3.6</v>
      </c>
    </row>
    <row r="127" spans="1:18" x14ac:dyDescent="0.35">
      <c r="A127" t="s">
        <v>143</v>
      </c>
      <c r="B127" t="s">
        <v>521</v>
      </c>
      <c r="C127" t="s">
        <v>748</v>
      </c>
      <c r="D127" t="s">
        <v>1026</v>
      </c>
      <c r="E127" t="s">
        <v>1032</v>
      </c>
      <c r="F127" t="s">
        <v>1035</v>
      </c>
      <c r="G127" t="s">
        <v>1043</v>
      </c>
      <c r="H127" t="s">
        <v>1046</v>
      </c>
      <c r="I127" t="s">
        <v>1171</v>
      </c>
      <c r="J127" t="s">
        <v>1429</v>
      </c>
      <c r="M127" t="s">
        <v>1615</v>
      </c>
      <c r="N127">
        <v>39847</v>
      </c>
      <c r="P127" t="s">
        <v>1622</v>
      </c>
      <c r="Q127" t="s">
        <v>1628</v>
      </c>
      <c r="R127">
        <v>2.9</v>
      </c>
    </row>
    <row r="128" spans="1:18" x14ac:dyDescent="0.35">
      <c r="A128" t="s">
        <v>144</v>
      </c>
      <c r="B128" t="s">
        <v>436</v>
      </c>
      <c r="C128" t="s">
        <v>749</v>
      </c>
      <c r="D128" t="s">
        <v>1027</v>
      </c>
      <c r="E128" t="s">
        <v>1032</v>
      </c>
      <c r="F128" t="s">
        <v>1035</v>
      </c>
      <c r="G128" t="s">
        <v>1043</v>
      </c>
      <c r="H128" t="s">
        <v>1049</v>
      </c>
      <c r="I128" t="s">
        <v>1172</v>
      </c>
      <c r="J128" t="s">
        <v>1430</v>
      </c>
      <c r="K128" t="s">
        <v>1538</v>
      </c>
      <c r="M128" t="s">
        <v>1618</v>
      </c>
      <c r="N128">
        <v>49923</v>
      </c>
      <c r="O128">
        <v>48271</v>
      </c>
      <c r="P128" t="s">
        <v>1622</v>
      </c>
      <c r="Q128" t="s">
        <v>1626</v>
      </c>
      <c r="R128">
        <v>2.8</v>
      </c>
    </row>
    <row r="129" spans="1:18" x14ac:dyDescent="0.35">
      <c r="A129" t="s">
        <v>145</v>
      </c>
      <c r="B129" t="s">
        <v>522</v>
      </c>
      <c r="C129" t="s">
        <v>750</v>
      </c>
      <c r="D129" t="s">
        <v>1024</v>
      </c>
      <c r="E129" t="s">
        <v>1032</v>
      </c>
      <c r="F129" t="s">
        <v>1034</v>
      </c>
      <c r="G129" t="s">
        <v>1041</v>
      </c>
      <c r="H129" t="s">
        <v>1048</v>
      </c>
      <c r="I129" t="s">
        <v>1173</v>
      </c>
      <c r="M129" t="s">
        <v>1619</v>
      </c>
      <c r="N129">
        <v>51921</v>
      </c>
      <c r="P129" t="s">
        <v>1621</v>
      </c>
      <c r="Q129" t="s">
        <v>1627</v>
      </c>
      <c r="R129">
        <v>2.4</v>
      </c>
    </row>
    <row r="130" spans="1:18" x14ac:dyDescent="0.35">
      <c r="A130" t="s">
        <v>146</v>
      </c>
      <c r="B130" t="s">
        <v>523</v>
      </c>
      <c r="C130" t="s">
        <v>751</v>
      </c>
      <c r="D130" t="s">
        <v>1022</v>
      </c>
      <c r="E130" t="s">
        <v>1028</v>
      </c>
      <c r="F130" t="s">
        <v>1033</v>
      </c>
      <c r="G130" t="s">
        <v>1042</v>
      </c>
      <c r="H130" t="s">
        <v>1047</v>
      </c>
      <c r="I130" t="s">
        <v>1174</v>
      </c>
      <c r="J130" t="s">
        <v>1250</v>
      </c>
      <c r="K130" t="s">
        <v>1539</v>
      </c>
      <c r="L130" t="s">
        <v>1590</v>
      </c>
      <c r="M130" t="s">
        <v>1620</v>
      </c>
      <c r="N130">
        <v>35794</v>
      </c>
      <c r="O130">
        <v>38904</v>
      </c>
      <c r="P130" t="s">
        <v>1623</v>
      </c>
      <c r="Q130" t="s">
        <v>1628</v>
      </c>
      <c r="R130">
        <v>3.7</v>
      </c>
    </row>
    <row r="131" spans="1:18" x14ac:dyDescent="0.35">
      <c r="A131" t="s">
        <v>147</v>
      </c>
      <c r="B131" t="s">
        <v>524</v>
      </c>
      <c r="C131" t="s">
        <v>752</v>
      </c>
      <c r="D131" t="s">
        <v>1027</v>
      </c>
      <c r="E131" t="s">
        <v>1032</v>
      </c>
      <c r="F131" t="s">
        <v>1035</v>
      </c>
      <c r="G131" t="s">
        <v>1045</v>
      </c>
      <c r="H131" t="s">
        <v>1050</v>
      </c>
      <c r="I131" t="s">
        <v>1175</v>
      </c>
      <c r="M131" t="s">
        <v>1619</v>
      </c>
      <c r="N131">
        <v>34504</v>
      </c>
      <c r="P131" t="s">
        <v>1622</v>
      </c>
      <c r="Q131" t="s">
        <v>1627</v>
      </c>
      <c r="R131">
        <v>2.7</v>
      </c>
    </row>
    <row r="132" spans="1:18" x14ac:dyDescent="0.35">
      <c r="A132" t="s">
        <v>148</v>
      </c>
      <c r="B132" t="s">
        <v>525</v>
      </c>
      <c r="C132" t="s">
        <v>753</v>
      </c>
      <c r="D132" t="s">
        <v>1025</v>
      </c>
      <c r="E132" t="s">
        <v>1031</v>
      </c>
      <c r="F132" t="s">
        <v>1040</v>
      </c>
      <c r="G132" t="s">
        <v>1041</v>
      </c>
      <c r="H132" t="s">
        <v>1051</v>
      </c>
      <c r="I132" t="s">
        <v>1079</v>
      </c>
      <c r="M132" t="s">
        <v>1619</v>
      </c>
      <c r="N132">
        <v>43590</v>
      </c>
      <c r="P132" t="s">
        <v>1622</v>
      </c>
      <c r="Q132" t="s">
        <v>1627</v>
      </c>
      <c r="R132">
        <v>3.4</v>
      </c>
    </row>
    <row r="133" spans="1:18" x14ac:dyDescent="0.35">
      <c r="A133" t="s">
        <v>149</v>
      </c>
      <c r="B133" t="s">
        <v>526</v>
      </c>
      <c r="C133" t="s">
        <v>754</v>
      </c>
      <c r="D133" t="s">
        <v>1023</v>
      </c>
      <c r="E133" t="s">
        <v>1029</v>
      </c>
      <c r="F133" t="s">
        <v>1034</v>
      </c>
      <c r="G133" t="s">
        <v>1041</v>
      </c>
      <c r="H133" t="s">
        <v>1050</v>
      </c>
      <c r="I133" t="s">
        <v>1176</v>
      </c>
      <c r="J133" t="s">
        <v>1431</v>
      </c>
      <c r="K133" t="s">
        <v>1540</v>
      </c>
      <c r="L133" t="s">
        <v>1591</v>
      </c>
      <c r="M133" t="s">
        <v>1620</v>
      </c>
      <c r="N133">
        <v>41560</v>
      </c>
      <c r="O133">
        <v>41245</v>
      </c>
      <c r="P133" t="s">
        <v>1622</v>
      </c>
      <c r="Q133" t="s">
        <v>1627</v>
      </c>
      <c r="R133">
        <v>3.4</v>
      </c>
    </row>
    <row r="134" spans="1:18" x14ac:dyDescent="0.35">
      <c r="A134" t="s">
        <v>150</v>
      </c>
      <c r="B134" t="s">
        <v>451</v>
      </c>
      <c r="C134" t="s">
        <v>755</v>
      </c>
      <c r="D134" t="s">
        <v>1027</v>
      </c>
      <c r="E134" t="s">
        <v>1032</v>
      </c>
      <c r="F134" t="s">
        <v>1038</v>
      </c>
      <c r="G134" t="s">
        <v>1044</v>
      </c>
      <c r="H134" t="s">
        <v>1052</v>
      </c>
      <c r="I134" t="s">
        <v>1177</v>
      </c>
      <c r="J134" t="s">
        <v>1432</v>
      </c>
      <c r="K134" t="s">
        <v>1541</v>
      </c>
      <c r="L134" t="s">
        <v>1592</v>
      </c>
      <c r="M134" t="s">
        <v>1620</v>
      </c>
      <c r="N134">
        <v>47828</v>
      </c>
      <c r="O134">
        <v>51807</v>
      </c>
      <c r="P134" t="s">
        <v>1624</v>
      </c>
      <c r="Q134" t="s">
        <v>1626</v>
      </c>
    </row>
    <row r="135" spans="1:18" x14ac:dyDescent="0.35">
      <c r="A135" t="s">
        <v>151</v>
      </c>
      <c r="B135" t="s">
        <v>421</v>
      </c>
      <c r="C135" t="s">
        <v>756</v>
      </c>
      <c r="D135" t="s">
        <v>1022</v>
      </c>
      <c r="E135" t="s">
        <v>1030</v>
      </c>
      <c r="F135" t="s">
        <v>1037</v>
      </c>
      <c r="G135" t="s">
        <v>1042</v>
      </c>
      <c r="H135" t="s">
        <v>1046</v>
      </c>
      <c r="I135" t="s">
        <v>1178</v>
      </c>
      <c r="M135" t="s">
        <v>1616</v>
      </c>
      <c r="N135">
        <v>44515</v>
      </c>
      <c r="P135" t="s">
        <v>1621</v>
      </c>
      <c r="Q135" t="s">
        <v>1626</v>
      </c>
      <c r="R135">
        <v>3.1</v>
      </c>
    </row>
    <row r="136" spans="1:18" x14ac:dyDescent="0.35">
      <c r="A136" t="s">
        <v>152</v>
      </c>
      <c r="B136" t="s">
        <v>438</v>
      </c>
      <c r="C136" t="s">
        <v>757</v>
      </c>
      <c r="D136" t="s">
        <v>1027</v>
      </c>
      <c r="E136" t="s">
        <v>1032</v>
      </c>
      <c r="F136" t="s">
        <v>1036</v>
      </c>
      <c r="G136" t="s">
        <v>1045</v>
      </c>
      <c r="H136" t="s">
        <v>1046</v>
      </c>
      <c r="I136" t="s">
        <v>1179</v>
      </c>
      <c r="M136" t="s">
        <v>1616</v>
      </c>
      <c r="N136">
        <v>32620</v>
      </c>
      <c r="P136" t="s">
        <v>1624</v>
      </c>
      <c r="Q136" t="s">
        <v>1626</v>
      </c>
    </row>
    <row r="137" spans="1:18" x14ac:dyDescent="0.35">
      <c r="A137" t="s">
        <v>153</v>
      </c>
      <c r="B137" t="s">
        <v>472</v>
      </c>
      <c r="C137" t="s">
        <v>758</v>
      </c>
      <c r="D137" t="s">
        <v>1023</v>
      </c>
      <c r="E137" t="s">
        <v>1032</v>
      </c>
      <c r="F137" t="s">
        <v>1038</v>
      </c>
      <c r="G137" t="s">
        <v>1042</v>
      </c>
      <c r="H137" t="s">
        <v>1047</v>
      </c>
      <c r="I137" t="s">
        <v>1180</v>
      </c>
      <c r="J137" t="s">
        <v>1433</v>
      </c>
      <c r="K137" t="s">
        <v>1542</v>
      </c>
      <c r="M137" t="s">
        <v>1618</v>
      </c>
      <c r="N137">
        <v>40444</v>
      </c>
      <c r="O137">
        <v>41387</v>
      </c>
      <c r="P137" t="s">
        <v>1624</v>
      </c>
      <c r="Q137" t="s">
        <v>1626</v>
      </c>
      <c r="R137">
        <v>4.5999999999999996</v>
      </c>
    </row>
    <row r="138" spans="1:18" x14ac:dyDescent="0.35">
      <c r="A138" t="s">
        <v>154</v>
      </c>
      <c r="B138" t="s">
        <v>457</v>
      </c>
      <c r="C138" t="s">
        <v>759</v>
      </c>
      <c r="D138" t="s">
        <v>1027</v>
      </c>
      <c r="E138" t="s">
        <v>1028</v>
      </c>
      <c r="F138" t="s">
        <v>1037</v>
      </c>
      <c r="G138" t="s">
        <v>1041</v>
      </c>
      <c r="H138" t="s">
        <v>1046</v>
      </c>
      <c r="I138" t="s">
        <v>1114</v>
      </c>
      <c r="M138" t="s">
        <v>1616</v>
      </c>
      <c r="N138">
        <v>31564</v>
      </c>
      <c r="P138" t="s">
        <v>1624</v>
      </c>
      <c r="Q138" t="s">
        <v>1628</v>
      </c>
      <c r="R138">
        <v>3.4</v>
      </c>
    </row>
    <row r="139" spans="1:18" x14ac:dyDescent="0.35">
      <c r="A139" t="s">
        <v>155</v>
      </c>
      <c r="B139" t="s">
        <v>527</v>
      </c>
      <c r="C139" t="s">
        <v>760</v>
      </c>
      <c r="D139" t="s">
        <v>1027</v>
      </c>
      <c r="E139" t="s">
        <v>1029</v>
      </c>
      <c r="F139" t="s">
        <v>1040</v>
      </c>
      <c r="G139" t="s">
        <v>1045</v>
      </c>
      <c r="H139" t="s">
        <v>1050</v>
      </c>
      <c r="I139" t="s">
        <v>1181</v>
      </c>
      <c r="M139" t="s">
        <v>1619</v>
      </c>
      <c r="N139">
        <v>44997</v>
      </c>
      <c r="P139" t="s">
        <v>1625</v>
      </c>
      <c r="Q139" t="s">
        <v>1627</v>
      </c>
      <c r="R139">
        <v>3.5</v>
      </c>
    </row>
    <row r="140" spans="1:18" x14ac:dyDescent="0.35">
      <c r="A140" t="s">
        <v>156</v>
      </c>
      <c r="B140" t="s">
        <v>508</v>
      </c>
      <c r="C140" t="s">
        <v>761</v>
      </c>
      <c r="D140" t="s">
        <v>1023</v>
      </c>
      <c r="E140" t="s">
        <v>1029</v>
      </c>
      <c r="F140" t="s">
        <v>1036</v>
      </c>
      <c r="G140" t="s">
        <v>1043</v>
      </c>
      <c r="H140" t="s">
        <v>1052</v>
      </c>
      <c r="I140" t="s">
        <v>1182</v>
      </c>
      <c r="M140" t="s">
        <v>1616</v>
      </c>
      <c r="N140">
        <v>51982</v>
      </c>
      <c r="P140" t="s">
        <v>1621</v>
      </c>
      <c r="Q140" t="s">
        <v>1626</v>
      </c>
      <c r="R140">
        <v>3.4</v>
      </c>
    </row>
    <row r="141" spans="1:18" x14ac:dyDescent="0.35">
      <c r="A141" t="s">
        <v>157</v>
      </c>
      <c r="B141" t="s">
        <v>528</v>
      </c>
      <c r="C141" t="s">
        <v>762</v>
      </c>
      <c r="D141" t="s">
        <v>1027</v>
      </c>
      <c r="E141" t="s">
        <v>1029</v>
      </c>
      <c r="F141" t="s">
        <v>1037</v>
      </c>
      <c r="G141" t="s">
        <v>1044</v>
      </c>
      <c r="H141" t="s">
        <v>1049</v>
      </c>
      <c r="I141" t="s">
        <v>1183</v>
      </c>
      <c r="M141" t="s">
        <v>1619</v>
      </c>
      <c r="N141">
        <v>30515</v>
      </c>
      <c r="P141" t="s">
        <v>1621</v>
      </c>
      <c r="Q141" t="s">
        <v>1626</v>
      </c>
      <c r="R141">
        <v>3</v>
      </c>
    </row>
    <row r="142" spans="1:18" x14ac:dyDescent="0.35">
      <c r="A142" t="s">
        <v>158</v>
      </c>
      <c r="B142" t="s">
        <v>437</v>
      </c>
      <c r="C142" t="s">
        <v>763</v>
      </c>
      <c r="D142" t="s">
        <v>1024</v>
      </c>
      <c r="E142" t="s">
        <v>1032</v>
      </c>
      <c r="F142" t="s">
        <v>1035</v>
      </c>
      <c r="G142" t="s">
        <v>1045</v>
      </c>
      <c r="H142" t="s">
        <v>1050</v>
      </c>
      <c r="I142" t="s">
        <v>1184</v>
      </c>
      <c r="M142" t="s">
        <v>1619</v>
      </c>
      <c r="N142">
        <v>43608</v>
      </c>
      <c r="P142" t="s">
        <v>1622</v>
      </c>
      <c r="Q142" t="s">
        <v>1626</v>
      </c>
      <c r="R142">
        <v>4.9000000000000004</v>
      </c>
    </row>
    <row r="143" spans="1:18" x14ac:dyDescent="0.35">
      <c r="A143" t="s">
        <v>159</v>
      </c>
      <c r="B143" t="s">
        <v>529</v>
      </c>
      <c r="C143" t="s">
        <v>764</v>
      </c>
      <c r="D143" t="s">
        <v>1023</v>
      </c>
      <c r="E143" t="s">
        <v>1032</v>
      </c>
      <c r="F143" t="s">
        <v>1040</v>
      </c>
      <c r="G143" t="s">
        <v>1041</v>
      </c>
      <c r="H143" t="s">
        <v>1052</v>
      </c>
      <c r="I143" t="s">
        <v>1185</v>
      </c>
      <c r="J143" t="s">
        <v>1434</v>
      </c>
      <c r="M143" t="s">
        <v>1615</v>
      </c>
      <c r="N143">
        <v>34992</v>
      </c>
      <c r="P143" t="s">
        <v>1621</v>
      </c>
      <c r="Q143" t="s">
        <v>1626</v>
      </c>
      <c r="R143">
        <v>2.4</v>
      </c>
    </row>
    <row r="144" spans="1:18" x14ac:dyDescent="0.35">
      <c r="A144" t="s">
        <v>160</v>
      </c>
      <c r="B144" t="s">
        <v>447</v>
      </c>
      <c r="C144" t="s">
        <v>765</v>
      </c>
      <c r="D144" t="s">
        <v>1024</v>
      </c>
      <c r="E144" t="s">
        <v>1029</v>
      </c>
      <c r="F144" t="s">
        <v>1036</v>
      </c>
      <c r="G144" t="s">
        <v>1045</v>
      </c>
      <c r="H144" t="s">
        <v>1047</v>
      </c>
      <c r="I144" t="s">
        <v>1186</v>
      </c>
      <c r="J144" t="s">
        <v>1435</v>
      </c>
      <c r="M144" t="s">
        <v>1615</v>
      </c>
      <c r="N144">
        <v>31037</v>
      </c>
      <c r="P144" t="s">
        <v>1625</v>
      </c>
      <c r="Q144" t="s">
        <v>1627</v>
      </c>
      <c r="R144">
        <v>3.5</v>
      </c>
    </row>
    <row r="145" spans="1:18" x14ac:dyDescent="0.35">
      <c r="A145" t="s">
        <v>161</v>
      </c>
      <c r="B145" t="s">
        <v>530</v>
      </c>
      <c r="C145" t="s">
        <v>766</v>
      </c>
      <c r="D145" t="s">
        <v>1022</v>
      </c>
      <c r="E145" t="s">
        <v>1029</v>
      </c>
      <c r="F145" t="s">
        <v>1034</v>
      </c>
      <c r="G145" t="s">
        <v>1045</v>
      </c>
      <c r="H145" t="s">
        <v>1047</v>
      </c>
      <c r="I145" t="s">
        <v>1187</v>
      </c>
      <c r="J145" t="s">
        <v>1436</v>
      </c>
      <c r="K145" t="s">
        <v>1543</v>
      </c>
      <c r="L145" t="s">
        <v>1593</v>
      </c>
      <c r="M145" t="s">
        <v>1620</v>
      </c>
      <c r="N145">
        <v>47971</v>
      </c>
      <c r="O145">
        <v>49277</v>
      </c>
      <c r="P145" t="s">
        <v>1623</v>
      </c>
      <c r="Q145" t="s">
        <v>1626</v>
      </c>
      <c r="R145">
        <v>3</v>
      </c>
    </row>
    <row r="146" spans="1:18" x14ac:dyDescent="0.35">
      <c r="A146" t="s">
        <v>162</v>
      </c>
      <c r="B146" t="s">
        <v>531</v>
      </c>
      <c r="C146" t="s">
        <v>767</v>
      </c>
      <c r="D146" t="s">
        <v>1022</v>
      </c>
      <c r="E146" t="s">
        <v>1028</v>
      </c>
      <c r="F146" t="s">
        <v>1039</v>
      </c>
      <c r="G146" t="s">
        <v>1044</v>
      </c>
      <c r="H146" t="s">
        <v>1047</v>
      </c>
      <c r="I146" t="s">
        <v>1163</v>
      </c>
      <c r="J146" t="s">
        <v>1437</v>
      </c>
      <c r="K146" t="s">
        <v>1544</v>
      </c>
      <c r="L146" t="s">
        <v>1594</v>
      </c>
      <c r="M146" t="s">
        <v>1620</v>
      </c>
      <c r="N146">
        <v>35185</v>
      </c>
      <c r="O146">
        <v>33053</v>
      </c>
      <c r="P146" t="s">
        <v>1624</v>
      </c>
      <c r="Q146" t="s">
        <v>1628</v>
      </c>
    </row>
    <row r="147" spans="1:18" x14ac:dyDescent="0.35">
      <c r="A147" t="s">
        <v>163</v>
      </c>
      <c r="B147" t="s">
        <v>532</v>
      </c>
      <c r="C147" t="s">
        <v>768</v>
      </c>
      <c r="D147" t="s">
        <v>1022</v>
      </c>
      <c r="E147" t="s">
        <v>1032</v>
      </c>
      <c r="F147" t="s">
        <v>1034</v>
      </c>
      <c r="G147" t="s">
        <v>1045</v>
      </c>
      <c r="H147" t="s">
        <v>1046</v>
      </c>
      <c r="I147" t="s">
        <v>1160</v>
      </c>
      <c r="J147" t="s">
        <v>1438</v>
      </c>
      <c r="M147" t="s">
        <v>1615</v>
      </c>
      <c r="N147">
        <v>39266</v>
      </c>
      <c r="P147" t="s">
        <v>1621</v>
      </c>
      <c r="Q147" t="s">
        <v>1627</v>
      </c>
      <c r="R147">
        <v>2.8</v>
      </c>
    </row>
    <row r="148" spans="1:18" x14ac:dyDescent="0.35">
      <c r="A148" t="s">
        <v>164</v>
      </c>
      <c r="B148" t="s">
        <v>533</v>
      </c>
      <c r="C148" t="s">
        <v>769</v>
      </c>
      <c r="D148" t="s">
        <v>1022</v>
      </c>
      <c r="E148" t="s">
        <v>1031</v>
      </c>
      <c r="F148" t="s">
        <v>1036</v>
      </c>
      <c r="G148" t="s">
        <v>1045</v>
      </c>
      <c r="H148" t="s">
        <v>1046</v>
      </c>
      <c r="I148" t="s">
        <v>1188</v>
      </c>
      <c r="M148" t="s">
        <v>1616</v>
      </c>
      <c r="N148">
        <v>28126</v>
      </c>
      <c r="P148" t="s">
        <v>1623</v>
      </c>
      <c r="Q148" t="s">
        <v>1627</v>
      </c>
      <c r="R148">
        <v>3.5</v>
      </c>
    </row>
    <row r="149" spans="1:18" x14ac:dyDescent="0.35">
      <c r="A149" t="s">
        <v>165</v>
      </c>
      <c r="B149" t="s">
        <v>452</v>
      </c>
      <c r="C149" t="s">
        <v>770</v>
      </c>
      <c r="D149" t="s">
        <v>1023</v>
      </c>
      <c r="E149" t="s">
        <v>1032</v>
      </c>
      <c r="F149" t="s">
        <v>1036</v>
      </c>
      <c r="G149" t="s">
        <v>1041</v>
      </c>
      <c r="H149" t="s">
        <v>1047</v>
      </c>
      <c r="I149" t="s">
        <v>1189</v>
      </c>
      <c r="M149" t="s">
        <v>1617</v>
      </c>
      <c r="N149">
        <v>33089</v>
      </c>
      <c r="P149" t="s">
        <v>1624</v>
      </c>
      <c r="Q149" t="s">
        <v>1627</v>
      </c>
      <c r="R149">
        <v>2.9</v>
      </c>
    </row>
    <row r="150" spans="1:18" x14ac:dyDescent="0.35">
      <c r="A150" t="s">
        <v>166</v>
      </c>
      <c r="B150" t="s">
        <v>534</v>
      </c>
      <c r="C150" t="s">
        <v>771</v>
      </c>
      <c r="D150" t="s">
        <v>1025</v>
      </c>
      <c r="E150" t="s">
        <v>1032</v>
      </c>
      <c r="F150" t="s">
        <v>1037</v>
      </c>
      <c r="G150" t="s">
        <v>1042</v>
      </c>
      <c r="H150" t="s">
        <v>1046</v>
      </c>
      <c r="I150" t="s">
        <v>1190</v>
      </c>
      <c r="J150" t="s">
        <v>1439</v>
      </c>
      <c r="M150" t="s">
        <v>1615</v>
      </c>
      <c r="N150">
        <v>48863</v>
      </c>
      <c r="P150" t="s">
        <v>1621</v>
      </c>
      <c r="Q150" t="s">
        <v>1628</v>
      </c>
      <c r="R150">
        <v>3.1</v>
      </c>
    </row>
    <row r="151" spans="1:18" x14ac:dyDescent="0.35">
      <c r="A151" t="s">
        <v>167</v>
      </c>
      <c r="B151" t="s">
        <v>535</v>
      </c>
      <c r="C151" t="s">
        <v>772</v>
      </c>
      <c r="D151" t="s">
        <v>1025</v>
      </c>
      <c r="E151" t="s">
        <v>1030</v>
      </c>
      <c r="F151" t="s">
        <v>1038</v>
      </c>
      <c r="G151" t="s">
        <v>1045</v>
      </c>
      <c r="H151" t="s">
        <v>1050</v>
      </c>
      <c r="I151" t="s">
        <v>1191</v>
      </c>
      <c r="M151" t="s">
        <v>1619</v>
      </c>
      <c r="N151">
        <v>49201</v>
      </c>
      <c r="P151" t="s">
        <v>1621</v>
      </c>
      <c r="Q151" t="s">
        <v>1626</v>
      </c>
      <c r="R151">
        <v>4.0999999999999996</v>
      </c>
    </row>
    <row r="152" spans="1:18" x14ac:dyDescent="0.35">
      <c r="A152" t="s">
        <v>168</v>
      </c>
      <c r="B152" t="s">
        <v>428</v>
      </c>
      <c r="C152" t="s">
        <v>773</v>
      </c>
      <c r="D152" t="s">
        <v>1023</v>
      </c>
      <c r="E152" t="s">
        <v>1029</v>
      </c>
      <c r="F152" t="s">
        <v>1033</v>
      </c>
      <c r="G152" t="s">
        <v>1041</v>
      </c>
      <c r="H152" t="s">
        <v>1052</v>
      </c>
      <c r="I152" t="s">
        <v>1192</v>
      </c>
      <c r="J152" t="s">
        <v>1178</v>
      </c>
      <c r="M152" t="s">
        <v>1615</v>
      </c>
      <c r="N152">
        <v>47410</v>
      </c>
      <c r="P152" t="s">
        <v>1623</v>
      </c>
      <c r="Q152" t="s">
        <v>1627</v>
      </c>
      <c r="R152">
        <v>4.3</v>
      </c>
    </row>
    <row r="153" spans="1:18" x14ac:dyDescent="0.35">
      <c r="A153" t="s">
        <v>169</v>
      </c>
      <c r="B153" t="s">
        <v>536</v>
      </c>
      <c r="C153" t="s">
        <v>774</v>
      </c>
      <c r="D153" t="s">
        <v>1027</v>
      </c>
      <c r="E153" t="s">
        <v>1028</v>
      </c>
      <c r="F153" t="s">
        <v>1040</v>
      </c>
      <c r="G153" t="s">
        <v>1041</v>
      </c>
      <c r="H153" t="s">
        <v>1047</v>
      </c>
      <c r="I153" t="s">
        <v>1193</v>
      </c>
      <c r="M153" t="s">
        <v>1616</v>
      </c>
      <c r="N153">
        <v>33803</v>
      </c>
      <c r="P153" t="s">
        <v>1624</v>
      </c>
      <c r="Q153" t="s">
        <v>1627</v>
      </c>
      <c r="R153">
        <v>3.8</v>
      </c>
    </row>
    <row r="154" spans="1:18" x14ac:dyDescent="0.35">
      <c r="A154" t="s">
        <v>170</v>
      </c>
      <c r="B154" t="s">
        <v>537</v>
      </c>
      <c r="C154" t="s">
        <v>775</v>
      </c>
      <c r="D154" t="s">
        <v>1025</v>
      </c>
      <c r="E154" t="s">
        <v>1030</v>
      </c>
      <c r="F154" t="s">
        <v>1040</v>
      </c>
      <c r="G154" t="s">
        <v>1045</v>
      </c>
      <c r="H154" t="s">
        <v>1046</v>
      </c>
      <c r="I154" t="s">
        <v>1194</v>
      </c>
      <c r="J154" t="s">
        <v>1440</v>
      </c>
      <c r="K154" t="s">
        <v>1376</v>
      </c>
      <c r="M154" t="s">
        <v>1618</v>
      </c>
      <c r="N154">
        <v>34822</v>
      </c>
      <c r="O154">
        <v>36720</v>
      </c>
      <c r="P154" t="s">
        <v>1622</v>
      </c>
      <c r="Q154" t="s">
        <v>1628</v>
      </c>
      <c r="R154">
        <v>3.8</v>
      </c>
    </row>
    <row r="155" spans="1:18" x14ac:dyDescent="0.35">
      <c r="A155" t="s">
        <v>171</v>
      </c>
      <c r="B155" t="s">
        <v>538</v>
      </c>
      <c r="C155" t="s">
        <v>776</v>
      </c>
      <c r="D155" t="s">
        <v>1022</v>
      </c>
      <c r="E155" t="s">
        <v>1032</v>
      </c>
      <c r="F155" t="s">
        <v>1033</v>
      </c>
      <c r="G155" t="s">
        <v>1044</v>
      </c>
      <c r="H155" t="s">
        <v>1051</v>
      </c>
      <c r="I155" t="s">
        <v>1195</v>
      </c>
      <c r="J155" t="s">
        <v>1441</v>
      </c>
      <c r="M155" t="s">
        <v>1615</v>
      </c>
      <c r="N155">
        <v>29854</v>
      </c>
      <c r="P155" t="s">
        <v>1624</v>
      </c>
      <c r="Q155" t="s">
        <v>1628</v>
      </c>
      <c r="R155">
        <v>5</v>
      </c>
    </row>
    <row r="156" spans="1:18" x14ac:dyDescent="0.35">
      <c r="A156" t="s">
        <v>172</v>
      </c>
      <c r="B156" t="s">
        <v>539</v>
      </c>
      <c r="C156" t="s">
        <v>777</v>
      </c>
      <c r="D156" t="s">
        <v>1022</v>
      </c>
      <c r="E156" t="s">
        <v>1029</v>
      </c>
      <c r="F156" t="s">
        <v>1040</v>
      </c>
      <c r="G156" t="s">
        <v>1043</v>
      </c>
      <c r="H156" t="s">
        <v>1051</v>
      </c>
      <c r="I156" t="s">
        <v>1196</v>
      </c>
      <c r="J156" t="s">
        <v>1442</v>
      </c>
      <c r="M156" t="s">
        <v>1615</v>
      </c>
      <c r="N156">
        <v>51869</v>
      </c>
      <c r="P156" t="s">
        <v>1624</v>
      </c>
      <c r="Q156" t="s">
        <v>1626</v>
      </c>
      <c r="R156">
        <v>2.8</v>
      </c>
    </row>
    <row r="157" spans="1:18" x14ac:dyDescent="0.35">
      <c r="A157" t="s">
        <v>173</v>
      </c>
      <c r="B157" t="s">
        <v>540</v>
      </c>
      <c r="C157" t="s">
        <v>778</v>
      </c>
      <c r="D157" t="s">
        <v>1024</v>
      </c>
      <c r="E157" t="s">
        <v>1029</v>
      </c>
      <c r="F157" t="s">
        <v>1040</v>
      </c>
      <c r="G157" t="s">
        <v>1041</v>
      </c>
      <c r="H157" t="s">
        <v>1048</v>
      </c>
      <c r="I157" t="s">
        <v>1197</v>
      </c>
      <c r="M157" t="s">
        <v>1619</v>
      </c>
      <c r="N157">
        <v>32470</v>
      </c>
      <c r="P157" t="s">
        <v>1624</v>
      </c>
      <c r="Q157" t="s">
        <v>1627</v>
      </c>
      <c r="R157">
        <v>2.7</v>
      </c>
    </row>
    <row r="158" spans="1:18" x14ac:dyDescent="0.35">
      <c r="A158" t="s">
        <v>174</v>
      </c>
      <c r="B158" t="s">
        <v>541</v>
      </c>
      <c r="C158" t="s">
        <v>779</v>
      </c>
      <c r="D158" t="s">
        <v>1027</v>
      </c>
      <c r="E158" t="s">
        <v>1029</v>
      </c>
      <c r="F158" t="s">
        <v>1038</v>
      </c>
      <c r="G158" t="s">
        <v>1042</v>
      </c>
      <c r="H158" t="s">
        <v>1047</v>
      </c>
      <c r="I158" t="s">
        <v>1198</v>
      </c>
      <c r="M158" t="s">
        <v>1619</v>
      </c>
      <c r="N158">
        <v>37524</v>
      </c>
      <c r="P158" t="s">
        <v>1621</v>
      </c>
      <c r="Q158" t="s">
        <v>1628</v>
      </c>
      <c r="R158">
        <v>4</v>
      </c>
    </row>
    <row r="159" spans="1:18" x14ac:dyDescent="0.35">
      <c r="A159" t="s">
        <v>175</v>
      </c>
      <c r="B159" t="s">
        <v>448</v>
      </c>
      <c r="C159" t="s">
        <v>780</v>
      </c>
      <c r="D159" t="s">
        <v>1025</v>
      </c>
      <c r="E159" t="s">
        <v>1032</v>
      </c>
      <c r="F159" t="s">
        <v>1039</v>
      </c>
      <c r="G159" t="s">
        <v>1043</v>
      </c>
      <c r="H159" t="s">
        <v>1051</v>
      </c>
      <c r="I159" t="s">
        <v>1199</v>
      </c>
      <c r="M159" t="s">
        <v>1616</v>
      </c>
      <c r="N159">
        <v>36407</v>
      </c>
      <c r="P159" t="s">
        <v>1624</v>
      </c>
      <c r="Q159" t="s">
        <v>1628</v>
      </c>
      <c r="R159">
        <v>4.7</v>
      </c>
    </row>
    <row r="160" spans="1:18" x14ac:dyDescent="0.35">
      <c r="A160" t="s">
        <v>176</v>
      </c>
      <c r="B160" t="s">
        <v>542</v>
      </c>
      <c r="C160" t="s">
        <v>781</v>
      </c>
      <c r="D160" t="s">
        <v>1023</v>
      </c>
      <c r="E160" t="s">
        <v>1029</v>
      </c>
      <c r="F160" t="s">
        <v>1038</v>
      </c>
      <c r="G160" t="s">
        <v>1043</v>
      </c>
      <c r="H160" t="s">
        <v>1047</v>
      </c>
      <c r="I160" t="s">
        <v>1200</v>
      </c>
      <c r="M160" t="s">
        <v>1616</v>
      </c>
      <c r="N160">
        <v>41795</v>
      </c>
      <c r="P160" t="s">
        <v>1625</v>
      </c>
      <c r="Q160" t="s">
        <v>1627</v>
      </c>
      <c r="R160">
        <v>4.7</v>
      </c>
    </row>
    <row r="161" spans="1:18" x14ac:dyDescent="0.35">
      <c r="A161" t="s">
        <v>177</v>
      </c>
      <c r="B161" t="s">
        <v>439</v>
      </c>
      <c r="C161" t="s">
        <v>782</v>
      </c>
      <c r="D161" t="s">
        <v>1025</v>
      </c>
      <c r="E161" t="s">
        <v>1029</v>
      </c>
      <c r="F161" t="s">
        <v>1034</v>
      </c>
      <c r="G161" t="s">
        <v>1045</v>
      </c>
      <c r="H161" t="s">
        <v>1046</v>
      </c>
      <c r="I161" t="s">
        <v>1138</v>
      </c>
      <c r="J161" t="s">
        <v>1443</v>
      </c>
      <c r="K161" t="s">
        <v>1135</v>
      </c>
      <c r="L161" t="s">
        <v>1595</v>
      </c>
      <c r="M161" t="s">
        <v>1620</v>
      </c>
      <c r="N161">
        <v>38506</v>
      </c>
      <c r="O161">
        <v>41622</v>
      </c>
      <c r="P161" t="s">
        <v>1622</v>
      </c>
      <c r="Q161" t="s">
        <v>1628</v>
      </c>
      <c r="R161">
        <v>3.8</v>
      </c>
    </row>
    <row r="162" spans="1:18" x14ac:dyDescent="0.35">
      <c r="A162" t="s">
        <v>178</v>
      </c>
      <c r="B162" t="s">
        <v>492</v>
      </c>
      <c r="C162" t="s">
        <v>783</v>
      </c>
      <c r="D162" t="s">
        <v>1025</v>
      </c>
      <c r="E162" t="s">
        <v>1029</v>
      </c>
      <c r="F162" t="s">
        <v>1034</v>
      </c>
      <c r="G162" t="s">
        <v>1041</v>
      </c>
      <c r="H162" t="s">
        <v>1048</v>
      </c>
      <c r="I162" t="s">
        <v>1201</v>
      </c>
      <c r="M162" t="s">
        <v>1616</v>
      </c>
      <c r="N162">
        <v>29896</v>
      </c>
      <c r="P162" t="s">
        <v>1624</v>
      </c>
      <c r="Q162" t="s">
        <v>1626</v>
      </c>
      <c r="R162">
        <v>3.2</v>
      </c>
    </row>
    <row r="163" spans="1:18" x14ac:dyDescent="0.35">
      <c r="A163" t="s">
        <v>179</v>
      </c>
      <c r="B163" t="s">
        <v>543</v>
      </c>
      <c r="C163" t="s">
        <v>784</v>
      </c>
      <c r="D163" t="s">
        <v>1023</v>
      </c>
      <c r="E163" t="s">
        <v>1032</v>
      </c>
      <c r="F163" t="s">
        <v>1039</v>
      </c>
      <c r="G163" t="s">
        <v>1042</v>
      </c>
      <c r="H163" t="s">
        <v>1052</v>
      </c>
      <c r="I163" t="s">
        <v>1174</v>
      </c>
      <c r="M163" t="s">
        <v>1616</v>
      </c>
      <c r="N163">
        <v>37535</v>
      </c>
      <c r="P163" t="s">
        <v>1625</v>
      </c>
      <c r="Q163" t="s">
        <v>1626</v>
      </c>
      <c r="R163">
        <v>4.7</v>
      </c>
    </row>
    <row r="164" spans="1:18" x14ac:dyDescent="0.35">
      <c r="A164" t="s">
        <v>180</v>
      </c>
      <c r="B164" t="s">
        <v>544</v>
      </c>
      <c r="C164" t="s">
        <v>785</v>
      </c>
      <c r="D164" t="s">
        <v>1024</v>
      </c>
      <c r="E164" t="s">
        <v>1029</v>
      </c>
      <c r="F164" t="s">
        <v>1035</v>
      </c>
      <c r="G164" t="s">
        <v>1043</v>
      </c>
      <c r="H164" t="s">
        <v>1052</v>
      </c>
      <c r="I164" t="s">
        <v>1125</v>
      </c>
      <c r="J164" t="s">
        <v>1200</v>
      </c>
      <c r="K164" t="s">
        <v>1545</v>
      </c>
      <c r="L164" t="s">
        <v>1596</v>
      </c>
      <c r="M164" t="s">
        <v>1620</v>
      </c>
      <c r="N164">
        <v>38300</v>
      </c>
      <c r="O164">
        <v>41107</v>
      </c>
      <c r="P164" t="s">
        <v>1622</v>
      </c>
      <c r="Q164" t="s">
        <v>1628</v>
      </c>
      <c r="R164">
        <v>4.9000000000000004</v>
      </c>
    </row>
    <row r="165" spans="1:18" x14ac:dyDescent="0.35">
      <c r="A165" t="s">
        <v>181</v>
      </c>
      <c r="B165" t="s">
        <v>470</v>
      </c>
      <c r="C165" t="s">
        <v>786</v>
      </c>
      <c r="D165" t="s">
        <v>1025</v>
      </c>
      <c r="E165" t="s">
        <v>1028</v>
      </c>
      <c r="F165" t="s">
        <v>1034</v>
      </c>
      <c r="G165" t="s">
        <v>1045</v>
      </c>
      <c r="H165" t="s">
        <v>1047</v>
      </c>
      <c r="I165" t="s">
        <v>1202</v>
      </c>
      <c r="M165" t="s">
        <v>1616</v>
      </c>
      <c r="N165">
        <v>36124</v>
      </c>
      <c r="P165" t="s">
        <v>1621</v>
      </c>
      <c r="Q165" t="s">
        <v>1626</v>
      </c>
      <c r="R165">
        <v>4.3</v>
      </c>
    </row>
    <row r="166" spans="1:18" x14ac:dyDescent="0.35">
      <c r="A166" t="s">
        <v>182</v>
      </c>
      <c r="B166" t="s">
        <v>545</v>
      </c>
      <c r="C166" t="s">
        <v>787</v>
      </c>
      <c r="D166" t="s">
        <v>1027</v>
      </c>
      <c r="E166" t="s">
        <v>1030</v>
      </c>
      <c r="F166" t="s">
        <v>1034</v>
      </c>
      <c r="G166" t="s">
        <v>1041</v>
      </c>
      <c r="H166" t="s">
        <v>1047</v>
      </c>
      <c r="I166" t="s">
        <v>1203</v>
      </c>
      <c r="J166" t="s">
        <v>1444</v>
      </c>
      <c r="M166" t="s">
        <v>1615</v>
      </c>
      <c r="N166">
        <v>33339</v>
      </c>
      <c r="P166" t="s">
        <v>1624</v>
      </c>
      <c r="Q166" t="s">
        <v>1628</v>
      </c>
      <c r="R166">
        <v>4.5999999999999996</v>
      </c>
    </row>
    <row r="167" spans="1:18" x14ac:dyDescent="0.35">
      <c r="A167" t="s">
        <v>183</v>
      </c>
      <c r="B167" t="s">
        <v>546</v>
      </c>
      <c r="C167" t="s">
        <v>788</v>
      </c>
      <c r="D167" t="s">
        <v>1024</v>
      </c>
      <c r="E167" t="s">
        <v>1031</v>
      </c>
      <c r="F167" t="s">
        <v>1036</v>
      </c>
      <c r="G167" t="s">
        <v>1041</v>
      </c>
      <c r="H167" t="s">
        <v>1047</v>
      </c>
      <c r="I167" t="s">
        <v>1115</v>
      </c>
      <c r="J167" t="s">
        <v>1093</v>
      </c>
      <c r="K167" t="s">
        <v>1435</v>
      </c>
      <c r="L167" t="s">
        <v>1597</v>
      </c>
      <c r="M167" t="s">
        <v>1620</v>
      </c>
      <c r="N167">
        <v>38163</v>
      </c>
      <c r="O167">
        <v>36462</v>
      </c>
      <c r="P167" t="s">
        <v>1621</v>
      </c>
      <c r="Q167" t="s">
        <v>1626</v>
      </c>
      <c r="R167">
        <v>3.6</v>
      </c>
    </row>
    <row r="168" spans="1:18" x14ac:dyDescent="0.35">
      <c r="A168" t="s">
        <v>184</v>
      </c>
      <c r="B168" t="s">
        <v>547</v>
      </c>
      <c r="C168" t="s">
        <v>789</v>
      </c>
      <c r="D168" t="s">
        <v>1027</v>
      </c>
      <c r="E168" t="s">
        <v>1029</v>
      </c>
      <c r="F168" t="s">
        <v>1039</v>
      </c>
      <c r="G168" t="s">
        <v>1045</v>
      </c>
      <c r="H168" t="s">
        <v>1052</v>
      </c>
      <c r="I168" t="s">
        <v>1204</v>
      </c>
      <c r="M168" t="s">
        <v>1619</v>
      </c>
      <c r="N168">
        <v>47050</v>
      </c>
      <c r="P168" t="s">
        <v>1625</v>
      </c>
      <c r="Q168" t="s">
        <v>1626</v>
      </c>
      <c r="R168">
        <v>4</v>
      </c>
    </row>
    <row r="169" spans="1:18" x14ac:dyDescent="0.35">
      <c r="A169" t="s">
        <v>185</v>
      </c>
      <c r="B169" t="s">
        <v>546</v>
      </c>
      <c r="C169" t="s">
        <v>790</v>
      </c>
      <c r="D169" t="s">
        <v>1024</v>
      </c>
      <c r="E169" t="s">
        <v>1032</v>
      </c>
      <c r="F169" t="s">
        <v>1039</v>
      </c>
      <c r="G169" t="s">
        <v>1041</v>
      </c>
      <c r="H169" t="s">
        <v>1047</v>
      </c>
      <c r="I169" t="s">
        <v>1205</v>
      </c>
      <c r="J169" t="s">
        <v>1445</v>
      </c>
      <c r="K169" t="s">
        <v>1546</v>
      </c>
      <c r="L169" t="s">
        <v>1598</v>
      </c>
      <c r="M169" t="s">
        <v>1620</v>
      </c>
      <c r="N169">
        <v>31567</v>
      </c>
      <c r="O169">
        <v>35288</v>
      </c>
      <c r="P169" t="s">
        <v>1625</v>
      </c>
      <c r="Q169" t="s">
        <v>1626</v>
      </c>
      <c r="R169">
        <v>4.5999999999999996</v>
      </c>
    </row>
    <row r="170" spans="1:18" x14ac:dyDescent="0.35">
      <c r="A170" t="s">
        <v>186</v>
      </c>
      <c r="B170" t="s">
        <v>451</v>
      </c>
      <c r="C170" t="s">
        <v>791</v>
      </c>
      <c r="D170" t="s">
        <v>1023</v>
      </c>
      <c r="E170" t="s">
        <v>1029</v>
      </c>
      <c r="F170" t="s">
        <v>1040</v>
      </c>
      <c r="G170" t="s">
        <v>1045</v>
      </c>
      <c r="H170" t="s">
        <v>1049</v>
      </c>
      <c r="I170" t="s">
        <v>1206</v>
      </c>
      <c r="M170" t="s">
        <v>1616</v>
      </c>
      <c r="N170">
        <v>43794</v>
      </c>
      <c r="P170" t="s">
        <v>1623</v>
      </c>
      <c r="Q170" t="s">
        <v>1626</v>
      </c>
      <c r="R170">
        <v>2.2000000000000002</v>
      </c>
    </row>
    <row r="171" spans="1:18" x14ac:dyDescent="0.35">
      <c r="A171" t="s">
        <v>187</v>
      </c>
      <c r="B171" t="s">
        <v>437</v>
      </c>
      <c r="C171" t="s">
        <v>792</v>
      </c>
      <c r="D171" t="s">
        <v>1024</v>
      </c>
      <c r="E171" t="s">
        <v>1032</v>
      </c>
      <c r="F171" t="s">
        <v>1038</v>
      </c>
      <c r="G171" t="s">
        <v>1043</v>
      </c>
      <c r="H171" t="s">
        <v>1052</v>
      </c>
      <c r="I171" t="s">
        <v>1207</v>
      </c>
      <c r="J171" t="s">
        <v>1446</v>
      </c>
      <c r="K171" t="s">
        <v>1547</v>
      </c>
      <c r="L171" t="s">
        <v>1599</v>
      </c>
      <c r="M171" t="s">
        <v>1620</v>
      </c>
      <c r="N171">
        <v>29132</v>
      </c>
      <c r="O171">
        <v>31765</v>
      </c>
      <c r="P171" t="s">
        <v>1625</v>
      </c>
      <c r="Q171" t="s">
        <v>1628</v>
      </c>
      <c r="R171">
        <v>2.9</v>
      </c>
    </row>
    <row r="172" spans="1:18" x14ac:dyDescent="0.35">
      <c r="A172" t="s">
        <v>188</v>
      </c>
      <c r="B172" t="s">
        <v>548</v>
      </c>
      <c r="C172" t="s">
        <v>793</v>
      </c>
      <c r="D172" t="s">
        <v>1027</v>
      </c>
      <c r="E172" t="s">
        <v>1030</v>
      </c>
      <c r="F172" t="s">
        <v>1034</v>
      </c>
      <c r="G172" t="s">
        <v>1045</v>
      </c>
      <c r="H172" t="s">
        <v>1050</v>
      </c>
      <c r="I172" t="s">
        <v>1208</v>
      </c>
      <c r="M172" t="s">
        <v>1619</v>
      </c>
      <c r="N172">
        <v>44185</v>
      </c>
      <c r="P172" t="s">
        <v>1621</v>
      </c>
      <c r="Q172" t="s">
        <v>1628</v>
      </c>
      <c r="R172">
        <v>3.9</v>
      </c>
    </row>
    <row r="173" spans="1:18" x14ac:dyDescent="0.35">
      <c r="A173" t="s">
        <v>189</v>
      </c>
      <c r="B173" t="s">
        <v>539</v>
      </c>
      <c r="C173" t="s">
        <v>794</v>
      </c>
      <c r="D173" t="s">
        <v>1023</v>
      </c>
      <c r="E173" t="s">
        <v>1029</v>
      </c>
      <c r="F173" t="s">
        <v>1039</v>
      </c>
      <c r="G173" t="s">
        <v>1043</v>
      </c>
      <c r="H173" t="s">
        <v>1046</v>
      </c>
      <c r="I173" t="s">
        <v>1209</v>
      </c>
      <c r="M173" t="s">
        <v>1616</v>
      </c>
      <c r="N173">
        <v>28992</v>
      </c>
      <c r="P173" t="s">
        <v>1621</v>
      </c>
      <c r="Q173" t="s">
        <v>1627</v>
      </c>
      <c r="R173">
        <v>2.7</v>
      </c>
    </row>
    <row r="174" spans="1:18" x14ac:dyDescent="0.35">
      <c r="A174" t="s">
        <v>190</v>
      </c>
      <c r="B174" t="s">
        <v>473</v>
      </c>
      <c r="C174" t="s">
        <v>795</v>
      </c>
      <c r="D174" t="s">
        <v>1025</v>
      </c>
      <c r="E174" t="s">
        <v>1029</v>
      </c>
      <c r="F174" t="s">
        <v>1033</v>
      </c>
      <c r="G174" t="s">
        <v>1044</v>
      </c>
      <c r="H174" t="s">
        <v>1052</v>
      </c>
      <c r="I174" t="s">
        <v>1210</v>
      </c>
      <c r="M174" t="s">
        <v>1617</v>
      </c>
      <c r="N174">
        <v>35818</v>
      </c>
      <c r="P174" t="s">
        <v>1621</v>
      </c>
      <c r="Q174" t="s">
        <v>1628</v>
      </c>
      <c r="R174">
        <v>4.9000000000000004</v>
      </c>
    </row>
    <row r="175" spans="1:18" x14ac:dyDescent="0.35">
      <c r="A175" t="s">
        <v>191</v>
      </c>
      <c r="B175" t="s">
        <v>549</v>
      </c>
      <c r="C175" t="s">
        <v>796</v>
      </c>
      <c r="D175" t="s">
        <v>1022</v>
      </c>
      <c r="E175" t="s">
        <v>1028</v>
      </c>
      <c r="F175" t="s">
        <v>1039</v>
      </c>
      <c r="G175" t="s">
        <v>1043</v>
      </c>
      <c r="H175" t="s">
        <v>1047</v>
      </c>
      <c r="I175" t="s">
        <v>1211</v>
      </c>
      <c r="J175" t="s">
        <v>1447</v>
      </c>
      <c r="K175" t="s">
        <v>1548</v>
      </c>
      <c r="L175" t="s">
        <v>1600</v>
      </c>
      <c r="M175" t="s">
        <v>1620</v>
      </c>
      <c r="N175">
        <v>42243</v>
      </c>
      <c r="O175">
        <v>41164</v>
      </c>
      <c r="P175" t="s">
        <v>1623</v>
      </c>
      <c r="Q175" t="s">
        <v>1627</v>
      </c>
      <c r="R175">
        <v>4</v>
      </c>
    </row>
    <row r="176" spans="1:18" x14ac:dyDescent="0.35">
      <c r="A176" t="s">
        <v>192</v>
      </c>
      <c r="B176" t="s">
        <v>550</v>
      </c>
      <c r="C176" t="s">
        <v>797</v>
      </c>
      <c r="D176" t="s">
        <v>1026</v>
      </c>
      <c r="E176" t="s">
        <v>1031</v>
      </c>
      <c r="F176" t="s">
        <v>1038</v>
      </c>
      <c r="G176" t="s">
        <v>1043</v>
      </c>
      <c r="H176" t="s">
        <v>1052</v>
      </c>
      <c r="I176" t="s">
        <v>1212</v>
      </c>
      <c r="J176" t="s">
        <v>1401</v>
      </c>
      <c r="M176" t="s">
        <v>1615</v>
      </c>
      <c r="N176">
        <v>46226</v>
      </c>
      <c r="P176" t="s">
        <v>1625</v>
      </c>
      <c r="Q176" t="s">
        <v>1628</v>
      </c>
    </row>
    <row r="177" spans="1:18" x14ac:dyDescent="0.35">
      <c r="A177" t="s">
        <v>193</v>
      </c>
      <c r="B177" t="s">
        <v>551</v>
      </c>
      <c r="C177" t="s">
        <v>798</v>
      </c>
      <c r="D177" t="s">
        <v>1024</v>
      </c>
      <c r="E177" t="s">
        <v>1031</v>
      </c>
      <c r="F177" t="s">
        <v>1038</v>
      </c>
      <c r="G177" t="s">
        <v>1045</v>
      </c>
      <c r="H177" t="s">
        <v>1048</v>
      </c>
      <c r="I177" t="s">
        <v>1213</v>
      </c>
      <c r="M177" t="s">
        <v>1619</v>
      </c>
      <c r="N177">
        <v>40652</v>
      </c>
      <c r="P177" t="s">
        <v>1624</v>
      </c>
      <c r="Q177" t="s">
        <v>1627</v>
      </c>
      <c r="R177">
        <v>3.1</v>
      </c>
    </row>
    <row r="178" spans="1:18" x14ac:dyDescent="0.35">
      <c r="A178" t="s">
        <v>194</v>
      </c>
      <c r="B178" t="s">
        <v>552</v>
      </c>
      <c r="C178" t="s">
        <v>799</v>
      </c>
      <c r="D178" t="s">
        <v>1023</v>
      </c>
      <c r="E178" t="s">
        <v>1032</v>
      </c>
      <c r="F178" t="s">
        <v>1036</v>
      </c>
      <c r="G178" t="s">
        <v>1045</v>
      </c>
      <c r="H178" t="s">
        <v>1050</v>
      </c>
      <c r="I178" t="s">
        <v>1141</v>
      </c>
      <c r="M178" t="s">
        <v>1616</v>
      </c>
      <c r="N178">
        <v>38544</v>
      </c>
      <c r="P178" t="s">
        <v>1623</v>
      </c>
      <c r="Q178" t="s">
        <v>1627</v>
      </c>
      <c r="R178">
        <v>4.0999999999999996</v>
      </c>
    </row>
    <row r="179" spans="1:18" x14ac:dyDescent="0.35">
      <c r="A179" t="s">
        <v>195</v>
      </c>
      <c r="B179" t="s">
        <v>553</v>
      </c>
      <c r="C179" t="s">
        <v>800</v>
      </c>
      <c r="D179" t="s">
        <v>1024</v>
      </c>
      <c r="E179" t="s">
        <v>1032</v>
      </c>
      <c r="F179" t="s">
        <v>1040</v>
      </c>
      <c r="G179" t="s">
        <v>1044</v>
      </c>
      <c r="H179" t="s">
        <v>1052</v>
      </c>
      <c r="I179" t="s">
        <v>1190</v>
      </c>
      <c r="M179" t="s">
        <v>1616</v>
      </c>
      <c r="N179">
        <v>34444</v>
      </c>
      <c r="P179" t="s">
        <v>1623</v>
      </c>
      <c r="Q179" t="s">
        <v>1626</v>
      </c>
    </row>
    <row r="180" spans="1:18" x14ac:dyDescent="0.35">
      <c r="A180" t="s">
        <v>196</v>
      </c>
      <c r="B180" t="s">
        <v>420</v>
      </c>
      <c r="C180" t="s">
        <v>801</v>
      </c>
      <c r="D180" t="s">
        <v>1026</v>
      </c>
      <c r="E180" t="s">
        <v>1031</v>
      </c>
      <c r="F180" t="s">
        <v>1035</v>
      </c>
      <c r="G180" t="s">
        <v>1042</v>
      </c>
      <c r="H180" t="s">
        <v>1050</v>
      </c>
      <c r="I180" t="s">
        <v>1214</v>
      </c>
      <c r="M180" t="s">
        <v>1619</v>
      </c>
      <c r="N180">
        <v>38734</v>
      </c>
      <c r="P180" t="s">
        <v>1624</v>
      </c>
      <c r="Q180" t="s">
        <v>1628</v>
      </c>
    </row>
    <row r="181" spans="1:18" x14ac:dyDescent="0.35">
      <c r="A181" t="s">
        <v>197</v>
      </c>
      <c r="B181" t="s">
        <v>554</v>
      </c>
      <c r="C181" t="s">
        <v>802</v>
      </c>
      <c r="D181" t="s">
        <v>1025</v>
      </c>
      <c r="E181" t="s">
        <v>1031</v>
      </c>
      <c r="F181" t="s">
        <v>1037</v>
      </c>
      <c r="G181" t="s">
        <v>1044</v>
      </c>
      <c r="H181" t="s">
        <v>1050</v>
      </c>
      <c r="I181" t="s">
        <v>1215</v>
      </c>
      <c r="J181" t="s">
        <v>1448</v>
      </c>
      <c r="M181" t="s">
        <v>1615</v>
      </c>
      <c r="N181">
        <v>42623</v>
      </c>
      <c r="P181" t="s">
        <v>1621</v>
      </c>
      <c r="Q181" t="s">
        <v>1627</v>
      </c>
      <c r="R181">
        <v>2.2999999999999998</v>
      </c>
    </row>
    <row r="182" spans="1:18" x14ac:dyDescent="0.35">
      <c r="A182" t="s">
        <v>198</v>
      </c>
      <c r="B182" t="s">
        <v>459</v>
      </c>
      <c r="C182" t="s">
        <v>803</v>
      </c>
      <c r="D182" t="s">
        <v>1023</v>
      </c>
      <c r="E182" t="s">
        <v>1032</v>
      </c>
      <c r="F182" t="s">
        <v>1034</v>
      </c>
      <c r="G182" t="s">
        <v>1041</v>
      </c>
      <c r="H182" t="s">
        <v>1049</v>
      </c>
      <c r="I182" t="s">
        <v>1216</v>
      </c>
      <c r="J182" t="s">
        <v>1449</v>
      </c>
      <c r="K182" t="s">
        <v>1549</v>
      </c>
      <c r="M182" t="s">
        <v>1618</v>
      </c>
      <c r="N182">
        <v>43195</v>
      </c>
      <c r="O182">
        <v>41847</v>
      </c>
      <c r="P182" t="s">
        <v>1625</v>
      </c>
      <c r="Q182" t="s">
        <v>1627</v>
      </c>
      <c r="R182">
        <v>2.2999999999999998</v>
      </c>
    </row>
    <row r="183" spans="1:18" x14ac:dyDescent="0.35">
      <c r="A183" t="s">
        <v>199</v>
      </c>
      <c r="B183" t="s">
        <v>555</v>
      </c>
      <c r="C183" t="s">
        <v>804</v>
      </c>
      <c r="D183" t="s">
        <v>1024</v>
      </c>
      <c r="E183" t="s">
        <v>1028</v>
      </c>
      <c r="F183" t="s">
        <v>1037</v>
      </c>
      <c r="G183" t="s">
        <v>1044</v>
      </c>
      <c r="H183" t="s">
        <v>1047</v>
      </c>
      <c r="I183" t="s">
        <v>1217</v>
      </c>
      <c r="J183" t="s">
        <v>1450</v>
      </c>
      <c r="K183" t="s">
        <v>1550</v>
      </c>
      <c r="L183" t="s">
        <v>1601</v>
      </c>
      <c r="M183" t="s">
        <v>1620</v>
      </c>
      <c r="N183">
        <v>42752</v>
      </c>
      <c r="O183">
        <v>42199</v>
      </c>
      <c r="P183" t="s">
        <v>1625</v>
      </c>
      <c r="Q183" t="s">
        <v>1627</v>
      </c>
      <c r="R183">
        <v>2.5</v>
      </c>
    </row>
    <row r="184" spans="1:18" x14ac:dyDescent="0.35">
      <c r="A184" t="s">
        <v>200</v>
      </c>
      <c r="B184" t="s">
        <v>556</v>
      </c>
      <c r="C184" t="s">
        <v>805</v>
      </c>
      <c r="D184" t="s">
        <v>1025</v>
      </c>
      <c r="E184" t="s">
        <v>1031</v>
      </c>
      <c r="F184" t="s">
        <v>1035</v>
      </c>
      <c r="G184" t="s">
        <v>1042</v>
      </c>
      <c r="H184" t="s">
        <v>1052</v>
      </c>
      <c r="I184" t="s">
        <v>1218</v>
      </c>
      <c r="J184" t="s">
        <v>1451</v>
      </c>
      <c r="M184" t="s">
        <v>1615</v>
      </c>
      <c r="N184">
        <v>47790</v>
      </c>
      <c r="P184" t="s">
        <v>1624</v>
      </c>
      <c r="Q184" t="s">
        <v>1628</v>
      </c>
      <c r="R184">
        <v>3.3</v>
      </c>
    </row>
    <row r="185" spans="1:18" x14ac:dyDescent="0.35">
      <c r="A185" t="s">
        <v>201</v>
      </c>
      <c r="B185" t="s">
        <v>557</v>
      </c>
      <c r="C185" t="s">
        <v>806</v>
      </c>
      <c r="D185" t="s">
        <v>1022</v>
      </c>
      <c r="E185" t="s">
        <v>1030</v>
      </c>
      <c r="F185" t="s">
        <v>1034</v>
      </c>
      <c r="G185" t="s">
        <v>1045</v>
      </c>
      <c r="H185" t="s">
        <v>1046</v>
      </c>
      <c r="I185" t="s">
        <v>1219</v>
      </c>
      <c r="J185" t="s">
        <v>1452</v>
      </c>
      <c r="K185" t="s">
        <v>1551</v>
      </c>
      <c r="M185" t="s">
        <v>1618</v>
      </c>
      <c r="N185">
        <v>44669</v>
      </c>
      <c r="O185">
        <v>43129</v>
      </c>
      <c r="P185" t="s">
        <v>1622</v>
      </c>
      <c r="Q185" t="s">
        <v>1626</v>
      </c>
    </row>
    <row r="186" spans="1:18" x14ac:dyDescent="0.35">
      <c r="A186" t="s">
        <v>202</v>
      </c>
      <c r="B186" t="s">
        <v>558</v>
      </c>
      <c r="C186" t="s">
        <v>807</v>
      </c>
      <c r="D186" t="s">
        <v>1022</v>
      </c>
      <c r="E186" t="s">
        <v>1032</v>
      </c>
      <c r="F186" t="s">
        <v>1037</v>
      </c>
      <c r="G186" t="s">
        <v>1041</v>
      </c>
      <c r="H186" t="s">
        <v>1050</v>
      </c>
      <c r="I186" t="s">
        <v>1220</v>
      </c>
      <c r="J186" t="s">
        <v>1453</v>
      </c>
      <c r="K186" t="s">
        <v>1552</v>
      </c>
      <c r="L186" t="s">
        <v>1574</v>
      </c>
      <c r="M186" t="s">
        <v>1620</v>
      </c>
      <c r="N186">
        <v>37661</v>
      </c>
      <c r="O186">
        <v>36961</v>
      </c>
      <c r="P186" t="s">
        <v>1625</v>
      </c>
      <c r="Q186" t="s">
        <v>1626</v>
      </c>
      <c r="R186">
        <v>4.7</v>
      </c>
    </row>
    <row r="187" spans="1:18" x14ac:dyDescent="0.35">
      <c r="A187" t="s">
        <v>203</v>
      </c>
      <c r="B187" t="s">
        <v>507</v>
      </c>
      <c r="C187" t="s">
        <v>808</v>
      </c>
      <c r="D187" t="s">
        <v>1026</v>
      </c>
      <c r="E187" t="s">
        <v>1030</v>
      </c>
      <c r="F187" t="s">
        <v>1033</v>
      </c>
      <c r="G187" t="s">
        <v>1045</v>
      </c>
      <c r="H187" t="s">
        <v>1049</v>
      </c>
      <c r="I187" t="s">
        <v>1221</v>
      </c>
      <c r="M187" t="s">
        <v>1617</v>
      </c>
      <c r="N187">
        <v>40813</v>
      </c>
      <c r="P187" t="s">
        <v>1625</v>
      </c>
      <c r="Q187" t="s">
        <v>1628</v>
      </c>
      <c r="R187">
        <v>2.4</v>
      </c>
    </row>
    <row r="188" spans="1:18" x14ac:dyDescent="0.35">
      <c r="A188" t="s">
        <v>204</v>
      </c>
      <c r="B188" t="s">
        <v>509</v>
      </c>
      <c r="C188" t="s">
        <v>809</v>
      </c>
      <c r="D188" t="s">
        <v>1022</v>
      </c>
      <c r="E188" t="s">
        <v>1028</v>
      </c>
      <c r="F188" t="s">
        <v>1034</v>
      </c>
      <c r="G188" t="s">
        <v>1042</v>
      </c>
      <c r="H188" t="s">
        <v>1047</v>
      </c>
      <c r="I188" t="s">
        <v>1222</v>
      </c>
      <c r="M188" t="s">
        <v>1619</v>
      </c>
      <c r="N188">
        <v>36587</v>
      </c>
      <c r="P188" t="s">
        <v>1621</v>
      </c>
      <c r="Q188" t="s">
        <v>1628</v>
      </c>
      <c r="R188">
        <v>4</v>
      </c>
    </row>
    <row r="189" spans="1:18" x14ac:dyDescent="0.35">
      <c r="A189" t="s">
        <v>205</v>
      </c>
      <c r="B189" t="s">
        <v>452</v>
      </c>
      <c r="C189" t="s">
        <v>810</v>
      </c>
      <c r="D189" t="s">
        <v>1026</v>
      </c>
      <c r="E189" t="s">
        <v>1030</v>
      </c>
      <c r="F189" t="s">
        <v>1039</v>
      </c>
      <c r="G189" t="s">
        <v>1041</v>
      </c>
      <c r="H189" t="s">
        <v>1046</v>
      </c>
      <c r="I189" t="s">
        <v>1223</v>
      </c>
      <c r="J189" t="s">
        <v>1454</v>
      </c>
      <c r="K189" t="s">
        <v>1553</v>
      </c>
      <c r="L189" t="s">
        <v>1602</v>
      </c>
      <c r="M189" t="s">
        <v>1620</v>
      </c>
      <c r="N189">
        <v>31681</v>
      </c>
      <c r="O189">
        <v>33118</v>
      </c>
      <c r="P189" t="s">
        <v>1624</v>
      </c>
      <c r="Q189" t="s">
        <v>1626</v>
      </c>
      <c r="R189">
        <v>4</v>
      </c>
    </row>
    <row r="190" spans="1:18" x14ac:dyDescent="0.35">
      <c r="A190" t="s">
        <v>206</v>
      </c>
      <c r="B190" t="s">
        <v>537</v>
      </c>
      <c r="C190" t="s">
        <v>811</v>
      </c>
      <c r="D190" t="s">
        <v>1024</v>
      </c>
      <c r="E190" t="s">
        <v>1030</v>
      </c>
      <c r="F190" t="s">
        <v>1038</v>
      </c>
      <c r="G190" t="s">
        <v>1044</v>
      </c>
      <c r="H190" t="s">
        <v>1051</v>
      </c>
      <c r="I190" t="s">
        <v>1224</v>
      </c>
      <c r="J190" t="s">
        <v>1455</v>
      </c>
      <c r="M190" t="s">
        <v>1615</v>
      </c>
      <c r="N190">
        <v>42920</v>
      </c>
      <c r="P190" t="s">
        <v>1621</v>
      </c>
      <c r="Q190" t="s">
        <v>1627</v>
      </c>
      <c r="R190">
        <v>3.7</v>
      </c>
    </row>
    <row r="191" spans="1:18" x14ac:dyDescent="0.35">
      <c r="A191" t="s">
        <v>207</v>
      </c>
      <c r="B191" t="s">
        <v>515</v>
      </c>
      <c r="C191" t="s">
        <v>812</v>
      </c>
      <c r="D191" t="s">
        <v>1023</v>
      </c>
      <c r="E191" t="s">
        <v>1029</v>
      </c>
      <c r="F191" t="s">
        <v>1040</v>
      </c>
      <c r="G191" t="s">
        <v>1045</v>
      </c>
      <c r="H191" t="s">
        <v>1049</v>
      </c>
      <c r="I191" t="s">
        <v>1225</v>
      </c>
      <c r="J191" t="s">
        <v>1456</v>
      </c>
      <c r="K191" t="s">
        <v>1456</v>
      </c>
      <c r="L191" t="s">
        <v>1603</v>
      </c>
      <c r="M191" t="s">
        <v>1620</v>
      </c>
      <c r="N191">
        <v>46556</v>
      </c>
      <c r="O191">
        <v>45086</v>
      </c>
      <c r="P191" t="s">
        <v>1624</v>
      </c>
      <c r="Q191" t="s">
        <v>1627</v>
      </c>
      <c r="R191">
        <v>3.1</v>
      </c>
    </row>
    <row r="192" spans="1:18" x14ac:dyDescent="0.35">
      <c r="A192" t="s">
        <v>208</v>
      </c>
      <c r="B192" t="s">
        <v>559</v>
      </c>
      <c r="C192" t="s">
        <v>813</v>
      </c>
      <c r="D192" t="s">
        <v>1025</v>
      </c>
      <c r="E192" t="s">
        <v>1032</v>
      </c>
      <c r="F192" t="s">
        <v>1033</v>
      </c>
      <c r="G192" t="s">
        <v>1043</v>
      </c>
      <c r="H192" t="s">
        <v>1049</v>
      </c>
      <c r="I192" t="s">
        <v>1226</v>
      </c>
      <c r="M192" t="s">
        <v>1616</v>
      </c>
      <c r="N192">
        <v>41416</v>
      </c>
      <c r="P192" t="s">
        <v>1625</v>
      </c>
      <c r="Q192" t="s">
        <v>1626</v>
      </c>
      <c r="R192">
        <v>3.6</v>
      </c>
    </row>
    <row r="193" spans="1:18" x14ac:dyDescent="0.35">
      <c r="A193" t="s">
        <v>209</v>
      </c>
      <c r="B193" t="s">
        <v>468</v>
      </c>
      <c r="C193" t="s">
        <v>814</v>
      </c>
      <c r="D193" t="s">
        <v>1022</v>
      </c>
      <c r="E193" t="s">
        <v>1032</v>
      </c>
      <c r="F193" t="s">
        <v>1037</v>
      </c>
      <c r="G193" t="s">
        <v>1044</v>
      </c>
      <c r="H193" t="s">
        <v>1048</v>
      </c>
      <c r="I193" t="s">
        <v>1227</v>
      </c>
      <c r="M193" t="s">
        <v>1616</v>
      </c>
      <c r="N193">
        <v>31453</v>
      </c>
      <c r="P193" t="s">
        <v>1621</v>
      </c>
      <c r="Q193" t="s">
        <v>1627</v>
      </c>
      <c r="R193">
        <v>2.5</v>
      </c>
    </row>
    <row r="194" spans="1:18" x14ac:dyDescent="0.35">
      <c r="A194" t="s">
        <v>210</v>
      </c>
      <c r="B194" t="s">
        <v>560</v>
      </c>
      <c r="C194" t="s">
        <v>815</v>
      </c>
      <c r="D194" t="s">
        <v>1022</v>
      </c>
      <c r="E194" t="s">
        <v>1028</v>
      </c>
      <c r="F194" t="s">
        <v>1036</v>
      </c>
      <c r="G194" t="s">
        <v>1042</v>
      </c>
      <c r="H194" t="s">
        <v>1050</v>
      </c>
      <c r="I194" t="s">
        <v>1228</v>
      </c>
      <c r="M194" t="s">
        <v>1619</v>
      </c>
      <c r="N194">
        <v>47040</v>
      </c>
      <c r="P194" t="s">
        <v>1624</v>
      </c>
      <c r="Q194" t="s">
        <v>1628</v>
      </c>
      <c r="R194">
        <v>2.5</v>
      </c>
    </row>
    <row r="195" spans="1:18" x14ac:dyDescent="0.35">
      <c r="A195" t="s">
        <v>211</v>
      </c>
      <c r="B195" t="s">
        <v>561</v>
      </c>
      <c r="C195" t="s">
        <v>816</v>
      </c>
      <c r="D195" t="s">
        <v>1023</v>
      </c>
      <c r="E195" t="s">
        <v>1030</v>
      </c>
      <c r="F195" t="s">
        <v>1033</v>
      </c>
      <c r="G195" t="s">
        <v>1044</v>
      </c>
      <c r="H195" t="s">
        <v>1052</v>
      </c>
      <c r="I195" t="s">
        <v>1229</v>
      </c>
      <c r="M195" t="s">
        <v>1616</v>
      </c>
      <c r="N195">
        <v>46118</v>
      </c>
      <c r="P195" t="s">
        <v>1624</v>
      </c>
      <c r="Q195" t="s">
        <v>1626</v>
      </c>
    </row>
    <row r="196" spans="1:18" x14ac:dyDescent="0.35">
      <c r="A196" t="s">
        <v>212</v>
      </c>
      <c r="B196" t="s">
        <v>446</v>
      </c>
      <c r="C196" t="s">
        <v>817</v>
      </c>
      <c r="D196" t="s">
        <v>1022</v>
      </c>
      <c r="E196" t="s">
        <v>1032</v>
      </c>
      <c r="F196" t="s">
        <v>1040</v>
      </c>
      <c r="G196" t="s">
        <v>1044</v>
      </c>
      <c r="H196" t="s">
        <v>1049</v>
      </c>
      <c r="I196" t="s">
        <v>1230</v>
      </c>
      <c r="M196" t="s">
        <v>1619</v>
      </c>
      <c r="N196">
        <v>31555</v>
      </c>
      <c r="P196" t="s">
        <v>1623</v>
      </c>
      <c r="Q196" t="s">
        <v>1628</v>
      </c>
      <c r="R196">
        <v>3</v>
      </c>
    </row>
    <row r="197" spans="1:18" x14ac:dyDescent="0.35">
      <c r="A197" t="s">
        <v>213</v>
      </c>
      <c r="B197" t="s">
        <v>493</v>
      </c>
      <c r="C197" t="s">
        <v>818</v>
      </c>
      <c r="D197" t="s">
        <v>1026</v>
      </c>
      <c r="E197" t="s">
        <v>1029</v>
      </c>
      <c r="F197" t="s">
        <v>1040</v>
      </c>
      <c r="G197" t="s">
        <v>1041</v>
      </c>
      <c r="H197" t="s">
        <v>1049</v>
      </c>
      <c r="I197" t="s">
        <v>1231</v>
      </c>
      <c r="M197" t="s">
        <v>1616</v>
      </c>
      <c r="N197">
        <v>33784</v>
      </c>
      <c r="P197" t="s">
        <v>1622</v>
      </c>
      <c r="Q197" t="s">
        <v>1627</v>
      </c>
      <c r="R197">
        <v>4.5999999999999996</v>
      </c>
    </row>
    <row r="198" spans="1:18" x14ac:dyDescent="0.35">
      <c r="A198" t="s">
        <v>214</v>
      </c>
      <c r="B198" t="s">
        <v>474</v>
      </c>
      <c r="C198" t="s">
        <v>819</v>
      </c>
      <c r="D198" t="s">
        <v>1022</v>
      </c>
      <c r="E198" t="s">
        <v>1028</v>
      </c>
      <c r="F198" t="s">
        <v>1033</v>
      </c>
      <c r="G198" t="s">
        <v>1044</v>
      </c>
      <c r="H198" t="s">
        <v>1047</v>
      </c>
      <c r="I198" t="s">
        <v>1232</v>
      </c>
      <c r="M198" t="s">
        <v>1616</v>
      </c>
      <c r="N198">
        <v>50384</v>
      </c>
      <c r="P198" t="s">
        <v>1625</v>
      </c>
      <c r="Q198" t="s">
        <v>1627</v>
      </c>
      <c r="R198">
        <v>2.4</v>
      </c>
    </row>
    <row r="199" spans="1:18" x14ac:dyDescent="0.35">
      <c r="A199" t="s">
        <v>215</v>
      </c>
      <c r="B199" t="s">
        <v>562</v>
      </c>
      <c r="C199" t="s">
        <v>820</v>
      </c>
      <c r="D199" t="s">
        <v>1027</v>
      </c>
      <c r="E199" t="s">
        <v>1029</v>
      </c>
      <c r="F199" t="s">
        <v>1034</v>
      </c>
      <c r="G199" t="s">
        <v>1041</v>
      </c>
      <c r="H199" t="s">
        <v>1052</v>
      </c>
      <c r="I199" t="s">
        <v>1233</v>
      </c>
      <c r="J199" t="s">
        <v>1457</v>
      </c>
      <c r="M199" t="s">
        <v>1615</v>
      </c>
      <c r="N199">
        <v>43632</v>
      </c>
      <c r="P199" t="s">
        <v>1623</v>
      </c>
      <c r="Q199" t="s">
        <v>1627</v>
      </c>
      <c r="R199">
        <v>3.6</v>
      </c>
    </row>
    <row r="200" spans="1:18" x14ac:dyDescent="0.35">
      <c r="A200" t="s">
        <v>216</v>
      </c>
      <c r="B200" t="s">
        <v>563</v>
      </c>
      <c r="C200" t="s">
        <v>821</v>
      </c>
      <c r="D200" t="s">
        <v>1022</v>
      </c>
      <c r="E200" t="s">
        <v>1031</v>
      </c>
      <c r="F200" t="s">
        <v>1033</v>
      </c>
      <c r="G200" t="s">
        <v>1041</v>
      </c>
      <c r="H200" t="s">
        <v>1048</v>
      </c>
      <c r="I200" t="s">
        <v>1234</v>
      </c>
      <c r="M200" t="s">
        <v>1617</v>
      </c>
      <c r="N200">
        <v>48132</v>
      </c>
      <c r="P200" t="s">
        <v>1624</v>
      </c>
      <c r="Q200" t="s">
        <v>1626</v>
      </c>
      <c r="R200">
        <v>3.4</v>
      </c>
    </row>
    <row r="201" spans="1:18" x14ac:dyDescent="0.35">
      <c r="A201" t="s">
        <v>217</v>
      </c>
      <c r="B201" t="s">
        <v>545</v>
      </c>
      <c r="C201" t="s">
        <v>822</v>
      </c>
      <c r="D201" t="s">
        <v>1026</v>
      </c>
      <c r="E201" t="s">
        <v>1031</v>
      </c>
      <c r="F201" t="s">
        <v>1040</v>
      </c>
      <c r="G201" t="s">
        <v>1044</v>
      </c>
      <c r="H201" t="s">
        <v>1052</v>
      </c>
      <c r="I201" t="s">
        <v>1235</v>
      </c>
      <c r="J201" t="s">
        <v>1458</v>
      </c>
      <c r="M201" t="s">
        <v>1615</v>
      </c>
      <c r="N201">
        <v>42347</v>
      </c>
      <c r="P201" t="s">
        <v>1621</v>
      </c>
      <c r="Q201" t="s">
        <v>1626</v>
      </c>
      <c r="R201">
        <v>4.9000000000000004</v>
      </c>
    </row>
    <row r="202" spans="1:18" x14ac:dyDescent="0.35">
      <c r="A202" t="s">
        <v>218</v>
      </c>
      <c r="B202" t="s">
        <v>430</v>
      </c>
      <c r="C202" t="s">
        <v>823</v>
      </c>
      <c r="D202" t="s">
        <v>1026</v>
      </c>
      <c r="E202" t="s">
        <v>1028</v>
      </c>
      <c r="F202" t="s">
        <v>1035</v>
      </c>
      <c r="G202" t="s">
        <v>1045</v>
      </c>
      <c r="H202" t="s">
        <v>1047</v>
      </c>
      <c r="I202" t="s">
        <v>1236</v>
      </c>
      <c r="M202" t="s">
        <v>1617</v>
      </c>
      <c r="N202">
        <v>38392</v>
      </c>
      <c r="P202" t="s">
        <v>1623</v>
      </c>
      <c r="Q202" t="s">
        <v>1628</v>
      </c>
      <c r="R202">
        <v>2.4</v>
      </c>
    </row>
    <row r="203" spans="1:18" x14ac:dyDescent="0.35">
      <c r="A203" t="s">
        <v>219</v>
      </c>
      <c r="B203" t="s">
        <v>564</v>
      </c>
      <c r="C203" t="s">
        <v>824</v>
      </c>
      <c r="D203" t="s">
        <v>1025</v>
      </c>
      <c r="E203" t="s">
        <v>1032</v>
      </c>
      <c r="F203" t="s">
        <v>1034</v>
      </c>
      <c r="G203" t="s">
        <v>1043</v>
      </c>
      <c r="H203" t="s">
        <v>1051</v>
      </c>
      <c r="I203" t="s">
        <v>1085</v>
      </c>
      <c r="J203" t="s">
        <v>1459</v>
      </c>
      <c r="M203" t="s">
        <v>1615</v>
      </c>
      <c r="N203">
        <v>48222</v>
      </c>
      <c r="P203" t="s">
        <v>1623</v>
      </c>
      <c r="Q203" t="s">
        <v>1627</v>
      </c>
      <c r="R203">
        <v>3.4</v>
      </c>
    </row>
    <row r="204" spans="1:18" x14ac:dyDescent="0.35">
      <c r="A204" t="s">
        <v>220</v>
      </c>
      <c r="B204" t="s">
        <v>437</v>
      </c>
      <c r="C204" t="s">
        <v>825</v>
      </c>
      <c r="D204" t="s">
        <v>1025</v>
      </c>
      <c r="E204" t="s">
        <v>1031</v>
      </c>
      <c r="F204" t="s">
        <v>1033</v>
      </c>
      <c r="G204" t="s">
        <v>1044</v>
      </c>
      <c r="H204" t="s">
        <v>1051</v>
      </c>
      <c r="I204" t="s">
        <v>1237</v>
      </c>
      <c r="M204" t="s">
        <v>1617</v>
      </c>
      <c r="N204">
        <v>33844</v>
      </c>
      <c r="P204" t="s">
        <v>1624</v>
      </c>
      <c r="Q204" t="s">
        <v>1628</v>
      </c>
      <c r="R204">
        <v>3</v>
      </c>
    </row>
    <row r="205" spans="1:18" x14ac:dyDescent="0.35">
      <c r="A205" t="s">
        <v>221</v>
      </c>
      <c r="B205" t="s">
        <v>565</v>
      </c>
      <c r="C205" t="s">
        <v>826</v>
      </c>
      <c r="D205" t="s">
        <v>1024</v>
      </c>
      <c r="E205" t="s">
        <v>1030</v>
      </c>
      <c r="F205" t="s">
        <v>1033</v>
      </c>
      <c r="G205" t="s">
        <v>1045</v>
      </c>
      <c r="H205" t="s">
        <v>1047</v>
      </c>
      <c r="I205" t="s">
        <v>1238</v>
      </c>
      <c r="M205" t="s">
        <v>1619</v>
      </c>
      <c r="N205">
        <v>50618</v>
      </c>
      <c r="P205" t="s">
        <v>1624</v>
      </c>
      <c r="Q205" t="s">
        <v>1627</v>
      </c>
      <c r="R205">
        <v>4.2</v>
      </c>
    </row>
    <row r="206" spans="1:18" x14ac:dyDescent="0.35">
      <c r="A206" t="s">
        <v>222</v>
      </c>
      <c r="B206" t="s">
        <v>537</v>
      </c>
      <c r="C206" t="s">
        <v>827</v>
      </c>
      <c r="D206" t="s">
        <v>1027</v>
      </c>
      <c r="E206" t="s">
        <v>1029</v>
      </c>
      <c r="F206" t="s">
        <v>1038</v>
      </c>
      <c r="G206" t="s">
        <v>1044</v>
      </c>
      <c r="H206" t="s">
        <v>1052</v>
      </c>
      <c r="I206" t="s">
        <v>1239</v>
      </c>
      <c r="M206" t="s">
        <v>1617</v>
      </c>
      <c r="N206">
        <v>44228</v>
      </c>
      <c r="P206" t="s">
        <v>1623</v>
      </c>
      <c r="Q206" t="s">
        <v>1626</v>
      </c>
    </row>
    <row r="207" spans="1:18" x14ac:dyDescent="0.35">
      <c r="A207" t="s">
        <v>223</v>
      </c>
      <c r="B207" t="s">
        <v>566</v>
      </c>
      <c r="C207" t="s">
        <v>828</v>
      </c>
      <c r="D207" t="s">
        <v>1023</v>
      </c>
      <c r="E207" t="s">
        <v>1032</v>
      </c>
      <c r="F207" t="s">
        <v>1040</v>
      </c>
      <c r="G207" t="s">
        <v>1043</v>
      </c>
      <c r="H207" t="s">
        <v>1046</v>
      </c>
      <c r="I207" t="s">
        <v>1240</v>
      </c>
      <c r="J207" t="s">
        <v>1095</v>
      </c>
      <c r="M207" t="s">
        <v>1615</v>
      </c>
      <c r="N207">
        <v>50047</v>
      </c>
      <c r="P207" t="s">
        <v>1622</v>
      </c>
      <c r="Q207" t="s">
        <v>1626</v>
      </c>
      <c r="R207">
        <v>2.4</v>
      </c>
    </row>
    <row r="208" spans="1:18" x14ac:dyDescent="0.35">
      <c r="A208" t="s">
        <v>224</v>
      </c>
      <c r="B208" t="s">
        <v>567</v>
      </c>
      <c r="C208" t="s">
        <v>829</v>
      </c>
      <c r="D208" t="s">
        <v>1023</v>
      </c>
      <c r="E208" t="s">
        <v>1030</v>
      </c>
      <c r="F208" t="s">
        <v>1034</v>
      </c>
      <c r="G208" t="s">
        <v>1043</v>
      </c>
      <c r="H208" t="s">
        <v>1050</v>
      </c>
      <c r="I208" t="s">
        <v>1241</v>
      </c>
      <c r="J208" t="s">
        <v>1250</v>
      </c>
      <c r="K208" t="s">
        <v>1399</v>
      </c>
      <c r="M208" t="s">
        <v>1618</v>
      </c>
      <c r="N208">
        <v>50460</v>
      </c>
      <c r="O208">
        <v>47702</v>
      </c>
      <c r="P208" t="s">
        <v>1621</v>
      </c>
      <c r="Q208" t="s">
        <v>1627</v>
      </c>
      <c r="R208">
        <v>4.4000000000000004</v>
      </c>
    </row>
    <row r="209" spans="1:18" x14ac:dyDescent="0.35">
      <c r="A209" t="s">
        <v>225</v>
      </c>
      <c r="B209" t="s">
        <v>568</v>
      </c>
      <c r="C209" t="s">
        <v>830</v>
      </c>
      <c r="D209" t="s">
        <v>1022</v>
      </c>
      <c r="E209" t="s">
        <v>1031</v>
      </c>
      <c r="F209" t="s">
        <v>1036</v>
      </c>
      <c r="G209" t="s">
        <v>1043</v>
      </c>
      <c r="H209" t="s">
        <v>1049</v>
      </c>
      <c r="I209" t="s">
        <v>1242</v>
      </c>
      <c r="M209" t="s">
        <v>1616</v>
      </c>
      <c r="N209">
        <v>49582</v>
      </c>
      <c r="P209" t="s">
        <v>1621</v>
      </c>
      <c r="Q209" t="s">
        <v>1628</v>
      </c>
      <c r="R209">
        <v>4.5</v>
      </c>
    </row>
    <row r="210" spans="1:18" x14ac:dyDescent="0.35">
      <c r="A210" t="s">
        <v>226</v>
      </c>
      <c r="B210" t="s">
        <v>445</v>
      </c>
      <c r="C210" t="s">
        <v>831</v>
      </c>
      <c r="D210" t="s">
        <v>1025</v>
      </c>
      <c r="E210" t="s">
        <v>1028</v>
      </c>
      <c r="F210" t="s">
        <v>1036</v>
      </c>
      <c r="G210" t="s">
        <v>1042</v>
      </c>
      <c r="H210" t="s">
        <v>1049</v>
      </c>
      <c r="I210" t="s">
        <v>1243</v>
      </c>
      <c r="J210" t="s">
        <v>1131</v>
      </c>
      <c r="K210" t="s">
        <v>1554</v>
      </c>
      <c r="L210" t="s">
        <v>1415</v>
      </c>
      <c r="M210" t="s">
        <v>1620</v>
      </c>
      <c r="N210">
        <v>29422</v>
      </c>
      <c r="O210">
        <v>28114</v>
      </c>
      <c r="P210" t="s">
        <v>1623</v>
      </c>
      <c r="Q210" t="s">
        <v>1628</v>
      </c>
      <c r="R210">
        <v>3.7</v>
      </c>
    </row>
    <row r="211" spans="1:18" x14ac:dyDescent="0.35">
      <c r="A211" t="s">
        <v>227</v>
      </c>
      <c r="B211" t="s">
        <v>569</v>
      </c>
      <c r="C211" t="s">
        <v>832</v>
      </c>
      <c r="D211" t="s">
        <v>1025</v>
      </c>
      <c r="E211" t="s">
        <v>1032</v>
      </c>
      <c r="F211" t="s">
        <v>1038</v>
      </c>
      <c r="G211" t="s">
        <v>1041</v>
      </c>
      <c r="H211" t="s">
        <v>1048</v>
      </c>
      <c r="I211" t="s">
        <v>1244</v>
      </c>
      <c r="M211" t="s">
        <v>1616</v>
      </c>
      <c r="N211">
        <v>41832</v>
      </c>
      <c r="P211" t="s">
        <v>1623</v>
      </c>
      <c r="Q211" t="s">
        <v>1627</v>
      </c>
      <c r="R211">
        <v>3.2</v>
      </c>
    </row>
    <row r="212" spans="1:18" x14ac:dyDescent="0.35">
      <c r="A212" t="s">
        <v>228</v>
      </c>
      <c r="B212" t="s">
        <v>570</v>
      </c>
      <c r="C212" t="s">
        <v>833</v>
      </c>
      <c r="D212" t="s">
        <v>1026</v>
      </c>
      <c r="E212" t="s">
        <v>1032</v>
      </c>
      <c r="F212" t="s">
        <v>1040</v>
      </c>
      <c r="G212" t="s">
        <v>1045</v>
      </c>
      <c r="H212" t="s">
        <v>1049</v>
      </c>
      <c r="I212" t="s">
        <v>1245</v>
      </c>
      <c r="M212" t="s">
        <v>1616</v>
      </c>
      <c r="N212">
        <v>51757</v>
      </c>
      <c r="P212" t="s">
        <v>1621</v>
      </c>
      <c r="Q212" t="s">
        <v>1627</v>
      </c>
      <c r="R212">
        <v>4.5</v>
      </c>
    </row>
    <row r="213" spans="1:18" x14ac:dyDescent="0.35">
      <c r="A213" t="s">
        <v>229</v>
      </c>
      <c r="B213" t="s">
        <v>571</v>
      </c>
      <c r="C213" t="s">
        <v>834</v>
      </c>
      <c r="D213" t="s">
        <v>1023</v>
      </c>
      <c r="E213" t="s">
        <v>1028</v>
      </c>
      <c r="F213" t="s">
        <v>1039</v>
      </c>
      <c r="G213" t="s">
        <v>1042</v>
      </c>
      <c r="H213" t="s">
        <v>1047</v>
      </c>
      <c r="I213" t="s">
        <v>1246</v>
      </c>
      <c r="M213" t="s">
        <v>1619</v>
      </c>
      <c r="N213">
        <v>51875</v>
      </c>
      <c r="P213" t="s">
        <v>1624</v>
      </c>
      <c r="Q213" t="s">
        <v>1628</v>
      </c>
    </row>
    <row r="214" spans="1:18" x14ac:dyDescent="0.35">
      <c r="A214" t="s">
        <v>230</v>
      </c>
      <c r="B214" t="s">
        <v>572</v>
      </c>
      <c r="C214" t="s">
        <v>835</v>
      </c>
      <c r="D214" t="s">
        <v>1027</v>
      </c>
      <c r="E214" t="s">
        <v>1028</v>
      </c>
      <c r="F214" t="s">
        <v>1033</v>
      </c>
      <c r="G214" t="s">
        <v>1043</v>
      </c>
      <c r="H214" t="s">
        <v>1048</v>
      </c>
      <c r="I214" t="s">
        <v>1247</v>
      </c>
      <c r="J214" t="s">
        <v>1460</v>
      </c>
      <c r="M214" t="s">
        <v>1615</v>
      </c>
      <c r="N214">
        <v>48121</v>
      </c>
      <c r="P214" t="s">
        <v>1625</v>
      </c>
      <c r="Q214" t="s">
        <v>1628</v>
      </c>
      <c r="R214">
        <v>3.1</v>
      </c>
    </row>
    <row r="215" spans="1:18" x14ac:dyDescent="0.35">
      <c r="A215" t="s">
        <v>231</v>
      </c>
      <c r="B215" t="s">
        <v>573</v>
      </c>
      <c r="C215" t="s">
        <v>836</v>
      </c>
      <c r="D215" t="s">
        <v>1024</v>
      </c>
      <c r="E215" t="s">
        <v>1030</v>
      </c>
      <c r="F215" t="s">
        <v>1039</v>
      </c>
      <c r="G215" t="s">
        <v>1043</v>
      </c>
      <c r="H215" t="s">
        <v>1046</v>
      </c>
      <c r="I215" t="s">
        <v>1248</v>
      </c>
      <c r="J215" t="s">
        <v>1461</v>
      </c>
      <c r="M215" t="s">
        <v>1615</v>
      </c>
      <c r="N215">
        <v>44094</v>
      </c>
      <c r="P215" t="s">
        <v>1625</v>
      </c>
      <c r="Q215" t="s">
        <v>1627</v>
      </c>
      <c r="R215">
        <v>3.9</v>
      </c>
    </row>
    <row r="216" spans="1:18" x14ac:dyDescent="0.35">
      <c r="A216" t="s">
        <v>232</v>
      </c>
      <c r="B216" t="s">
        <v>430</v>
      </c>
      <c r="C216" t="s">
        <v>837</v>
      </c>
      <c r="D216" t="s">
        <v>1025</v>
      </c>
      <c r="E216" t="s">
        <v>1032</v>
      </c>
      <c r="F216" t="s">
        <v>1040</v>
      </c>
      <c r="G216" t="s">
        <v>1042</v>
      </c>
      <c r="H216" t="s">
        <v>1051</v>
      </c>
      <c r="I216" t="s">
        <v>1249</v>
      </c>
      <c r="J216" t="s">
        <v>1462</v>
      </c>
      <c r="M216" t="s">
        <v>1615</v>
      </c>
      <c r="N216">
        <v>28263</v>
      </c>
      <c r="P216" t="s">
        <v>1624</v>
      </c>
      <c r="Q216" t="s">
        <v>1626</v>
      </c>
      <c r="R216">
        <v>4.9000000000000004</v>
      </c>
    </row>
    <row r="217" spans="1:18" x14ac:dyDescent="0.35">
      <c r="A217" t="s">
        <v>233</v>
      </c>
      <c r="B217" t="s">
        <v>531</v>
      </c>
      <c r="C217" t="s">
        <v>838</v>
      </c>
      <c r="D217" t="s">
        <v>1027</v>
      </c>
      <c r="E217" t="s">
        <v>1029</v>
      </c>
      <c r="F217" t="s">
        <v>1039</v>
      </c>
      <c r="G217" t="s">
        <v>1041</v>
      </c>
      <c r="H217" t="s">
        <v>1050</v>
      </c>
      <c r="I217" t="s">
        <v>1161</v>
      </c>
      <c r="M217" t="s">
        <v>1616</v>
      </c>
      <c r="N217">
        <v>40494</v>
      </c>
      <c r="P217" t="s">
        <v>1625</v>
      </c>
      <c r="Q217" t="s">
        <v>1626</v>
      </c>
      <c r="R217">
        <v>3</v>
      </c>
    </row>
    <row r="218" spans="1:18" x14ac:dyDescent="0.35">
      <c r="A218" t="s">
        <v>234</v>
      </c>
      <c r="B218" t="s">
        <v>423</v>
      </c>
      <c r="C218" t="s">
        <v>839</v>
      </c>
      <c r="D218" t="s">
        <v>1025</v>
      </c>
      <c r="E218" t="s">
        <v>1031</v>
      </c>
      <c r="F218" t="s">
        <v>1036</v>
      </c>
      <c r="G218" t="s">
        <v>1042</v>
      </c>
      <c r="H218" t="s">
        <v>1052</v>
      </c>
      <c r="I218" t="s">
        <v>1236</v>
      </c>
      <c r="M218" t="s">
        <v>1619</v>
      </c>
      <c r="N218">
        <v>41242</v>
      </c>
      <c r="P218" t="s">
        <v>1622</v>
      </c>
      <c r="Q218" t="s">
        <v>1627</v>
      </c>
      <c r="R218">
        <v>4.5999999999999996</v>
      </c>
    </row>
    <row r="219" spans="1:18" x14ac:dyDescent="0.35">
      <c r="A219" t="s">
        <v>235</v>
      </c>
      <c r="B219" t="s">
        <v>487</v>
      </c>
      <c r="C219" t="s">
        <v>840</v>
      </c>
      <c r="D219" t="s">
        <v>1024</v>
      </c>
      <c r="E219" t="s">
        <v>1028</v>
      </c>
      <c r="F219" t="s">
        <v>1040</v>
      </c>
      <c r="G219" t="s">
        <v>1041</v>
      </c>
      <c r="H219" t="s">
        <v>1050</v>
      </c>
      <c r="I219" t="s">
        <v>1250</v>
      </c>
      <c r="M219" t="s">
        <v>1616</v>
      </c>
      <c r="N219">
        <v>47884</v>
      </c>
      <c r="P219" t="s">
        <v>1624</v>
      </c>
      <c r="Q219" t="s">
        <v>1626</v>
      </c>
      <c r="R219">
        <v>4.5</v>
      </c>
    </row>
    <row r="220" spans="1:18" x14ac:dyDescent="0.35">
      <c r="A220" t="s">
        <v>236</v>
      </c>
      <c r="B220" t="s">
        <v>574</v>
      </c>
      <c r="C220" t="s">
        <v>841</v>
      </c>
      <c r="D220" t="s">
        <v>1024</v>
      </c>
      <c r="E220" t="s">
        <v>1032</v>
      </c>
      <c r="F220" t="s">
        <v>1038</v>
      </c>
      <c r="G220" t="s">
        <v>1041</v>
      </c>
      <c r="H220" t="s">
        <v>1052</v>
      </c>
      <c r="I220" t="s">
        <v>1251</v>
      </c>
      <c r="J220" t="s">
        <v>1463</v>
      </c>
      <c r="K220" t="s">
        <v>1555</v>
      </c>
      <c r="M220" t="s">
        <v>1618</v>
      </c>
      <c r="N220">
        <v>47103</v>
      </c>
      <c r="O220">
        <v>45973</v>
      </c>
      <c r="P220" t="s">
        <v>1623</v>
      </c>
      <c r="Q220" t="s">
        <v>1627</v>
      </c>
      <c r="R220">
        <v>3.3</v>
      </c>
    </row>
    <row r="221" spans="1:18" x14ac:dyDescent="0.35">
      <c r="A221" t="s">
        <v>237</v>
      </c>
      <c r="B221" t="s">
        <v>477</v>
      </c>
      <c r="C221" t="s">
        <v>842</v>
      </c>
      <c r="D221" t="s">
        <v>1022</v>
      </c>
      <c r="E221" t="s">
        <v>1030</v>
      </c>
      <c r="F221" t="s">
        <v>1040</v>
      </c>
      <c r="G221" t="s">
        <v>1042</v>
      </c>
      <c r="H221" t="s">
        <v>1047</v>
      </c>
      <c r="I221" t="s">
        <v>1252</v>
      </c>
      <c r="J221" t="s">
        <v>1464</v>
      </c>
      <c r="K221" t="s">
        <v>1556</v>
      </c>
      <c r="M221" t="s">
        <v>1618</v>
      </c>
      <c r="N221">
        <v>39853</v>
      </c>
      <c r="O221">
        <v>40676</v>
      </c>
      <c r="P221" t="s">
        <v>1621</v>
      </c>
      <c r="Q221" t="s">
        <v>1626</v>
      </c>
      <c r="R221">
        <v>3.2</v>
      </c>
    </row>
    <row r="222" spans="1:18" x14ac:dyDescent="0.35">
      <c r="A222" t="s">
        <v>238</v>
      </c>
      <c r="B222" t="s">
        <v>418</v>
      </c>
      <c r="C222" t="s">
        <v>843</v>
      </c>
      <c r="D222" t="s">
        <v>1027</v>
      </c>
      <c r="E222" t="s">
        <v>1032</v>
      </c>
      <c r="F222" t="s">
        <v>1037</v>
      </c>
      <c r="G222" t="s">
        <v>1043</v>
      </c>
      <c r="H222" t="s">
        <v>1048</v>
      </c>
      <c r="I222" t="s">
        <v>1253</v>
      </c>
      <c r="M222" t="s">
        <v>1616</v>
      </c>
      <c r="N222">
        <v>38830</v>
      </c>
      <c r="P222" t="s">
        <v>1622</v>
      </c>
      <c r="Q222" t="s">
        <v>1626</v>
      </c>
      <c r="R222">
        <v>3.5</v>
      </c>
    </row>
    <row r="223" spans="1:18" x14ac:dyDescent="0.35">
      <c r="A223" t="s">
        <v>239</v>
      </c>
      <c r="B223" t="s">
        <v>575</v>
      </c>
      <c r="C223" t="s">
        <v>844</v>
      </c>
      <c r="D223" t="s">
        <v>1024</v>
      </c>
      <c r="E223" t="s">
        <v>1028</v>
      </c>
      <c r="F223" t="s">
        <v>1035</v>
      </c>
      <c r="G223" t="s">
        <v>1043</v>
      </c>
      <c r="H223" t="s">
        <v>1047</v>
      </c>
      <c r="I223" t="s">
        <v>1254</v>
      </c>
      <c r="J223" t="s">
        <v>1130</v>
      </c>
      <c r="M223" t="s">
        <v>1615</v>
      </c>
      <c r="N223">
        <v>32923</v>
      </c>
      <c r="P223" t="s">
        <v>1621</v>
      </c>
      <c r="Q223" t="s">
        <v>1627</v>
      </c>
      <c r="R223">
        <v>2.7</v>
      </c>
    </row>
    <row r="224" spans="1:18" x14ac:dyDescent="0.35">
      <c r="A224" t="s">
        <v>240</v>
      </c>
      <c r="B224" t="s">
        <v>441</v>
      </c>
      <c r="C224" t="s">
        <v>845</v>
      </c>
      <c r="D224" t="s">
        <v>1026</v>
      </c>
      <c r="E224" t="s">
        <v>1028</v>
      </c>
      <c r="F224" t="s">
        <v>1034</v>
      </c>
      <c r="G224" t="s">
        <v>1041</v>
      </c>
      <c r="H224" t="s">
        <v>1046</v>
      </c>
      <c r="I224" t="s">
        <v>1255</v>
      </c>
      <c r="M224" t="s">
        <v>1616</v>
      </c>
      <c r="N224">
        <v>33884</v>
      </c>
      <c r="P224" t="s">
        <v>1623</v>
      </c>
      <c r="Q224" t="s">
        <v>1626</v>
      </c>
      <c r="R224">
        <v>3.3</v>
      </c>
    </row>
    <row r="225" spans="1:18" x14ac:dyDescent="0.35">
      <c r="A225" t="s">
        <v>241</v>
      </c>
      <c r="B225" t="s">
        <v>425</v>
      </c>
      <c r="C225" t="s">
        <v>846</v>
      </c>
      <c r="D225" t="s">
        <v>1026</v>
      </c>
      <c r="E225" t="s">
        <v>1028</v>
      </c>
      <c r="F225" t="s">
        <v>1039</v>
      </c>
      <c r="G225" t="s">
        <v>1045</v>
      </c>
      <c r="H225" t="s">
        <v>1052</v>
      </c>
      <c r="I225" t="s">
        <v>1232</v>
      </c>
      <c r="M225" t="s">
        <v>1619</v>
      </c>
      <c r="N225">
        <v>31327</v>
      </c>
      <c r="P225" t="s">
        <v>1625</v>
      </c>
      <c r="Q225" t="s">
        <v>1626</v>
      </c>
      <c r="R225">
        <v>3</v>
      </c>
    </row>
    <row r="226" spans="1:18" x14ac:dyDescent="0.35">
      <c r="A226" t="s">
        <v>242</v>
      </c>
      <c r="B226" t="s">
        <v>492</v>
      </c>
      <c r="C226" t="s">
        <v>847</v>
      </c>
      <c r="D226" t="s">
        <v>1027</v>
      </c>
      <c r="E226" t="s">
        <v>1028</v>
      </c>
      <c r="F226" t="s">
        <v>1037</v>
      </c>
      <c r="G226" t="s">
        <v>1041</v>
      </c>
      <c r="H226" t="s">
        <v>1048</v>
      </c>
      <c r="I226" t="s">
        <v>1092</v>
      </c>
      <c r="M226" t="s">
        <v>1616</v>
      </c>
      <c r="N226">
        <v>38045</v>
      </c>
      <c r="P226" t="s">
        <v>1625</v>
      </c>
      <c r="Q226" t="s">
        <v>1626</v>
      </c>
      <c r="R226">
        <v>4.0999999999999996</v>
      </c>
    </row>
    <row r="227" spans="1:18" x14ac:dyDescent="0.35">
      <c r="A227" t="s">
        <v>243</v>
      </c>
      <c r="B227" t="s">
        <v>576</v>
      </c>
      <c r="C227" t="s">
        <v>848</v>
      </c>
      <c r="D227" t="s">
        <v>1022</v>
      </c>
      <c r="E227" t="s">
        <v>1031</v>
      </c>
      <c r="F227" t="s">
        <v>1039</v>
      </c>
      <c r="G227" t="s">
        <v>1043</v>
      </c>
      <c r="H227" t="s">
        <v>1046</v>
      </c>
      <c r="I227" t="s">
        <v>1256</v>
      </c>
      <c r="M227" t="s">
        <v>1616</v>
      </c>
      <c r="N227">
        <v>29811</v>
      </c>
      <c r="P227" t="s">
        <v>1623</v>
      </c>
      <c r="Q227" t="s">
        <v>1627</v>
      </c>
      <c r="R227">
        <v>2.8</v>
      </c>
    </row>
    <row r="228" spans="1:18" x14ac:dyDescent="0.35">
      <c r="A228" t="s">
        <v>244</v>
      </c>
      <c r="B228" t="s">
        <v>577</v>
      </c>
      <c r="C228" t="s">
        <v>849</v>
      </c>
      <c r="D228" t="s">
        <v>1025</v>
      </c>
      <c r="E228" t="s">
        <v>1031</v>
      </c>
      <c r="F228" t="s">
        <v>1038</v>
      </c>
      <c r="G228" t="s">
        <v>1043</v>
      </c>
      <c r="H228" t="s">
        <v>1052</v>
      </c>
      <c r="I228" t="s">
        <v>1257</v>
      </c>
      <c r="M228" t="s">
        <v>1616</v>
      </c>
      <c r="N228">
        <v>29542</v>
      </c>
      <c r="P228" t="s">
        <v>1624</v>
      </c>
      <c r="Q228" t="s">
        <v>1628</v>
      </c>
      <c r="R228">
        <v>2.7</v>
      </c>
    </row>
    <row r="229" spans="1:18" x14ac:dyDescent="0.35">
      <c r="A229" t="s">
        <v>245</v>
      </c>
      <c r="B229" t="s">
        <v>578</v>
      </c>
      <c r="C229" t="s">
        <v>850</v>
      </c>
      <c r="D229" t="s">
        <v>1022</v>
      </c>
      <c r="E229" t="s">
        <v>1032</v>
      </c>
      <c r="F229" t="s">
        <v>1034</v>
      </c>
      <c r="G229" t="s">
        <v>1045</v>
      </c>
      <c r="H229" t="s">
        <v>1052</v>
      </c>
      <c r="I229" t="s">
        <v>1258</v>
      </c>
      <c r="M229" t="s">
        <v>1619</v>
      </c>
      <c r="N229">
        <v>50678</v>
      </c>
      <c r="P229" t="s">
        <v>1622</v>
      </c>
      <c r="Q229" t="s">
        <v>1626</v>
      </c>
      <c r="R229">
        <v>3.9</v>
      </c>
    </row>
    <row r="230" spans="1:18" x14ac:dyDescent="0.35">
      <c r="A230" t="s">
        <v>246</v>
      </c>
      <c r="B230" t="s">
        <v>506</v>
      </c>
      <c r="C230" t="s">
        <v>851</v>
      </c>
      <c r="D230" t="s">
        <v>1026</v>
      </c>
      <c r="E230" t="s">
        <v>1028</v>
      </c>
      <c r="F230" t="s">
        <v>1037</v>
      </c>
      <c r="G230" t="s">
        <v>1043</v>
      </c>
      <c r="H230" t="s">
        <v>1050</v>
      </c>
      <c r="I230" t="s">
        <v>1259</v>
      </c>
      <c r="M230" t="s">
        <v>1616</v>
      </c>
      <c r="N230">
        <v>34998</v>
      </c>
      <c r="P230" t="s">
        <v>1621</v>
      </c>
      <c r="Q230" t="s">
        <v>1626</v>
      </c>
      <c r="R230">
        <v>2.4</v>
      </c>
    </row>
    <row r="231" spans="1:18" x14ac:dyDescent="0.35">
      <c r="A231" t="s">
        <v>247</v>
      </c>
      <c r="B231" t="s">
        <v>579</v>
      </c>
      <c r="C231" t="s">
        <v>852</v>
      </c>
      <c r="D231" t="s">
        <v>1026</v>
      </c>
      <c r="E231" t="s">
        <v>1029</v>
      </c>
      <c r="F231" t="s">
        <v>1034</v>
      </c>
      <c r="G231" t="s">
        <v>1043</v>
      </c>
      <c r="H231" t="s">
        <v>1048</v>
      </c>
      <c r="I231" t="s">
        <v>1247</v>
      </c>
      <c r="M231" t="s">
        <v>1619</v>
      </c>
      <c r="N231">
        <v>44716</v>
      </c>
      <c r="P231" t="s">
        <v>1621</v>
      </c>
      <c r="Q231" t="s">
        <v>1628</v>
      </c>
      <c r="R231">
        <v>3.8</v>
      </c>
    </row>
    <row r="232" spans="1:18" x14ac:dyDescent="0.35">
      <c r="A232" t="s">
        <v>248</v>
      </c>
      <c r="B232" t="s">
        <v>560</v>
      </c>
      <c r="C232" t="s">
        <v>853</v>
      </c>
      <c r="D232" t="s">
        <v>1022</v>
      </c>
      <c r="E232" t="s">
        <v>1031</v>
      </c>
      <c r="F232" t="s">
        <v>1037</v>
      </c>
      <c r="G232" t="s">
        <v>1044</v>
      </c>
      <c r="H232" t="s">
        <v>1047</v>
      </c>
      <c r="I232" t="s">
        <v>1260</v>
      </c>
      <c r="M232" t="s">
        <v>1616</v>
      </c>
      <c r="N232">
        <v>38213</v>
      </c>
      <c r="P232" t="s">
        <v>1625</v>
      </c>
      <c r="Q232" t="s">
        <v>1626</v>
      </c>
      <c r="R232">
        <v>4.4000000000000004</v>
      </c>
    </row>
    <row r="233" spans="1:18" x14ac:dyDescent="0.35">
      <c r="A233" t="s">
        <v>249</v>
      </c>
      <c r="B233" t="s">
        <v>580</v>
      </c>
      <c r="C233" t="s">
        <v>854</v>
      </c>
      <c r="D233" t="s">
        <v>1025</v>
      </c>
      <c r="E233" t="s">
        <v>1029</v>
      </c>
      <c r="F233" t="s">
        <v>1038</v>
      </c>
      <c r="G233" t="s">
        <v>1042</v>
      </c>
      <c r="H233" t="s">
        <v>1046</v>
      </c>
      <c r="I233" t="s">
        <v>1261</v>
      </c>
      <c r="M233" t="s">
        <v>1616</v>
      </c>
      <c r="N233">
        <v>40024</v>
      </c>
      <c r="P233" t="s">
        <v>1624</v>
      </c>
      <c r="Q233" t="s">
        <v>1628</v>
      </c>
      <c r="R233">
        <v>4.3</v>
      </c>
    </row>
    <row r="234" spans="1:18" x14ac:dyDescent="0.35">
      <c r="A234" t="s">
        <v>250</v>
      </c>
      <c r="B234" t="s">
        <v>527</v>
      </c>
      <c r="C234" t="s">
        <v>848</v>
      </c>
      <c r="D234" t="s">
        <v>1025</v>
      </c>
      <c r="E234" t="s">
        <v>1032</v>
      </c>
      <c r="F234" t="s">
        <v>1037</v>
      </c>
      <c r="G234" t="s">
        <v>1042</v>
      </c>
      <c r="H234" t="s">
        <v>1050</v>
      </c>
      <c r="I234" t="s">
        <v>1236</v>
      </c>
      <c r="M234" t="s">
        <v>1616</v>
      </c>
      <c r="N234">
        <v>50839</v>
      </c>
      <c r="P234" t="s">
        <v>1621</v>
      </c>
      <c r="Q234" t="s">
        <v>1626</v>
      </c>
      <c r="R234">
        <v>4.5</v>
      </c>
    </row>
    <row r="235" spans="1:18" x14ac:dyDescent="0.35">
      <c r="A235" t="s">
        <v>251</v>
      </c>
      <c r="B235" t="s">
        <v>485</v>
      </c>
      <c r="C235" t="s">
        <v>855</v>
      </c>
      <c r="D235" t="s">
        <v>1023</v>
      </c>
      <c r="E235" t="s">
        <v>1030</v>
      </c>
      <c r="F235" t="s">
        <v>1038</v>
      </c>
      <c r="G235" t="s">
        <v>1043</v>
      </c>
      <c r="H235" t="s">
        <v>1046</v>
      </c>
      <c r="I235" t="s">
        <v>1064</v>
      </c>
      <c r="M235" t="s">
        <v>1616</v>
      </c>
      <c r="N235">
        <v>50440</v>
      </c>
      <c r="P235" t="s">
        <v>1623</v>
      </c>
      <c r="Q235" t="s">
        <v>1626</v>
      </c>
      <c r="R235">
        <v>3.4</v>
      </c>
    </row>
    <row r="236" spans="1:18" x14ac:dyDescent="0.35">
      <c r="A236" t="s">
        <v>252</v>
      </c>
      <c r="B236" t="s">
        <v>448</v>
      </c>
      <c r="C236" t="s">
        <v>856</v>
      </c>
      <c r="D236" t="s">
        <v>1022</v>
      </c>
      <c r="E236" t="s">
        <v>1030</v>
      </c>
      <c r="F236" t="s">
        <v>1036</v>
      </c>
      <c r="G236" t="s">
        <v>1043</v>
      </c>
      <c r="H236" t="s">
        <v>1046</v>
      </c>
      <c r="I236" t="s">
        <v>1220</v>
      </c>
      <c r="J236" t="s">
        <v>1465</v>
      </c>
      <c r="K236" t="s">
        <v>1557</v>
      </c>
      <c r="L236" t="s">
        <v>1604</v>
      </c>
      <c r="M236" t="s">
        <v>1620</v>
      </c>
      <c r="N236">
        <v>34176</v>
      </c>
      <c r="O236">
        <v>36770</v>
      </c>
      <c r="P236" t="s">
        <v>1625</v>
      </c>
      <c r="Q236" t="s">
        <v>1626</v>
      </c>
      <c r="R236">
        <v>2.8</v>
      </c>
    </row>
    <row r="237" spans="1:18" x14ac:dyDescent="0.35">
      <c r="A237" t="s">
        <v>253</v>
      </c>
      <c r="B237" t="s">
        <v>464</v>
      </c>
      <c r="C237" t="s">
        <v>857</v>
      </c>
      <c r="D237" t="s">
        <v>1027</v>
      </c>
      <c r="E237" t="s">
        <v>1029</v>
      </c>
      <c r="F237" t="s">
        <v>1033</v>
      </c>
      <c r="G237" t="s">
        <v>1042</v>
      </c>
      <c r="H237" t="s">
        <v>1047</v>
      </c>
      <c r="I237" t="s">
        <v>1262</v>
      </c>
      <c r="J237" t="s">
        <v>1466</v>
      </c>
      <c r="M237" t="s">
        <v>1615</v>
      </c>
      <c r="N237">
        <v>31908</v>
      </c>
      <c r="P237" t="s">
        <v>1621</v>
      </c>
      <c r="Q237" t="s">
        <v>1626</v>
      </c>
      <c r="R237">
        <v>4.5999999999999996</v>
      </c>
    </row>
    <row r="238" spans="1:18" x14ac:dyDescent="0.35">
      <c r="A238" t="s">
        <v>254</v>
      </c>
      <c r="B238" t="s">
        <v>581</v>
      </c>
      <c r="C238" t="s">
        <v>858</v>
      </c>
      <c r="D238" t="s">
        <v>1022</v>
      </c>
      <c r="E238" t="s">
        <v>1031</v>
      </c>
      <c r="F238" t="s">
        <v>1035</v>
      </c>
      <c r="G238" t="s">
        <v>1043</v>
      </c>
      <c r="H238" t="s">
        <v>1052</v>
      </c>
      <c r="I238" t="s">
        <v>1263</v>
      </c>
      <c r="M238" t="s">
        <v>1616</v>
      </c>
      <c r="N238">
        <v>46276</v>
      </c>
      <c r="P238" t="s">
        <v>1624</v>
      </c>
      <c r="Q238" t="s">
        <v>1627</v>
      </c>
      <c r="R238">
        <v>2.6</v>
      </c>
    </row>
    <row r="239" spans="1:18" x14ac:dyDescent="0.35">
      <c r="A239" t="s">
        <v>255</v>
      </c>
      <c r="B239" t="s">
        <v>582</v>
      </c>
      <c r="C239" t="s">
        <v>859</v>
      </c>
      <c r="D239" t="s">
        <v>1025</v>
      </c>
      <c r="E239" t="s">
        <v>1029</v>
      </c>
      <c r="F239" t="s">
        <v>1033</v>
      </c>
      <c r="G239" t="s">
        <v>1042</v>
      </c>
      <c r="H239" t="s">
        <v>1046</v>
      </c>
      <c r="I239" t="s">
        <v>1264</v>
      </c>
      <c r="J239" t="s">
        <v>1467</v>
      </c>
      <c r="K239" t="s">
        <v>1558</v>
      </c>
      <c r="L239" t="s">
        <v>1605</v>
      </c>
      <c r="M239" t="s">
        <v>1620</v>
      </c>
      <c r="N239">
        <v>32708</v>
      </c>
      <c r="O239">
        <v>35014</v>
      </c>
      <c r="P239" t="s">
        <v>1623</v>
      </c>
      <c r="Q239" t="s">
        <v>1626</v>
      </c>
      <c r="R239">
        <v>3.1</v>
      </c>
    </row>
    <row r="240" spans="1:18" x14ac:dyDescent="0.35">
      <c r="A240" t="s">
        <v>256</v>
      </c>
      <c r="B240" t="s">
        <v>583</v>
      </c>
      <c r="C240" t="s">
        <v>860</v>
      </c>
      <c r="D240" t="s">
        <v>1024</v>
      </c>
      <c r="E240" t="s">
        <v>1028</v>
      </c>
      <c r="F240" t="s">
        <v>1038</v>
      </c>
      <c r="G240" t="s">
        <v>1043</v>
      </c>
      <c r="H240" t="s">
        <v>1049</v>
      </c>
      <c r="I240" t="s">
        <v>1265</v>
      </c>
      <c r="M240" t="s">
        <v>1619</v>
      </c>
      <c r="N240">
        <v>43659</v>
      </c>
      <c r="P240" t="s">
        <v>1622</v>
      </c>
      <c r="Q240" t="s">
        <v>1627</v>
      </c>
      <c r="R240">
        <v>3.9</v>
      </c>
    </row>
    <row r="241" spans="1:18" x14ac:dyDescent="0.35">
      <c r="A241" t="s">
        <v>257</v>
      </c>
      <c r="B241" t="s">
        <v>419</v>
      </c>
      <c r="C241" t="s">
        <v>861</v>
      </c>
      <c r="D241" t="s">
        <v>1026</v>
      </c>
      <c r="E241" t="s">
        <v>1029</v>
      </c>
      <c r="F241" t="s">
        <v>1037</v>
      </c>
      <c r="G241" t="s">
        <v>1042</v>
      </c>
      <c r="H241" t="s">
        <v>1051</v>
      </c>
      <c r="I241" t="s">
        <v>1266</v>
      </c>
      <c r="J241" t="s">
        <v>1468</v>
      </c>
      <c r="M241" t="s">
        <v>1615</v>
      </c>
      <c r="N241">
        <v>48097</v>
      </c>
      <c r="P241" t="s">
        <v>1624</v>
      </c>
      <c r="Q241" t="s">
        <v>1626</v>
      </c>
      <c r="R241">
        <v>2.4</v>
      </c>
    </row>
    <row r="242" spans="1:18" x14ac:dyDescent="0.35">
      <c r="A242" t="s">
        <v>258</v>
      </c>
      <c r="B242" t="s">
        <v>556</v>
      </c>
      <c r="C242" t="s">
        <v>862</v>
      </c>
      <c r="D242" t="s">
        <v>1025</v>
      </c>
      <c r="E242" t="s">
        <v>1028</v>
      </c>
      <c r="F242" t="s">
        <v>1039</v>
      </c>
      <c r="G242" t="s">
        <v>1041</v>
      </c>
      <c r="H242" t="s">
        <v>1048</v>
      </c>
      <c r="I242" t="s">
        <v>1267</v>
      </c>
      <c r="M242" t="s">
        <v>1617</v>
      </c>
      <c r="N242">
        <v>40555</v>
      </c>
      <c r="P242" t="s">
        <v>1624</v>
      </c>
      <c r="Q242" t="s">
        <v>1627</v>
      </c>
      <c r="R242">
        <v>4.7</v>
      </c>
    </row>
    <row r="243" spans="1:18" x14ac:dyDescent="0.35">
      <c r="A243" t="s">
        <v>259</v>
      </c>
      <c r="B243" t="s">
        <v>584</v>
      </c>
      <c r="C243" t="s">
        <v>863</v>
      </c>
      <c r="D243" t="s">
        <v>1025</v>
      </c>
      <c r="E243" t="s">
        <v>1032</v>
      </c>
      <c r="F243" t="s">
        <v>1034</v>
      </c>
      <c r="G243" t="s">
        <v>1043</v>
      </c>
      <c r="H243" t="s">
        <v>1049</v>
      </c>
      <c r="I243" t="s">
        <v>1268</v>
      </c>
      <c r="J243" t="s">
        <v>1279</v>
      </c>
      <c r="M243" t="s">
        <v>1615</v>
      </c>
      <c r="N243">
        <v>51983</v>
      </c>
      <c r="P243" t="s">
        <v>1624</v>
      </c>
      <c r="Q243" t="s">
        <v>1627</v>
      </c>
      <c r="R243">
        <v>3.8</v>
      </c>
    </row>
    <row r="244" spans="1:18" x14ac:dyDescent="0.35">
      <c r="A244" t="s">
        <v>260</v>
      </c>
      <c r="B244" t="s">
        <v>496</v>
      </c>
      <c r="C244" t="s">
        <v>864</v>
      </c>
      <c r="D244" t="s">
        <v>1025</v>
      </c>
      <c r="E244" t="s">
        <v>1028</v>
      </c>
      <c r="F244" t="s">
        <v>1038</v>
      </c>
      <c r="G244" t="s">
        <v>1041</v>
      </c>
      <c r="H244" t="s">
        <v>1050</v>
      </c>
      <c r="I244" t="s">
        <v>1269</v>
      </c>
      <c r="M244" t="s">
        <v>1619</v>
      </c>
      <c r="N244">
        <v>45843</v>
      </c>
      <c r="P244" t="s">
        <v>1624</v>
      </c>
      <c r="Q244" t="s">
        <v>1626</v>
      </c>
      <c r="R244">
        <v>4.2</v>
      </c>
    </row>
    <row r="245" spans="1:18" x14ac:dyDescent="0.35">
      <c r="A245" t="s">
        <v>261</v>
      </c>
      <c r="B245" t="s">
        <v>585</v>
      </c>
      <c r="C245" t="s">
        <v>865</v>
      </c>
      <c r="D245" t="s">
        <v>1027</v>
      </c>
      <c r="E245" t="s">
        <v>1028</v>
      </c>
      <c r="F245" t="s">
        <v>1040</v>
      </c>
      <c r="G245" t="s">
        <v>1045</v>
      </c>
      <c r="H245" t="s">
        <v>1047</v>
      </c>
      <c r="I245" t="s">
        <v>1270</v>
      </c>
      <c r="J245" t="s">
        <v>1139</v>
      </c>
      <c r="K245" t="s">
        <v>1369</v>
      </c>
      <c r="M245" t="s">
        <v>1618</v>
      </c>
      <c r="N245">
        <v>41730</v>
      </c>
      <c r="O245">
        <v>39142</v>
      </c>
      <c r="P245" t="s">
        <v>1625</v>
      </c>
      <c r="Q245" t="s">
        <v>1628</v>
      </c>
      <c r="R245">
        <v>2.4</v>
      </c>
    </row>
    <row r="246" spans="1:18" x14ac:dyDescent="0.35">
      <c r="A246" t="s">
        <v>262</v>
      </c>
      <c r="B246" t="s">
        <v>509</v>
      </c>
      <c r="C246" t="s">
        <v>866</v>
      </c>
      <c r="D246" t="s">
        <v>1026</v>
      </c>
      <c r="E246" t="s">
        <v>1031</v>
      </c>
      <c r="F246" t="s">
        <v>1033</v>
      </c>
      <c r="G246" t="s">
        <v>1044</v>
      </c>
      <c r="H246" t="s">
        <v>1050</v>
      </c>
      <c r="I246" t="s">
        <v>1271</v>
      </c>
      <c r="M246" t="s">
        <v>1619</v>
      </c>
      <c r="N246">
        <v>39688</v>
      </c>
      <c r="P246" t="s">
        <v>1625</v>
      </c>
      <c r="Q246" t="s">
        <v>1627</v>
      </c>
      <c r="R246">
        <v>4.0999999999999996</v>
      </c>
    </row>
    <row r="247" spans="1:18" x14ac:dyDescent="0.35">
      <c r="A247" t="s">
        <v>263</v>
      </c>
      <c r="B247" t="s">
        <v>586</v>
      </c>
      <c r="C247" t="s">
        <v>867</v>
      </c>
      <c r="D247" t="s">
        <v>1026</v>
      </c>
      <c r="E247" t="s">
        <v>1028</v>
      </c>
      <c r="F247" t="s">
        <v>1036</v>
      </c>
      <c r="G247" t="s">
        <v>1045</v>
      </c>
      <c r="H247" t="s">
        <v>1050</v>
      </c>
      <c r="I247" t="s">
        <v>1272</v>
      </c>
      <c r="M247" t="s">
        <v>1616</v>
      </c>
      <c r="N247">
        <v>37869</v>
      </c>
      <c r="P247" t="s">
        <v>1625</v>
      </c>
      <c r="Q247" t="s">
        <v>1627</v>
      </c>
      <c r="R247">
        <v>2.2999999999999998</v>
      </c>
    </row>
    <row r="248" spans="1:18" x14ac:dyDescent="0.35">
      <c r="A248" t="s">
        <v>264</v>
      </c>
      <c r="B248" t="s">
        <v>495</v>
      </c>
      <c r="C248" t="s">
        <v>868</v>
      </c>
      <c r="D248" t="s">
        <v>1027</v>
      </c>
      <c r="E248" t="s">
        <v>1032</v>
      </c>
      <c r="F248" t="s">
        <v>1037</v>
      </c>
      <c r="G248" t="s">
        <v>1043</v>
      </c>
      <c r="H248" t="s">
        <v>1048</v>
      </c>
      <c r="I248" t="s">
        <v>1166</v>
      </c>
      <c r="M248" t="s">
        <v>1619</v>
      </c>
      <c r="N248">
        <v>35616</v>
      </c>
      <c r="P248" t="s">
        <v>1621</v>
      </c>
      <c r="Q248" t="s">
        <v>1626</v>
      </c>
      <c r="R248">
        <v>2.5</v>
      </c>
    </row>
    <row r="249" spans="1:18" x14ac:dyDescent="0.35">
      <c r="A249" t="s">
        <v>265</v>
      </c>
      <c r="B249" t="s">
        <v>426</v>
      </c>
      <c r="C249" t="s">
        <v>869</v>
      </c>
      <c r="D249" t="s">
        <v>1026</v>
      </c>
      <c r="E249" t="s">
        <v>1029</v>
      </c>
      <c r="F249" t="s">
        <v>1037</v>
      </c>
      <c r="G249" t="s">
        <v>1044</v>
      </c>
      <c r="H249" t="s">
        <v>1046</v>
      </c>
      <c r="I249" t="s">
        <v>1156</v>
      </c>
      <c r="M249" t="s">
        <v>1616</v>
      </c>
      <c r="N249">
        <v>49544</v>
      </c>
      <c r="P249" t="s">
        <v>1625</v>
      </c>
      <c r="Q249" t="s">
        <v>1628</v>
      </c>
    </row>
    <row r="250" spans="1:18" x14ac:dyDescent="0.35">
      <c r="A250" t="s">
        <v>266</v>
      </c>
      <c r="B250" t="s">
        <v>427</v>
      </c>
      <c r="C250" t="s">
        <v>870</v>
      </c>
      <c r="D250" t="s">
        <v>1023</v>
      </c>
      <c r="E250" t="s">
        <v>1032</v>
      </c>
      <c r="F250" t="s">
        <v>1035</v>
      </c>
      <c r="G250" t="s">
        <v>1042</v>
      </c>
      <c r="H250" t="s">
        <v>1050</v>
      </c>
      <c r="I250" t="s">
        <v>1273</v>
      </c>
      <c r="M250" t="s">
        <v>1616</v>
      </c>
      <c r="N250">
        <v>38873</v>
      </c>
      <c r="P250" t="s">
        <v>1623</v>
      </c>
      <c r="Q250" t="s">
        <v>1626</v>
      </c>
      <c r="R250">
        <v>2.9</v>
      </c>
    </row>
    <row r="251" spans="1:18" x14ac:dyDescent="0.35">
      <c r="A251" t="s">
        <v>267</v>
      </c>
      <c r="B251" t="s">
        <v>552</v>
      </c>
      <c r="C251" t="s">
        <v>871</v>
      </c>
      <c r="D251" t="s">
        <v>1022</v>
      </c>
      <c r="E251" t="s">
        <v>1028</v>
      </c>
      <c r="F251" t="s">
        <v>1038</v>
      </c>
      <c r="G251" t="s">
        <v>1042</v>
      </c>
      <c r="H251" t="s">
        <v>1048</v>
      </c>
      <c r="I251" t="s">
        <v>1274</v>
      </c>
      <c r="M251" t="s">
        <v>1616</v>
      </c>
      <c r="N251">
        <v>33259</v>
      </c>
      <c r="P251" t="s">
        <v>1622</v>
      </c>
      <c r="Q251" t="s">
        <v>1627</v>
      </c>
      <c r="R251">
        <v>2.8</v>
      </c>
    </row>
    <row r="252" spans="1:18" x14ac:dyDescent="0.35">
      <c r="A252" t="s">
        <v>268</v>
      </c>
      <c r="B252" t="s">
        <v>574</v>
      </c>
      <c r="C252" t="s">
        <v>872</v>
      </c>
      <c r="D252" t="s">
        <v>1026</v>
      </c>
      <c r="E252" t="s">
        <v>1030</v>
      </c>
      <c r="F252" t="s">
        <v>1040</v>
      </c>
      <c r="G252" t="s">
        <v>1042</v>
      </c>
      <c r="H252" t="s">
        <v>1050</v>
      </c>
      <c r="I252" t="s">
        <v>1275</v>
      </c>
      <c r="J252" t="s">
        <v>1469</v>
      </c>
      <c r="K252" t="s">
        <v>1430</v>
      </c>
      <c r="M252" t="s">
        <v>1618</v>
      </c>
      <c r="N252">
        <v>45332</v>
      </c>
      <c r="O252">
        <v>46484</v>
      </c>
      <c r="P252" t="s">
        <v>1621</v>
      </c>
      <c r="Q252" t="s">
        <v>1626</v>
      </c>
      <c r="R252">
        <v>4.8</v>
      </c>
    </row>
    <row r="253" spans="1:18" x14ac:dyDescent="0.35">
      <c r="A253" t="s">
        <v>269</v>
      </c>
      <c r="B253" t="s">
        <v>531</v>
      </c>
      <c r="C253" t="s">
        <v>873</v>
      </c>
      <c r="D253" t="s">
        <v>1025</v>
      </c>
      <c r="E253" t="s">
        <v>1030</v>
      </c>
      <c r="F253" t="s">
        <v>1038</v>
      </c>
      <c r="G253" t="s">
        <v>1041</v>
      </c>
      <c r="H253" t="s">
        <v>1051</v>
      </c>
      <c r="I253" t="s">
        <v>1276</v>
      </c>
      <c r="J253" t="s">
        <v>1470</v>
      </c>
      <c r="K253" t="s">
        <v>1559</v>
      </c>
      <c r="M253" t="s">
        <v>1618</v>
      </c>
      <c r="N253">
        <v>50664</v>
      </c>
      <c r="O253">
        <v>51046</v>
      </c>
      <c r="P253" t="s">
        <v>1621</v>
      </c>
      <c r="Q253" t="s">
        <v>1627</v>
      </c>
      <c r="R253">
        <v>2.5</v>
      </c>
    </row>
    <row r="254" spans="1:18" x14ac:dyDescent="0.35">
      <c r="A254" t="s">
        <v>270</v>
      </c>
      <c r="B254" t="s">
        <v>574</v>
      </c>
      <c r="C254" t="s">
        <v>874</v>
      </c>
      <c r="D254" t="s">
        <v>1022</v>
      </c>
      <c r="E254" t="s">
        <v>1029</v>
      </c>
      <c r="F254" t="s">
        <v>1040</v>
      </c>
      <c r="G254" t="s">
        <v>1045</v>
      </c>
      <c r="H254" t="s">
        <v>1046</v>
      </c>
      <c r="I254" t="s">
        <v>1076</v>
      </c>
      <c r="M254" t="s">
        <v>1616</v>
      </c>
      <c r="N254">
        <v>36993</v>
      </c>
      <c r="P254" t="s">
        <v>1625</v>
      </c>
      <c r="Q254" t="s">
        <v>1627</v>
      </c>
      <c r="R254">
        <v>2.5</v>
      </c>
    </row>
    <row r="255" spans="1:18" x14ac:dyDescent="0.35">
      <c r="A255" t="s">
        <v>271</v>
      </c>
      <c r="B255" t="s">
        <v>551</v>
      </c>
      <c r="C255" t="s">
        <v>875</v>
      </c>
      <c r="D255" t="s">
        <v>1023</v>
      </c>
      <c r="E255" t="s">
        <v>1031</v>
      </c>
      <c r="F255" t="s">
        <v>1034</v>
      </c>
      <c r="G255" t="s">
        <v>1042</v>
      </c>
      <c r="H255" t="s">
        <v>1047</v>
      </c>
      <c r="I255" t="s">
        <v>1277</v>
      </c>
      <c r="J255" t="s">
        <v>1471</v>
      </c>
      <c r="M255" t="s">
        <v>1615</v>
      </c>
      <c r="N255">
        <v>47168</v>
      </c>
      <c r="P255" t="s">
        <v>1622</v>
      </c>
      <c r="Q255" t="s">
        <v>1628</v>
      </c>
      <c r="R255">
        <v>4.4000000000000004</v>
      </c>
    </row>
    <row r="256" spans="1:18" x14ac:dyDescent="0.35">
      <c r="A256" t="s">
        <v>272</v>
      </c>
      <c r="B256" t="s">
        <v>437</v>
      </c>
      <c r="C256" t="s">
        <v>876</v>
      </c>
      <c r="D256" t="s">
        <v>1022</v>
      </c>
      <c r="E256" t="s">
        <v>1031</v>
      </c>
      <c r="F256" t="s">
        <v>1035</v>
      </c>
      <c r="G256" t="s">
        <v>1041</v>
      </c>
      <c r="H256" t="s">
        <v>1050</v>
      </c>
      <c r="I256" t="s">
        <v>1278</v>
      </c>
      <c r="M256" t="s">
        <v>1619</v>
      </c>
      <c r="N256">
        <v>50986</v>
      </c>
      <c r="P256" t="s">
        <v>1621</v>
      </c>
      <c r="Q256" t="s">
        <v>1628</v>
      </c>
      <c r="R256">
        <v>4.2</v>
      </c>
    </row>
    <row r="257" spans="1:18" x14ac:dyDescent="0.35">
      <c r="A257" t="s">
        <v>273</v>
      </c>
      <c r="B257" t="s">
        <v>546</v>
      </c>
      <c r="C257" t="s">
        <v>877</v>
      </c>
      <c r="D257" t="s">
        <v>1027</v>
      </c>
      <c r="E257" t="s">
        <v>1030</v>
      </c>
      <c r="F257" t="s">
        <v>1033</v>
      </c>
      <c r="G257" t="s">
        <v>1044</v>
      </c>
      <c r="H257" t="s">
        <v>1049</v>
      </c>
      <c r="I257" t="s">
        <v>1279</v>
      </c>
      <c r="J257" t="s">
        <v>1472</v>
      </c>
      <c r="K257" t="s">
        <v>1316</v>
      </c>
      <c r="L257" t="s">
        <v>1606</v>
      </c>
      <c r="M257" t="s">
        <v>1620</v>
      </c>
      <c r="N257">
        <v>50717</v>
      </c>
      <c r="O257">
        <v>47768</v>
      </c>
      <c r="P257" t="s">
        <v>1625</v>
      </c>
      <c r="Q257" t="s">
        <v>1626</v>
      </c>
      <c r="R257">
        <v>4.4000000000000004</v>
      </c>
    </row>
    <row r="258" spans="1:18" x14ac:dyDescent="0.35">
      <c r="A258" t="s">
        <v>274</v>
      </c>
      <c r="B258" t="s">
        <v>522</v>
      </c>
      <c r="C258" t="s">
        <v>878</v>
      </c>
      <c r="D258" t="s">
        <v>1022</v>
      </c>
      <c r="E258" t="s">
        <v>1030</v>
      </c>
      <c r="F258" t="s">
        <v>1038</v>
      </c>
      <c r="G258" t="s">
        <v>1044</v>
      </c>
      <c r="H258" t="s">
        <v>1047</v>
      </c>
      <c r="I258" t="s">
        <v>1280</v>
      </c>
      <c r="J258" t="s">
        <v>1361</v>
      </c>
      <c r="M258" t="s">
        <v>1615</v>
      </c>
      <c r="N258">
        <v>45428</v>
      </c>
      <c r="P258" t="s">
        <v>1624</v>
      </c>
      <c r="Q258" t="s">
        <v>1626</v>
      </c>
      <c r="R258">
        <v>2.2999999999999998</v>
      </c>
    </row>
    <row r="259" spans="1:18" x14ac:dyDescent="0.35">
      <c r="A259" t="s">
        <v>275</v>
      </c>
      <c r="B259" t="s">
        <v>587</v>
      </c>
      <c r="C259" t="s">
        <v>879</v>
      </c>
      <c r="D259" t="s">
        <v>1027</v>
      </c>
      <c r="E259" t="s">
        <v>1028</v>
      </c>
      <c r="F259" t="s">
        <v>1036</v>
      </c>
      <c r="G259" t="s">
        <v>1043</v>
      </c>
      <c r="H259" t="s">
        <v>1051</v>
      </c>
      <c r="I259" t="s">
        <v>1281</v>
      </c>
      <c r="J259" t="s">
        <v>1435</v>
      </c>
      <c r="M259" t="s">
        <v>1615</v>
      </c>
      <c r="N259">
        <v>47732</v>
      </c>
      <c r="P259" t="s">
        <v>1621</v>
      </c>
      <c r="Q259" t="s">
        <v>1628</v>
      </c>
      <c r="R259">
        <v>3.7</v>
      </c>
    </row>
    <row r="260" spans="1:18" x14ac:dyDescent="0.35">
      <c r="A260" t="s">
        <v>276</v>
      </c>
      <c r="B260" t="s">
        <v>571</v>
      </c>
      <c r="C260" t="s">
        <v>880</v>
      </c>
      <c r="D260" t="s">
        <v>1026</v>
      </c>
      <c r="E260" t="s">
        <v>1032</v>
      </c>
      <c r="F260" t="s">
        <v>1037</v>
      </c>
      <c r="G260" t="s">
        <v>1043</v>
      </c>
      <c r="H260" t="s">
        <v>1050</v>
      </c>
      <c r="I260" t="s">
        <v>1282</v>
      </c>
      <c r="J260" t="s">
        <v>1473</v>
      </c>
      <c r="M260" t="s">
        <v>1615</v>
      </c>
      <c r="N260">
        <v>51088</v>
      </c>
      <c r="P260" t="s">
        <v>1622</v>
      </c>
      <c r="Q260" t="s">
        <v>1626</v>
      </c>
    </row>
    <row r="261" spans="1:18" x14ac:dyDescent="0.35">
      <c r="A261" t="s">
        <v>277</v>
      </c>
      <c r="B261" t="s">
        <v>455</v>
      </c>
      <c r="C261" t="s">
        <v>881</v>
      </c>
      <c r="D261" t="s">
        <v>1026</v>
      </c>
      <c r="E261" t="s">
        <v>1030</v>
      </c>
      <c r="F261" t="s">
        <v>1037</v>
      </c>
      <c r="G261" t="s">
        <v>1043</v>
      </c>
      <c r="H261" t="s">
        <v>1051</v>
      </c>
      <c r="I261" t="s">
        <v>1283</v>
      </c>
      <c r="J261" t="s">
        <v>1474</v>
      </c>
      <c r="K261" t="s">
        <v>1560</v>
      </c>
      <c r="L261" t="s">
        <v>1607</v>
      </c>
      <c r="M261" t="s">
        <v>1620</v>
      </c>
      <c r="N261">
        <v>40212</v>
      </c>
      <c r="O261">
        <v>40707</v>
      </c>
      <c r="P261" t="s">
        <v>1623</v>
      </c>
      <c r="Q261" t="s">
        <v>1628</v>
      </c>
      <c r="R261">
        <v>4.0999999999999996</v>
      </c>
    </row>
    <row r="262" spans="1:18" x14ac:dyDescent="0.35">
      <c r="A262" t="s">
        <v>278</v>
      </c>
      <c r="B262" t="s">
        <v>493</v>
      </c>
      <c r="C262" t="s">
        <v>882</v>
      </c>
      <c r="D262" t="s">
        <v>1024</v>
      </c>
      <c r="E262" t="s">
        <v>1031</v>
      </c>
      <c r="F262" t="s">
        <v>1034</v>
      </c>
      <c r="G262" t="s">
        <v>1044</v>
      </c>
      <c r="H262" t="s">
        <v>1051</v>
      </c>
      <c r="I262" t="s">
        <v>1284</v>
      </c>
      <c r="M262" t="s">
        <v>1619</v>
      </c>
      <c r="N262">
        <v>34684</v>
      </c>
      <c r="P262" t="s">
        <v>1622</v>
      </c>
      <c r="Q262" t="s">
        <v>1627</v>
      </c>
      <c r="R262">
        <v>4.0999999999999996</v>
      </c>
    </row>
    <row r="263" spans="1:18" x14ac:dyDescent="0.35">
      <c r="A263" t="s">
        <v>279</v>
      </c>
      <c r="B263" t="s">
        <v>499</v>
      </c>
      <c r="C263" t="s">
        <v>883</v>
      </c>
      <c r="D263" t="s">
        <v>1024</v>
      </c>
      <c r="E263" t="s">
        <v>1032</v>
      </c>
      <c r="F263" t="s">
        <v>1034</v>
      </c>
      <c r="G263" t="s">
        <v>1041</v>
      </c>
      <c r="H263" t="s">
        <v>1048</v>
      </c>
      <c r="I263" t="s">
        <v>1285</v>
      </c>
      <c r="J263" t="s">
        <v>1475</v>
      </c>
      <c r="K263" t="s">
        <v>1561</v>
      </c>
      <c r="L263" t="s">
        <v>1397</v>
      </c>
      <c r="M263" t="s">
        <v>1620</v>
      </c>
      <c r="N263">
        <v>28134</v>
      </c>
      <c r="O263">
        <v>31583</v>
      </c>
      <c r="P263" t="s">
        <v>1622</v>
      </c>
      <c r="Q263" t="s">
        <v>1628</v>
      </c>
      <c r="R263">
        <v>4.9000000000000004</v>
      </c>
    </row>
    <row r="264" spans="1:18" x14ac:dyDescent="0.35">
      <c r="A264" t="s">
        <v>280</v>
      </c>
      <c r="B264" t="s">
        <v>588</v>
      </c>
      <c r="C264" t="s">
        <v>884</v>
      </c>
      <c r="D264" t="s">
        <v>1022</v>
      </c>
      <c r="E264" t="s">
        <v>1031</v>
      </c>
      <c r="F264" t="s">
        <v>1037</v>
      </c>
      <c r="G264" t="s">
        <v>1044</v>
      </c>
      <c r="H264" t="s">
        <v>1047</v>
      </c>
      <c r="I264" t="s">
        <v>1286</v>
      </c>
      <c r="M264" t="s">
        <v>1619</v>
      </c>
      <c r="N264">
        <v>36009</v>
      </c>
      <c r="P264" t="s">
        <v>1622</v>
      </c>
      <c r="Q264" t="s">
        <v>1626</v>
      </c>
      <c r="R264">
        <v>3.1</v>
      </c>
    </row>
    <row r="265" spans="1:18" x14ac:dyDescent="0.35">
      <c r="A265" t="s">
        <v>281</v>
      </c>
      <c r="B265" t="s">
        <v>575</v>
      </c>
      <c r="C265" t="s">
        <v>885</v>
      </c>
      <c r="D265" t="s">
        <v>1026</v>
      </c>
      <c r="E265" t="s">
        <v>1029</v>
      </c>
      <c r="F265" t="s">
        <v>1035</v>
      </c>
      <c r="G265" t="s">
        <v>1044</v>
      </c>
      <c r="H265" t="s">
        <v>1050</v>
      </c>
      <c r="I265" t="s">
        <v>1287</v>
      </c>
      <c r="J265" t="s">
        <v>1476</v>
      </c>
      <c r="K265" t="s">
        <v>1562</v>
      </c>
      <c r="L265" t="s">
        <v>1406</v>
      </c>
      <c r="M265" t="s">
        <v>1620</v>
      </c>
      <c r="N265">
        <v>40466</v>
      </c>
      <c r="O265">
        <v>37941</v>
      </c>
      <c r="P265" t="s">
        <v>1625</v>
      </c>
      <c r="Q265" t="s">
        <v>1628</v>
      </c>
      <c r="R265">
        <v>4.3</v>
      </c>
    </row>
    <row r="266" spans="1:18" x14ac:dyDescent="0.35">
      <c r="A266" t="s">
        <v>282</v>
      </c>
      <c r="B266" t="s">
        <v>561</v>
      </c>
      <c r="C266" t="s">
        <v>886</v>
      </c>
      <c r="D266" t="s">
        <v>1025</v>
      </c>
      <c r="E266" t="s">
        <v>1028</v>
      </c>
      <c r="F266" t="s">
        <v>1039</v>
      </c>
      <c r="G266" t="s">
        <v>1042</v>
      </c>
      <c r="H266" t="s">
        <v>1052</v>
      </c>
      <c r="I266" t="s">
        <v>1288</v>
      </c>
      <c r="J266" t="s">
        <v>1477</v>
      </c>
      <c r="M266" t="s">
        <v>1615</v>
      </c>
      <c r="N266">
        <v>40722</v>
      </c>
      <c r="P266" t="s">
        <v>1623</v>
      </c>
      <c r="Q266" t="s">
        <v>1628</v>
      </c>
      <c r="R266">
        <v>3.2</v>
      </c>
    </row>
    <row r="267" spans="1:18" x14ac:dyDescent="0.35">
      <c r="A267" t="s">
        <v>283</v>
      </c>
      <c r="B267" t="s">
        <v>564</v>
      </c>
      <c r="C267" t="s">
        <v>887</v>
      </c>
      <c r="D267" t="s">
        <v>1023</v>
      </c>
      <c r="E267" t="s">
        <v>1029</v>
      </c>
      <c r="F267" t="s">
        <v>1039</v>
      </c>
      <c r="G267" t="s">
        <v>1044</v>
      </c>
      <c r="H267" t="s">
        <v>1050</v>
      </c>
      <c r="I267" t="s">
        <v>1289</v>
      </c>
      <c r="J267" t="s">
        <v>1478</v>
      </c>
      <c r="M267" t="s">
        <v>1615</v>
      </c>
      <c r="N267">
        <v>30710</v>
      </c>
      <c r="P267" t="s">
        <v>1622</v>
      </c>
      <c r="Q267" t="s">
        <v>1626</v>
      </c>
      <c r="R267">
        <v>3.2</v>
      </c>
    </row>
    <row r="268" spans="1:18" x14ac:dyDescent="0.35">
      <c r="A268" t="s">
        <v>284</v>
      </c>
      <c r="B268" t="s">
        <v>572</v>
      </c>
      <c r="C268" t="s">
        <v>888</v>
      </c>
      <c r="D268" t="s">
        <v>1023</v>
      </c>
      <c r="E268" t="s">
        <v>1031</v>
      </c>
      <c r="F268" t="s">
        <v>1033</v>
      </c>
      <c r="G268" t="s">
        <v>1041</v>
      </c>
      <c r="H268" t="s">
        <v>1051</v>
      </c>
      <c r="I268" t="s">
        <v>1290</v>
      </c>
      <c r="M268" t="s">
        <v>1619</v>
      </c>
      <c r="N268">
        <v>35491</v>
      </c>
      <c r="P268" t="s">
        <v>1625</v>
      </c>
      <c r="Q268" t="s">
        <v>1627</v>
      </c>
    </row>
    <row r="269" spans="1:18" x14ac:dyDescent="0.35">
      <c r="A269" t="s">
        <v>285</v>
      </c>
      <c r="B269" t="s">
        <v>426</v>
      </c>
      <c r="C269" t="s">
        <v>889</v>
      </c>
      <c r="D269" t="s">
        <v>1025</v>
      </c>
      <c r="E269" t="s">
        <v>1032</v>
      </c>
      <c r="F269" t="s">
        <v>1033</v>
      </c>
      <c r="G269" t="s">
        <v>1043</v>
      </c>
      <c r="H269" t="s">
        <v>1048</v>
      </c>
      <c r="I269" t="s">
        <v>1291</v>
      </c>
      <c r="J269" t="s">
        <v>1479</v>
      </c>
      <c r="K269" t="s">
        <v>1318</v>
      </c>
      <c r="M269" t="s">
        <v>1618</v>
      </c>
      <c r="N269">
        <v>28035</v>
      </c>
      <c r="O269">
        <v>31156</v>
      </c>
      <c r="P269" t="s">
        <v>1622</v>
      </c>
      <c r="Q269" t="s">
        <v>1626</v>
      </c>
      <c r="R269">
        <v>3.4</v>
      </c>
    </row>
    <row r="270" spans="1:18" x14ac:dyDescent="0.35">
      <c r="A270" t="s">
        <v>286</v>
      </c>
      <c r="B270" t="s">
        <v>474</v>
      </c>
      <c r="C270" t="s">
        <v>890</v>
      </c>
      <c r="D270" t="s">
        <v>1024</v>
      </c>
      <c r="E270" t="s">
        <v>1029</v>
      </c>
      <c r="F270" t="s">
        <v>1036</v>
      </c>
      <c r="G270" t="s">
        <v>1041</v>
      </c>
      <c r="H270" t="s">
        <v>1049</v>
      </c>
      <c r="I270" t="s">
        <v>1292</v>
      </c>
      <c r="M270" t="s">
        <v>1616</v>
      </c>
      <c r="N270">
        <v>46255</v>
      </c>
      <c r="P270" t="s">
        <v>1623</v>
      </c>
      <c r="Q270" t="s">
        <v>1627</v>
      </c>
      <c r="R270">
        <v>2.2999999999999998</v>
      </c>
    </row>
    <row r="271" spans="1:18" x14ac:dyDescent="0.35">
      <c r="A271" t="s">
        <v>287</v>
      </c>
      <c r="B271" t="s">
        <v>519</v>
      </c>
      <c r="C271" t="s">
        <v>891</v>
      </c>
      <c r="D271" t="s">
        <v>1025</v>
      </c>
      <c r="E271" t="s">
        <v>1028</v>
      </c>
      <c r="F271" t="s">
        <v>1040</v>
      </c>
      <c r="G271" t="s">
        <v>1043</v>
      </c>
      <c r="H271" t="s">
        <v>1046</v>
      </c>
      <c r="I271" t="s">
        <v>1293</v>
      </c>
      <c r="M271" t="s">
        <v>1619</v>
      </c>
      <c r="N271">
        <v>47309</v>
      </c>
      <c r="P271" t="s">
        <v>1621</v>
      </c>
      <c r="Q271" t="s">
        <v>1628</v>
      </c>
      <c r="R271">
        <v>3.2</v>
      </c>
    </row>
    <row r="272" spans="1:18" x14ac:dyDescent="0.35">
      <c r="A272" t="s">
        <v>288</v>
      </c>
      <c r="B272" t="s">
        <v>467</v>
      </c>
      <c r="C272" t="s">
        <v>892</v>
      </c>
      <c r="D272" t="s">
        <v>1022</v>
      </c>
      <c r="E272" t="s">
        <v>1029</v>
      </c>
      <c r="F272" t="s">
        <v>1035</v>
      </c>
      <c r="G272" t="s">
        <v>1042</v>
      </c>
      <c r="H272" t="s">
        <v>1047</v>
      </c>
      <c r="I272" t="s">
        <v>1294</v>
      </c>
      <c r="J272" t="s">
        <v>1480</v>
      </c>
      <c r="K272" t="s">
        <v>1371</v>
      </c>
      <c r="M272" t="s">
        <v>1618</v>
      </c>
      <c r="N272">
        <v>38059</v>
      </c>
      <c r="O272">
        <v>35281</v>
      </c>
      <c r="P272" t="s">
        <v>1625</v>
      </c>
      <c r="Q272" t="s">
        <v>1628</v>
      </c>
    </row>
    <row r="273" spans="1:18" x14ac:dyDescent="0.35">
      <c r="A273" t="s">
        <v>289</v>
      </c>
      <c r="B273" t="s">
        <v>589</v>
      </c>
      <c r="C273" t="s">
        <v>893</v>
      </c>
      <c r="D273" t="s">
        <v>1024</v>
      </c>
      <c r="E273" t="s">
        <v>1028</v>
      </c>
      <c r="F273" t="s">
        <v>1036</v>
      </c>
      <c r="G273" t="s">
        <v>1044</v>
      </c>
      <c r="H273" t="s">
        <v>1052</v>
      </c>
      <c r="I273" t="s">
        <v>1295</v>
      </c>
      <c r="J273" t="s">
        <v>1481</v>
      </c>
      <c r="M273" t="s">
        <v>1615</v>
      </c>
      <c r="N273">
        <v>30155</v>
      </c>
      <c r="P273" t="s">
        <v>1623</v>
      </c>
      <c r="Q273" t="s">
        <v>1628</v>
      </c>
      <c r="R273">
        <v>2.2000000000000002</v>
      </c>
    </row>
    <row r="274" spans="1:18" x14ac:dyDescent="0.35">
      <c r="A274" t="s">
        <v>290</v>
      </c>
      <c r="B274" t="s">
        <v>590</v>
      </c>
      <c r="C274" t="s">
        <v>894</v>
      </c>
      <c r="D274" t="s">
        <v>1027</v>
      </c>
      <c r="E274" t="s">
        <v>1031</v>
      </c>
      <c r="F274" t="s">
        <v>1033</v>
      </c>
      <c r="G274" t="s">
        <v>1045</v>
      </c>
      <c r="H274" t="s">
        <v>1047</v>
      </c>
      <c r="I274" t="s">
        <v>1296</v>
      </c>
      <c r="M274" t="s">
        <v>1617</v>
      </c>
      <c r="N274">
        <v>32856</v>
      </c>
      <c r="P274" t="s">
        <v>1625</v>
      </c>
      <c r="Q274" t="s">
        <v>1627</v>
      </c>
    </row>
    <row r="275" spans="1:18" x14ac:dyDescent="0.35">
      <c r="A275" t="s">
        <v>291</v>
      </c>
      <c r="B275" t="s">
        <v>533</v>
      </c>
      <c r="C275" t="s">
        <v>895</v>
      </c>
      <c r="D275" t="s">
        <v>1025</v>
      </c>
      <c r="E275" t="s">
        <v>1031</v>
      </c>
      <c r="F275" t="s">
        <v>1034</v>
      </c>
      <c r="G275" t="s">
        <v>1042</v>
      </c>
      <c r="H275" t="s">
        <v>1051</v>
      </c>
      <c r="I275" t="s">
        <v>1297</v>
      </c>
      <c r="J275" t="s">
        <v>1482</v>
      </c>
      <c r="M275" t="s">
        <v>1615</v>
      </c>
      <c r="N275">
        <v>49828</v>
      </c>
      <c r="P275" t="s">
        <v>1623</v>
      </c>
      <c r="Q275" t="s">
        <v>1626</v>
      </c>
    </row>
    <row r="276" spans="1:18" x14ac:dyDescent="0.35">
      <c r="A276" t="s">
        <v>292</v>
      </c>
      <c r="B276" t="s">
        <v>426</v>
      </c>
      <c r="C276" t="s">
        <v>896</v>
      </c>
      <c r="D276" t="s">
        <v>1023</v>
      </c>
      <c r="E276" t="s">
        <v>1032</v>
      </c>
      <c r="F276" t="s">
        <v>1037</v>
      </c>
      <c r="G276" t="s">
        <v>1041</v>
      </c>
      <c r="H276" t="s">
        <v>1049</v>
      </c>
      <c r="I276" t="s">
        <v>1096</v>
      </c>
      <c r="M276" t="s">
        <v>1619</v>
      </c>
      <c r="N276">
        <v>33432</v>
      </c>
      <c r="P276" t="s">
        <v>1623</v>
      </c>
      <c r="Q276" t="s">
        <v>1627</v>
      </c>
      <c r="R276">
        <v>4.0999999999999996</v>
      </c>
    </row>
    <row r="277" spans="1:18" x14ac:dyDescent="0.35">
      <c r="A277" t="s">
        <v>293</v>
      </c>
      <c r="B277" t="s">
        <v>447</v>
      </c>
      <c r="C277" t="s">
        <v>897</v>
      </c>
      <c r="D277" t="s">
        <v>1024</v>
      </c>
      <c r="E277" t="s">
        <v>1030</v>
      </c>
      <c r="F277" t="s">
        <v>1033</v>
      </c>
      <c r="G277" t="s">
        <v>1045</v>
      </c>
      <c r="H277" t="s">
        <v>1049</v>
      </c>
      <c r="I277" t="s">
        <v>1298</v>
      </c>
      <c r="M277" t="s">
        <v>1617</v>
      </c>
      <c r="N277">
        <v>40429</v>
      </c>
      <c r="P277" t="s">
        <v>1621</v>
      </c>
      <c r="Q277" t="s">
        <v>1628</v>
      </c>
      <c r="R277">
        <v>2.5</v>
      </c>
    </row>
    <row r="278" spans="1:18" x14ac:dyDescent="0.35">
      <c r="A278" t="s">
        <v>294</v>
      </c>
      <c r="B278" t="s">
        <v>591</v>
      </c>
      <c r="C278" t="s">
        <v>898</v>
      </c>
      <c r="D278" t="s">
        <v>1024</v>
      </c>
      <c r="E278" t="s">
        <v>1029</v>
      </c>
      <c r="F278" t="s">
        <v>1034</v>
      </c>
      <c r="G278" t="s">
        <v>1044</v>
      </c>
      <c r="H278" t="s">
        <v>1049</v>
      </c>
      <c r="I278" t="s">
        <v>1299</v>
      </c>
      <c r="M278" t="s">
        <v>1617</v>
      </c>
      <c r="N278">
        <v>51179</v>
      </c>
      <c r="P278" t="s">
        <v>1623</v>
      </c>
      <c r="Q278" t="s">
        <v>1628</v>
      </c>
      <c r="R278">
        <v>4</v>
      </c>
    </row>
    <row r="279" spans="1:18" x14ac:dyDescent="0.35">
      <c r="A279" t="s">
        <v>295</v>
      </c>
      <c r="B279" t="s">
        <v>568</v>
      </c>
      <c r="C279" t="s">
        <v>899</v>
      </c>
      <c r="D279" t="s">
        <v>1022</v>
      </c>
      <c r="E279" t="s">
        <v>1032</v>
      </c>
      <c r="F279" t="s">
        <v>1034</v>
      </c>
      <c r="G279" t="s">
        <v>1041</v>
      </c>
      <c r="H279" t="s">
        <v>1051</v>
      </c>
      <c r="I279" t="s">
        <v>1300</v>
      </c>
      <c r="J279" t="s">
        <v>1483</v>
      </c>
      <c r="K279" t="s">
        <v>1563</v>
      </c>
      <c r="M279" t="s">
        <v>1618</v>
      </c>
      <c r="N279">
        <v>31897</v>
      </c>
      <c r="O279">
        <v>31145</v>
      </c>
      <c r="P279" t="s">
        <v>1623</v>
      </c>
      <c r="Q279" t="s">
        <v>1626</v>
      </c>
    </row>
    <row r="280" spans="1:18" x14ac:dyDescent="0.35">
      <c r="A280" t="s">
        <v>296</v>
      </c>
      <c r="B280" t="s">
        <v>556</v>
      </c>
      <c r="C280" t="s">
        <v>900</v>
      </c>
      <c r="D280" t="s">
        <v>1027</v>
      </c>
      <c r="E280" t="s">
        <v>1030</v>
      </c>
      <c r="F280" t="s">
        <v>1033</v>
      </c>
      <c r="G280" t="s">
        <v>1041</v>
      </c>
      <c r="H280" t="s">
        <v>1050</v>
      </c>
      <c r="I280" t="s">
        <v>1191</v>
      </c>
      <c r="M280" t="s">
        <v>1619</v>
      </c>
      <c r="N280">
        <v>44699</v>
      </c>
      <c r="P280" t="s">
        <v>1621</v>
      </c>
      <c r="Q280" t="s">
        <v>1628</v>
      </c>
      <c r="R280">
        <v>4.7</v>
      </c>
    </row>
    <row r="281" spans="1:18" x14ac:dyDescent="0.35">
      <c r="A281" t="s">
        <v>297</v>
      </c>
      <c r="B281" t="s">
        <v>549</v>
      </c>
      <c r="C281" t="s">
        <v>901</v>
      </c>
      <c r="D281" t="s">
        <v>1022</v>
      </c>
      <c r="E281" t="s">
        <v>1031</v>
      </c>
      <c r="F281" t="s">
        <v>1033</v>
      </c>
      <c r="G281" t="s">
        <v>1042</v>
      </c>
      <c r="H281" t="s">
        <v>1052</v>
      </c>
      <c r="I281" t="s">
        <v>1294</v>
      </c>
      <c r="M281" t="s">
        <v>1616</v>
      </c>
      <c r="N281">
        <v>46363</v>
      </c>
      <c r="P281" t="s">
        <v>1623</v>
      </c>
      <c r="Q281" t="s">
        <v>1627</v>
      </c>
      <c r="R281">
        <v>3.1</v>
      </c>
    </row>
    <row r="282" spans="1:18" x14ac:dyDescent="0.35">
      <c r="A282" t="s">
        <v>298</v>
      </c>
      <c r="B282" t="s">
        <v>423</v>
      </c>
      <c r="C282" t="s">
        <v>902</v>
      </c>
      <c r="D282" t="s">
        <v>1022</v>
      </c>
      <c r="E282" t="s">
        <v>1030</v>
      </c>
      <c r="F282" t="s">
        <v>1033</v>
      </c>
      <c r="G282" t="s">
        <v>1041</v>
      </c>
      <c r="H282" t="s">
        <v>1050</v>
      </c>
      <c r="I282" t="s">
        <v>1301</v>
      </c>
      <c r="M282" t="s">
        <v>1619</v>
      </c>
      <c r="N282">
        <v>50641</v>
      </c>
      <c r="P282" t="s">
        <v>1623</v>
      </c>
      <c r="Q282" t="s">
        <v>1628</v>
      </c>
      <c r="R282">
        <v>4.4000000000000004</v>
      </c>
    </row>
    <row r="283" spans="1:18" x14ac:dyDescent="0.35">
      <c r="A283" t="s">
        <v>299</v>
      </c>
      <c r="B283" t="s">
        <v>592</v>
      </c>
      <c r="C283" t="s">
        <v>903</v>
      </c>
      <c r="D283" t="s">
        <v>1022</v>
      </c>
      <c r="E283" t="s">
        <v>1031</v>
      </c>
      <c r="F283" t="s">
        <v>1037</v>
      </c>
      <c r="G283" t="s">
        <v>1042</v>
      </c>
      <c r="H283" t="s">
        <v>1048</v>
      </c>
      <c r="I283" t="s">
        <v>1302</v>
      </c>
      <c r="J283" t="s">
        <v>1387</v>
      </c>
      <c r="K283" t="s">
        <v>1564</v>
      </c>
      <c r="M283" t="s">
        <v>1618</v>
      </c>
      <c r="N283">
        <v>42265</v>
      </c>
      <c r="O283">
        <v>45500</v>
      </c>
      <c r="P283" t="s">
        <v>1622</v>
      </c>
      <c r="Q283" t="s">
        <v>1628</v>
      </c>
      <c r="R283">
        <v>3.6</v>
      </c>
    </row>
    <row r="284" spans="1:18" x14ac:dyDescent="0.35">
      <c r="A284" t="s">
        <v>300</v>
      </c>
      <c r="B284" t="s">
        <v>521</v>
      </c>
      <c r="C284" t="s">
        <v>904</v>
      </c>
      <c r="D284" t="s">
        <v>1025</v>
      </c>
      <c r="E284" t="s">
        <v>1028</v>
      </c>
      <c r="F284" t="s">
        <v>1033</v>
      </c>
      <c r="G284" t="s">
        <v>1044</v>
      </c>
      <c r="H284" t="s">
        <v>1049</v>
      </c>
      <c r="I284" t="s">
        <v>1303</v>
      </c>
      <c r="J284" t="s">
        <v>1366</v>
      </c>
      <c r="K284" t="s">
        <v>1100</v>
      </c>
      <c r="M284" t="s">
        <v>1618</v>
      </c>
      <c r="N284">
        <v>45025</v>
      </c>
      <c r="O284">
        <v>44603</v>
      </c>
      <c r="P284" t="s">
        <v>1625</v>
      </c>
      <c r="Q284" t="s">
        <v>1627</v>
      </c>
      <c r="R284">
        <v>2.2999999999999998</v>
      </c>
    </row>
    <row r="285" spans="1:18" x14ac:dyDescent="0.35">
      <c r="A285" t="s">
        <v>301</v>
      </c>
      <c r="B285" t="s">
        <v>499</v>
      </c>
      <c r="C285" t="s">
        <v>905</v>
      </c>
      <c r="D285" t="s">
        <v>1024</v>
      </c>
      <c r="E285" t="s">
        <v>1030</v>
      </c>
      <c r="F285" t="s">
        <v>1037</v>
      </c>
      <c r="G285" t="s">
        <v>1041</v>
      </c>
      <c r="H285" t="s">
        <v>1046</v>
      </c>
      <c r="I285" t="s">
        <v>1078</v>
      </c>
      <c r="M285" t="s">
        <v>1619</v>
      </c>
      <c r="N285">
        <v>33469</v>
      </c>
      <c r="P285" t="s">
        <v>1622</v>
      </c>
      <c r="Q285" t="s">
        <v>1628</v>
      </c>
      <c r="R285">
        <v>2.6</v>
      </c>
    </row>
    <row r="286" spans="1:18" x14ac:dyDescent="0.35">
      <c r="A286" t="s">
        <v>302</v>
      </c>
      <c r="B286" t="s">
        <v>503</v>
      </c>
      <c r="C286" t="s">
        <v>906</v>
      </c>
      <c r="D286" t="s">
        <v>1022</v>
      </c>
      <c r="E286" t="s">
        <v>1031</v>
      </c>
      <c r="F286" t="s">
        <v>1037</v>
      </c>
      <c r="G286" t="s">
        <v>1044</v>
      </c>
      <c r="H286" t="s">
        <v>1047</v>
      </c>
      <c r="I286" t="s">
        <v>1304</v>
      </c>
      <c r="M286" t="s">
        <v>1616</v>
      </c>
      <c r="N286">
        <v>37714</v>
      </c>
      <c r="P286" t="s">
        <v>1624</v>
      </c>
      <c r="Q286" t="s">
        <v>1628</v>
      </c>
      <c r="R286">
        <v>3.5</v>
      </c>
    </row>
    <row r="287" spans="1:18" x14ac:dyDescent="0.35">
      <c r="A287" t="s">
        <v>303</v>
      </c>
      <c r="B287" t="s">
        <v>571</v>
      </c>
      <c r="C287" t="s">
        <v>907</v>
      </c>
      <c r="D287" t="s">
        <v>1023</v>
      </c>
      <c r="E287" t="s">
        <v>1029</v>
      </c>
      <c r="F287" t="s">
        <v>1040</v>
      </c>
      <c r="G287" t="s">
        <v>1043</v>
      </c>
      <c r="H287" t="s">
        <v>1046</v>
      </c>
      <c r="I287" t="s">
        <v>1305</v>
      </c>
      <c r="J287" t="s">
        <v>1484</v>
      </c>
      <c r="M287" t="s">
        <v>1615</v>
      </c>
      <c r="N287">
        <v>40739</v>
      </c>
      <c r="P287" t="s">
        <v>1625</v>
      </c>
      <c r="Q287" t="s">
        <v>1628</v>
      </c>
    </row>
    <row r="288" spans="1:18" x14ac:dyDescent="0.35">
      <c r="A288" t="s">
        <v>304</v>
      </c>
      <c r="B288" t="s">
        <v>490</v>
      </c>
      <c r="C288" t="s">
        <v>908</v>
      </c>
      <c r="D288" t="s">
        <v>1025</v>
      </c>
      <c r="E288" t="s">
        <v>1031</v>
      </c>
      <c r="F288" t="s">
        <v>1033</v>
      </c>
      <c r="G288" t="s">
        <v>1044</v>
      </c>
      <c r="H288" t="s">
        <v>1047</v>
      </c>
      <c r="I288" t="s">
        <v>1306</v>
      </c>
      <c r="J288" t="s">
        <v>1485</v>
      </c>
      <c r="K288" t="s">
        <v>1565</v>
      </c>
      <c r="M288" t="s">
        <v>1618</v>
      </c>
      <c r="N288">
        <v>28452</v>
      </c>
      <c r="O288">
        <v>25597</v>
      </c>
      <c r="P288" t="s">
        <v>1622</v>
      </c>
      <c r="Q288" t="s">
        <v>1628</v>
      </c>
      <c r="R288">
        <v>3.3</v>
      </c>
    </row>
    <row r="289" spans="1:18" x14ac:dyDescent="0.35">
      <c r="A289" t="s">
        <v>305</v>
      </c>
      <c r="B289" t="s">
        <v>593</v>
      </c>
      <c r="C289" t="s">
        <v>909</v>
      </c>
      <c r="D289" t="s">
        <v>1023</v>
      </c>
      <c r="E289" t="s">
        <v>1028</v>
      </c>
      <c r="F289" t="s">
        <v>1037</v>
      </c>
      <c r="G289" t="s">
        <v>1044</v>
      </c>
      <c r="H289" t="s">
        <v>1049</v>
      </c>
      <c r="I289" t="s">
        <v>1127</v>
      </c>
      <c r="M289" t="s">
        <v>1616</v>
      </c>
      <c r="N289">
        <v>41179</v>
      </c>
      <c r="P289" t="s">
        <v>1621</v>
      </c>
      <c r="Q289" t="s">
        <v>1628</v>
      </c>
      <c r="R289">
        <v>4.5</v>
      </c>
    </row>
    <row r="290" spans="1:18" x14ac:dyDescent="0.35">
      <c r="A290" t="s">
        <v>306</v>
      </c>
      <c r="B290" t="s">
        <v>594</v>
      </c>
      <c r="C290" t="s">
        <v>910</v>
      </c>
      <c r="D290" t="s">
        <v>1024</v>
      </c>
      <c r="E290" t="s">
        <v>1032</v>
      </c>
      <c r="F290" t="s">
        <v>1035</v>
      </c>
      <c r="G290" t="s">
        <v>1045</v>
      </c>
      <c r="H290" t="s">
        <v>1049</v>
      </c>
      <c r="I290" t="s">
        <v>1079</v>
      </c>
      <c r="M290" t="s">
        <v>1616</v>
      </c>
      <c r="N290">
        <v>28942</v>
      </c>
      <c r="P290" t="s">
        <v>1621</v>
      </c>
      <c r="Q290" t="s">
        <v>1628</v>
      </c>
      <c r="R290">
        <v>3.7</v>
      </c>
    </row>
    <row r="291" spans="1:18" x14ac:dyDescent="0.35">
      <c r="A291" t="s">
        <v>307</v>
      </c>
      <c r="B291" t="s">
        <v>440</v>
      </c>
      <c r="C291" t="s">
        <v>911</v>
      </c>
      <c r="D291" t="s">
        <v>1024</v>
      </c>
      <c r="E291" t="s">
        <v>1032</v>
      </c>
      <c r="F291" t="s">
        <v>1033</v>
      </c>
      <c r="G291" t="s">
        <v>1045</v>
      </c>
      <c r="H291" t="s">
        <v>1052</v>
      </c>
      <c r="I291" t="s">
        <v>1307</v>
      </c>
      <c r="M291" t="s">
        <v>1616</v>
      </c>
      <c r="N291">
        <v>29553</v>
      </c>
      <c r="P291" t="s">
        <v>1622</v>
      </c>
      <c r="Q291" t="s">
        <v>1627</v>
      </c>
      <c r="R291">
        <v>2.6</v>
      </c>
    </row>
    <row r="292" spans="1:18" x14ac:dyDescent="0.35">
      <c r="A292" t="s">
        <v>308</v>
      </c>
      <c r="B292" t="s">
        <v>595</v>
      </c>
      <c r="C292" t="s">
        <v>912</v>
      </c>
      <c r="D292" t="s">
        <v>1026</v>
      </c>
      <c r="E292" t="s">
        <v>1032</v>
      </c>
      <c r="F292" t="s">
        <v>1036</v>
      </c>
      <c r="G292" t="s">
        <v>1044</v>
      </c>
      <c r="H292" t="s">
        <v>1047</v>
      </c>
      <c r="I292" t="s">
        <v>1308</v>
      </c>
      <c r="M292" t="s">
        <v>1619</v>
      </c>
      <c r="N292">
        <v>44473</v>
      </c>
      <c r="P292" t="s">
        <v>1624</v>
      </c>
      <c r="Q292" t="s">
        <v>1628</v>
      </c>
    </row>
    <row r="293" spans="1:18" x14ac:dyDescent="0.35">
      <c r="A293" t="s">
        <v>309</v>
      </c>
      <c r="B293" t="s">
        <v>596</v>
      </c>
      <c r="C293" t="s">
        <v>913</v>
      </c>
      <c r="D293" t="s">
        <v>1022</v>
      </c>
      <c r="E293" t="s">
        <v>1029</v>
      </c>
      <c r="F293" t="s">
        <v>1033</v>
      </c>
      <c r="G293" t="s">
        <v>1042</v>
      </c>
      <c r="H293" t="s">
        <v>1046</v>
      </c>
      <c r="I293" t="s">
        <v>1309</v>
      </c>
      <c r="J293" t="s">
        <v>1103</v>
      </c>
      <c r="M293" t="s">
        <v>1615</v>
      </c>
      <c r="N293">
        <v>42302</v>
      </c>
      <c r="P293" t="s">
        <v>1622</v>
      </c>
      <c r="Q293" t="s">
        <v>1628</v>
      </c>
      <c r="R293">
        <v>4.3</v>
      </c>
    </row>
    <row r="294" spans="1:18" x14ac:dyDescent="0.35">
      <c r="A294" t="s">
        <v>310</v>
      </c>
      <c r="B294" t="s">
        <v>565</v>
      </c>
      <c r="C294" t="s">
        <v>914</v>
      </c>
      <c r="D294" t="s">
        <v>1026</v>
      </c>
      <c r="E294" t="s">
        <v>1030</v>
      </c>
      <c r="F294" t="s">
        <v>1037</v>
      </c>
      <c r="G294" t="s">
        <v>1041</v>
      </c>
      <c r="H294" t="s">
        <v>1046</v>
      </c>
      <c r="I294" t="s">
        <v>1310</v>
      </c>
      <c r="M294" t="s">
        <v>1619</v>
      </c>
      <c r="N294">
        <v>41705</v>
      </c>
      <c r="P294" t="s">
        <v>1624</v>
      </c>
      <c r="Q294" t="s">
        <v>1627</v>
      </c>
      <c r="R294">
        <v>4.0999999999999996</v>
      </c>
    </row>
    <row r="295" spans="1:18" x14ac:dyDescent="0.35">
      <c r="A295" t="s">
        <v>311</v>
      </c>
      <c r="B295" t="s">
        <v>558</v>
      </c>
      <c r="C295" t="s">
        <v>915</v>
      </c>
      <c r="D295" t="s">
        <v>1027</v>
      </c>
      <c r="E295" t="s">
        <v>1028</v>
      </c>
      <c r="F295" t="s">
        <v>1040</v>
      </c>
      <c r="G295" t="s">
        <v>1045</v>
      </c>
      <c r="H295" t="s">
        <v>1047</v>
      </c>
      <c r="I295" t="s">
        <v>1311</v>
      </c>
      <c r="M295" t="s">
        <v>1616</v>
      </c>
      <c r="N295">
        <v>30363</v>
      </c>
      <c r="P295" t="s">
        <v>1625</v>
      </c>
      <c r="Q295" t="s">
        <v>1626</v>
      </c>
    </row>
    <row r="296" spans="1:18" x14ac:dyDescent="0.35">
      <c r="A296" t="s">
        <v>312</v>
      </c>
      <c r="B296" t="s">
        <v>502</v>
      </c>
      <c r="C296" t="s">
        <v>916</v>
      </c>
      <c r="D296" t="s">
        <v>1023</v>
      </c>
      <c r="E296" t="s">
        <v>1028</v>
      </c>
      <c r="F296" t="s">
        <v>1034</v>
      </c>
      <c r="G296" t="s">
        <v>1042</v>
      </c>
      <c r="H296" t="s">
        <v>1050</v>
      </c>
      <c r="I296" t="s">
        <v>1312</v>
      </c>
      <c r="M296" t="s">
        <v>1616</v>
      </c>
      <c r="N296">
        <v>36961</v>
      </c>
      <c r="P296" t="s">
        <v>1625</v>
      </c>
      <c r="Q296" t="s">
        <v>1628</v>
      </c>
      <c r="R296">
        <v>3.4</v>
      </c>
    </row>
    <row r="297" spans="1:18" x14ac:dyDescent="0.35">
      <c r="A297" t="s">
        <v>313</v>
      </c>
      <c r="B297" t="s">
        <v>597</v>
      </c>
      <c r="C297" t="s">
        <v>917</v>
      </c>
      <c r="D297" t="s">
        <v>1026</v>
      </c>
      <c r="E297" t="s">
        <v>1029</v>
      </c>
      <c r="F297" t="s">
        <v>1037</v>
      </c>
      <c r="G297" t="s">
        <v>1041</v>
      </c>
      <c r="H297" t="s">
        <v>1051</v>
      </c>
      <c r="I297" t="s">
        <v>1313</v>
      </c>
      <c r="J297" t="s">
        <v>1486</v>
      </c>
      <c r="K297" t="s">
        <v>1566</v>
      </c>
      <c r="L297" t="s">
        <v>1227</v>
      </c>
      <c r="M297" t="s">
        <v>1620</v>
      </c>
      <c r="N297">
        <v>39797</v>
      </c>
      <c r="O297">
        <v>39531</v>
      </c>
      <c r="P297" t="s">
        <v>1623</v>
      </c>
      <c r="Q297" t="s">
        <v>1626</v>
      </c>
      <c r="R297">
        <v>2.7</v>
      </c>
    </row>
    <row r="298" spans="1:18" x14ac:dyDescent="0.35">
      <c r="A298" t="s">
        <v>314</v>
      </c>
      <c r="B298" t="s">
        <v>598</v>
      </c>
      <c r="C298" t="s">
        <v>918</v>
      </c>
      <c r="D298" t="s">
        <v>1027</v>
      </c>
      <c r="E298" t="s">
        <v>1032</v>
      </c>
      <c r="F298" t="s">
        <v>1037</v>
      </c>
      <c r="G298" t="s">
        <v>1042</v>
      </c>
      <c r="H298" t="s">
        <v>1050</v>
      </c>
      <c r="I298" t="s">
        <v>1314</v>
      </c>
      <c r="M298" t="s">
        <v>1616</v>
      </c>
      <c r="N298">
        <v>31652</v>
      </c>
      <c r="P298" t="s">
        <v>1625</v>
      </c>
      <c r="Q298" t="s">
        <v>1627</v>
      </c>
      <c r="R298">
        <v>4.2</v>
      </c>
    </row>
    <row r="299" spans="1:18" x14ac:dyDescent="0.35">
      <c r="A299" t="s">
        <v>315</v>
      </c>
      <c r="B299" t="s">
        <v>599</v>
      </c>
      <c r="C299" t="s">
        <v>919</v>
      </c>
      <c r="D299" t="s">
        <v>1027</v>
      </c>
      <c r="E299" t="s">
        <v>1028</v>
      </c>
      <c r="F299" t="s">
        <v>1038</v>
      </c>
      <c r="G299" t="s">
        <v>1045</v>
      </c>
      <c r="H299" t="s">
        <v>1051</v>
      </c>
      <c r="I299" t="s">
        <v>1315</v>
      </c>
      <c r="J299" t="s">
        <v>1487</v>
      </c>
      <c r="M299" t="s">
        <v>1615</v>
      </c>
      <c r="N299">
        <v>30009</v>
      </c>
      <c r="P299" t="s">
        <v>1623</v>
      </c>
      <c r="Q299" t="s">
        <v>1626</v>
      </c>
      <c r="R299">
        <v>4.2</v>
      </c>
    </row>
    <row r="300" spans="1:18" x14ac:dyDescent="0.35">
      <c r="A300" t="s">
        <v>316</v>
      </c>
      <c r="B300" t="s">
        <v>498</v>
      </c>
      <c r="C300" t="s">
        <v>920</v>
      </c>
      <c r="D300" t="s">
        <v>1024</v>
      </c>
      <c r="E300" t="s">
        <v>1032</v>
      </c>
      <c r="F300" t="s">
        <v>1038</v>
      </c>
      <c r="G300" t="s">
        <v>1044</v>
      </c>
      <c r="H300" t="s">
        <v>1049</v>
      </c>
      <c r="I300" t="s">
        <v>1279</v>
      </c>
      <c r="M300" t="s">
        <v>1616</v>
      </c>
      <c r="N300">
        <v>29865</v>
      </c>
      <c r="P300" t="s">
        <v>1621</v>
      </c>
      <c r="Q300" t="s">
        <v>1626</v>
      </c>
      <c r="R300">
        <v>2.7</v>
      </c>
    </row>
    <row r="301" spans="1:18" x14ac:dyDescent="0.35">
      <c r="A301" t="s">
        <v>317</v>
      </c>
      <c r="B301" t="s">
        <v>600</v>
      </c>
      <c r="C301" t="s">
        <v>921</v>
      </c>
      <c r="D301" t="s">
        <v>1023</v>
      </c>
      <c r="E301" t="s">
        <v>1029</v>
      </c>
      <c r="F301" t="s">
        <v>1039</v>
      </c>
      <c r="G301" t="s">
        <v>1044</v>
      </c>
      <c r="H301" t="s">
        <v>1048</v>
      </c>
      <c r="I301" t="s">
        <v>1316</v>
      </c>
      <c r="J301" t="s">
        <v>1488</v>
      </c>
      <c r="K301" t="s">
        <v>1567</v>
      </c>
      <c r="L301" t="s">
        <v>1251</v>
      </c>
      <c r="M301" t="s">
        <v>1620</v>
      </c>
      <c r="N301">
        <v>44712</v>
      </c>
      <c r="O301">
        <v>44176</v>
      </c>
      <c r="P301" t="s">
        <v>1621</v>
      </c>
      <c r="Q301" t="s">
        <v>1628</v>
      </c>
      <c r="R301">
        <v>2.9</v>
      </c>
    </row>
    <row r="302" spans="1:18" x14ac:dyDescent="0.35">
      <c r="A302" t="s">
        <v>318</v>
      </c>
      <c r="B302" t="s">
        <v>601</v>
      </c>
      <c r="C302" t="s">
        <v>922</v>
      </c>
      <c r="D302" t="s">
        <v>1025</v>
      </c>
      <c r="E302" t="s">
        <v>1028</v>
      </c>
      <c r="F302" t="s">
        <v>1040</v>
      </c>
      <c r="G302" t="s">
        <v>1044</v>
      </c>
      <c r="H302" t="s">
        <v>1049</v>
      </c>
      <c r="I302" t="s">
        <v>1317</v>
      </c>
      <c r="J302" t="s">
        <v>1489</v>
      </c>
      <c r="K302" t="s">
        <v>1215</v>
      </c>
      <c r="L302" t="s">
        <v>1608</v>
      </c>
      <c r="M302" t="s">
        <v>1620</v>
      </c>
      <c r="N302">
        <v>47034</v>
      </c>
      <c r="O302">
        <v>49759</v>
      </c>
      <c r="P302" t="s">
        <v>1622</v>
      </c>
      <c r="Q302" t="s">
        <v>1626</v>
      </c>
      <c r="R302">
        <v>4.5</v>
      </c>
    </row>
    <row r="303" spans="1:18" x14ac:dyDescent="0.35">
      <c r="A303" t="s">
        <v>319</v>
      </c>
      <c r="B303" t="s">
        <v>602</v>
      </c>
      <c r="C303" t="s">
        <v>923</v>
      </c>
      <c r="D303" t="s">
        <v>1023</v>
      </c>
      <c r="E303" t="s">
        <v>1029</v>
      </c>
      <c r="F303" t="s">
        <v>1037</v>
      </c>
      <c r="G303" t="s">
        <v>1041</v>
      </c>
      <c r="H303" t="s">
        <v>1049</v>
      </c>
      <c r="I303" t="s">
        <v>1318</v>
      </c>
      <c r="M303" t="s">
        <v>1616</v>
      </c>
      <c r="N303">
        <v>45927</v>
      </c>
      <c r="P303" t="s">
        <v>1622</v>
      </c>
      <c r="Q303" t="s">
        <v>1627</v>
      </c>
      <c r="R303">
        <v>2.1</v>
      </c>
    </row>
    <row r="304" spans="1:18" x14ac:dyDescent="0.35">
      <c r="A304" t="s">
        <v>320</v>
      </c>
      <c r="B304" t="s">
        <v>603</v>
      </c>
      <c r="C304" t="s">
        <v>924</v>
      </c>
      <c r="D304" t="s">
        <v>1022</v>
      </c>
      <c r="E304" t="s">
        <v>1032</v>
      </c>
      <c r="F304" t="s">
        <v>1038</v>
      </c>
      <c r="G304" t="s">
        <v>1042</v>
      </c>
      <c r="H304" t="s">
        <v>1050</v>
      </c>
      <c r="I304" t="s">
        <v>1319</v>
      </c>
      <c r="J304" t="s">
        <v>1490</v>
      </c>
      <c r="K304" t="s">
        <v>1568</v>
      </c>
      <c r="L304" t="s">
        <v>1247</v>
      </c>
      <c r="M304" t="s">
        <v>1620</v>
      </c>
      <c r="N304">
        <v>28257</v>
      </c>
      <c r="O304">
        <v>32088</v>
      </c>
      <c r="P304" t="s">
        <v>1624</v>
      </c>
      <c r="Q304" t="s">
        <v>1627</v>
      </c>
      <c r="R304">
        <v>4.0999999999999996</v>
      </c>
    </row>
    <row r="305" spans="1:18" x14ac:dyDescent="0.35">
      <c r="A305" t="s">
        <v>321</v>
      </c>
      <c r="B305" t="s">
        <v>487</v>
      </c>
      <c r="C305" t="s">
        <v>925</v>
      </c>
      <c r="D305" t="s">
        <v>1025</v>
      </c>
      <c r="E305" t="s">
        <v>1031</v>
      </c>
      <c r="F305" t="s">
        <v>1037</v>
      </c>
      <c r="G305" t="s">
        <v>1044</v>
      </c>
      <c r="H305" t="s">
        <v>1052</v>
      </c>
      <c r="I305" t="s">
        <v>1320</v>
      </c>
      <c r="M305" t="s">
        <v>1619</v>
      </c>
      <c r="N305">
        <v>40755</v>
      </c>
      <c r="P305" t="s">
        <v>1623</v>
      </c>
      <c r="Q305" t="s">
        <v>1628</v>
      </c>
      <c r="R305">
        <v>3.7</v>
      </c>
    </row>
    <row r="306" spans="1:18" x14ac:dyDescent="0.35">
      <c r="A306" t="s">
        <v>322</v>
      </c>
      <c r="B306" t="s">
        <v>435</v>
      </c>
      <c r="C306" t="s">
        <v>926</v>
      </c>
      <c r="D306" t="s">
        <v>1027</v>
      </c>
      <c r="E306" t="s">
        <v>1028</v>
      </c>
      <c r="F306" t="s">
        <v>1038</v>
      </c>
      <c r="G306" t="s">
        <v>1043</v>
      </c>
      <c r="H306" t="s">
        <v>1048</v>
      </c>
      <c r="I306" t="s">
        <v>1321</v>
      </c>
      <c r="M306" t="s">
        <v>1619</v>
      </c>
      <c r="N306">
        <v>38343</v>
      </c>
      <c r="P306" t="s">
        <v>1622</v>
      </c>
      <c r="Q306" t="s">
        <v>1628</v>
      </c>
      <c r="R306">
        <v>3.9</v>
      </c>
    </row>
    <row r="307" spans="1:18" x14ac:dyDescent="0.35">
      <c r="A307" t="s">
        <v>323</v>
      </c>
      <c r="B307" t="s">
        <v>590</v>
      </c>
      <c r="C307" t="s">
        <v>927</v>
      </c>
      <c r="D307" t="s">
        <v>1024</v>
      </c>
      <c r="E307" t="s">
        <v>1031</v>
      </c>
      <c r="F307" t="s">
        <v>1036</v>
      </c>
      <c r="G307" t="s">
        <v>1042</v>
      </c>
      <c r="H307" t="s">
        <v>1050</v>
      </c>
      <c r="I307" t="s">
        <v>1322</v>
      </c>
      <c r="M307" t="s">
        <v>1619</v>
      </c>
      <c r="N307">
        <v>42637</v>
      </c>
      <c r="P307" t="s">
        <v>1624</v>
      </c>
      <c r="Q307" t="s">
        <v>1626</v>
      </c>
      <c r="R307">
        <v>3.6</v>
      </c>
    </row>
    <row r="308" spans="1:18" x14ac:dyDescent="0.35">
      <c r="A308" t="s">
        <v>324</v>
      </c>
      <c r="B308" t="s">
        <v>493</v>
      </c>
      <c r="C308" t="s">
        <v>928</v>
      </c>
      <c r="D308" t="s">
        <v>1027</v>
      </c>
      <c r="E308" t="s">
        <v>1032</v>
      </c>
      <c r="F308" t="s">
        <v>1033</v>
      </c>
      <c r="G308" t="s">
        <v>1044</v>
      </c>
      <c r="H308" t="s">
        <v>1051</v>
      </c>
      <c r="I308" t="s">
        <v>1323</v>
      </c>
      <c r="J308" t="s">
        <v>1491</v>
      </c>
      <c r="M308" t="s">
        <v>1615</v>
      </c>
      <c r="N308">
        <v>51148</v>
      </c>
      <c r="P308" t="s">
        <v>1624</v>
      </c>
      <c r="Q308" t="s">
        <v>1627</v>
      </c>
      <c r="R308">
        <v>3.2</v>
      </c>
    </row>
    <row r="309" spans="1:18" x14ac:dyDescent="0.35">
      <c r="A309" t="s">
        <v>325</v>
      </c>
      <c r="B309" t="s">
        <v>527</v>
      </c>
      <c r="C309" t="s">
        <v>929</v>
      </c>
      <c r="D309" t="s">
        <v>1024</v>
      </c>
      <c r="E309" t="s">
        <v>1029</v>
      </c>
      <c r="F309" t="s">
        <v>1036</v>
      </c>
      <c r="G309" t="s">
        <v>1041</v>
      </c>
      <c r="H309" t="s">
        <v>1049</v>
      </c>
      <c r="I309" t="s">
        <v>1324</v>
      </c>
      <c r="M309" t="s">
        <v>1617</v>
      </c>
      <c r="N309">
        <v>46343</v>
      </c>
      <c r="P309" t="s">
        <v>1624</v>
      </c>
      <c r="Q309" t="s">
        <v>1627</v>
      </c>
      <c r="R309">
        <v>3.5</v>
      </c>
    </row>
    <row r="310" spans="1:18" x14ac:dyDescent="0.35">
      <c r="A310" t="s">
        <v>326</v>
      </c>
      <c r="B310" t="s">
        <v>458</v>
      </c>
      <c r="C310" t="s">
        <v>930</v>
      </c>
      <c r="D310" t="s">
        <v>1024</v>
      </c>
      <c r="E310" t="s">
        <v>1031</v>
      </c>
      <c r="F310" t="s">
        <v>1038</v>
      </c>
      <c r="G310" t="s">
        <v>1044</v>
      </c>
      <c r="H310" t="s">
        <v>1051</v>
      </c>
      <c r="I310" t="s">
        <v>1197</v>
      </c>
      <c r="M310" t="s">
        <v>1616</v>
      </c>
      <c r="N310">
        <v>47847</v>
      </c>
      <c r="P310" t="s">
        <v>1622</v>
      </c>
      <c r="Q310" t="s">
        <v>1626</v>
      </c>
      <c r="R310">
        <v>3.7</v>
      </c>
    </row>
    <row r="311" spans="1:18" x14ac:dyDescent="0.35">
      <c r="A311" t="s">
        <v>327</v>
      </c>
      <c r="B311" t="s">
        <v>604</v>
      </c>
      <c r="C311" t="s">
        <v>931</v>
      </c>
      <c r="D311" t="s">
        <v>1023</v>
      </c>
      <c r="E311" t="s">
        <v>1030</v>
      </c>
      <c r="F311" t="s">
        <v>1036</v>
      </c>
      <c r="G311" t="s">
        <v>1043</v>
      </c>
      <c r="H311" t="s">
        <v>1046</v>
      </c>
      <c r="I311" t="s">
        <v>1325</v>
      </c>
      <c r="M311" t="s">
        <v>1616</v>
      </c>
      <c r="N311">
        <v>30506</v>
      </c>
      <c r="P311" t="s">
        <v>1625</v>
      </c>
      <c r="Q311" t="s">
        <v>1627</v>
      </c>
      <c r="R311">
        <v>2.1</v>
      </c>
    </row>
    <row r="312" spans="1:18" x14ac:dyDescent="0.35">
      <c r="A312" t="s">
        <v>328</v>
      </c>
      <c r="B312" t="s">
        <v>460</v>
      </c>
      <c r="C312" t="s">
        <v>932</v>
      </c>
      <c r="D312" t="s">
        <v>1027</v>
      </c>
      <c r="E312" t="s">
        <v>1032</v>
      </c>
      <c r="F312" t="s">
        <v>1039</v>
      </c>
      <c r="G312" t="s">
        <v>1041</v>
      </c>
      <c r="H312" t="s">
        <v>1048</v>
      </c>
      <c r="I312" t="s">
        <v>1203</v>
      </c>
      <c r="M312" t="s">
        <v>1616</v>
      </c>
      <c r="N312">
        <v>50055</v>
      </c>
      <c r="P312" t="s">
        <v>1622</v>
      </c>
      <c r="Q312" t="s">
        <v>1627</v>
      </c>
      <c r="R312">
        <v>4.3</v>
      </c>
    </row>
    <row r="313" spans="1:18" x14ac:dyDescent="0.35">
      <c r="A313" t="s">
        <v>329</v>
      </c>
      <c r="B313" t="s">
        <v>420</v>
      </c>
      <c r="C313" t="s">
        <v>933</v>
      </c>
      <c r="D313" t="s">
        <v>1023</v>
      </c>
      <c r="E313" t="s">
        <v>1028</v>
      </c>
      <c r="F313" t="s">
        <v>1040</v>
      </c>
      <c r="G313" t="s">
        <v>1042</v>
      </c>
      <c r="H313" t="s">
        <v>1048</v>
      </c>
      <c r="I313" t="s">
        <v>1251</v>
      </c>
      <c r="M313" t="s">
        <v>1616</v>
      </c>
      <c r="N313">
        <v>29031</v>
      </c>
      <c r="P313" t="s">
        <v>1624</v>
      </c>
      <c r="Q313" t="s">
        <v>1626</v>
      </c>
      <c r="R313">
        <v>3.3</v>
      </c>
    </row>
    <row r="314" spans="1:18" x14ac:dyDescent="0.35">
      <c r="A314" t="s">
        <v>330</v>
      </c>
      <c r="B314" t="s">
        <v>605</v>
      </c>
      <c r="C314" t="s">
        <v>934</v>
      </c>
      <c r="D314" t="s">
        <v>1025</v>
      </c>
      <c r="E314" t="s">
        <v>1029</v>
      </c>
      <c r="F314" t="s">
        <v>1037</v>
      </c>
      <c r="G314" t="s">
        <v>1045</v>
      </c>
      <c r="H314" t="s">
        <v>1052</v>
      </c>
      <c r="I314" t="s">
        <v>1326</v>
      </c>
      <c r="M314" t="s">
        <v>1616</v>
      </c>
      <c r="N314">
        <v>51917</v>
      </c>
      <c r="P314" t="s">
        <v>1621</v>
      </c>
      <c r="Q314" t="s">
        <v>1628</v>
      </c>
    </row>
    <row r="315" spans="1:18" x14ac:dyDescent="0.35">
      <c r="A315" t="s">
        <v>331</v>
      </c>
      <c r="B315" t="s">
        <v>425</v>
      </c>
      <c r="C315" t="s">
        <v>935</v>
      </c>
      <c r="D315" t="s">
        <v>1022</v>
      </c>
      <c r="E315" t="s">
        <v>1030</v>
      </c>
      <c r="F315" t="s">
        <v>1033</v>
      </c>
      <c r="G315" t="s">
        <v>1043</v>
      </c>
      <c r="H315" t="s">
        <v>1052</v>
      </c>
      <c r="I315" t="s">
        <v>1327</v>
      </c>
      <c r="M315" t="s">
        <v>1616</v>
      </c>
      <c r="N315">
        <v>50952</v>
      </c>
      <c r="P315" t="s">
        <v>1624</v>
      </c>
      <c r="Q315" t="s">
        <v>1627</v>
      </c>
      <c r="R315">
        <v>3.4</v>
      </c>
    </row>
    <row r="316" spans="1:18" x14ac:dyDescent="0.35">
      <c r="A316" t="s">
        <v>332</v>
      </c>
      <c r="B316" t="s">
        <v>606</v>
      </c>
      <c r="C316" t="s">
        <v>936</v>
      </c>
      <c r="D316" t="s">
        <v>1022</v>
      </c>
      <c r="E316" t="s">
        <v>1030</v>
      </c>
      <c r="F316" t="s">
        <v>1036</v>
      </c>
      <c r="G316" t="s">
        <v>1043</v>
      </c>
      <c r="H316" t="s">
        <v>1050</v>
      </c>
      <c r="I316" t="s">
        <v>1259</v>
      </c>
      <c r="J316" t="s">
        <v>1492</v>
      </c>
      <c r="K316" t="s">
        <v>1103</v>
      </c>
      <c r="M316" t="s">
        <v>1618</v>
      </c>
      <c r="N316">
        <v>47635</v>
      </c>
      <c r="O316">
        <v>50381</v>
      </c>
      <c r="P316" t="s">
        <v>1625</v>
      </c>
      <c r="Q316" t="s">
        <v>1626</v>
      </c>
      <c r="R316">
        <v>3.6</v>
      </c>
    </row>
    <row r="317" spans="1:18" x14ac:dyDescent="0.35">
      <c r="A317" t="s">
        <v>333</v>
      </c>
      <c r="B317" t="s">
        <v>536</v>
      </c>
      <c r="C317" t="s">
        <v>937</v>
      </c>
      <c r="D317" t="s">
        <v>1025</v>
      </c>
      <c r="E317" t="s">
        <v>1032</v>
      </c>
      <c r="F317" t="s">
        <v>1038</v>
      </c>
      <c r="G317" t="s">
        <v>1041</v>
      </c>
      <c r="H317" t="s">
        <v>1049</v>
      </c>
      <c r="I317" t="s">
        <v>1328</v>
      </c>
      <c r="J317" t="s">
        <v>1493</v>
      </c>
      <c r="M317" t="s">
        <v>1615</v>
      </c>
      <c r="N317">
        <v>47134</v>
      </c>
      <c r="P317" t="s">
        <v>1625</v>
      </c>
      <c r="Q317" t="s">
        <v>1628</v>
      </c>
      <c r="R317">
        <v>3.3</v>
      </c>
    </row>
    <row r="318" spans="1:18" x14ac:dyDescent="0.35">
      <c r="A318" t="s">
        <v>334</v>
      </c>
      <c r="B318" t="s">
        <v>607</v>
      </c>
      <c r="C318" t="s">
        <v>938</v>
      </c>
      <c r="D318" t="s">
        <v>1027</v>
      </c>
      <c r="E318" t="s">
        <v>1030</v>
      </c>
      <c r="F318" t="s">
        <v>1040</v>
      </c>
      <c r="G318" t="s">
        <v>1042</v>
      </c>
      <c r="H318" t="s">
        <v>1051</v>
      </c>
      <c r="I318" t="s">
        <v>1329</v>
      </c>
      <c r="M318" t="s">
        <v>1616</v>
      </c>
      <c r="N318">
        <v>35541</v>
      </c>
      <c r="P318" t="s">
        <v>1624</v>
      </c>
      <c r="Q318" t="s">
        <v>1628</v>
      </c>
      <c r="R318">
        <v>4.9000000000000004</v>
      </c>
    </row>
    <row r="319" spans="1:18" x14ac:dyDescent="0.35">
      <c r="A319" t="s">
        <v>335</v>
      </c>
      <c r="B319" t="s">
        <v>452</v>
      </c>
      <c r="C319" t="s">
        <v>939</v>
      </c>
      <c r="D319" t="s">
        <v>1027</v>
      </c>
      <c r="E319" t="s">
        <v>1029</v>
      </c>
      <c r="F319" t="s">
        <v>1036</v>
      </c>
      <c r="G319" t="s">
        <v>1045</v>
      </c>
      <c r="H319" t="s">
        <v>1052</v>
      </c>
      <c r="I319" t="s">
        <v>1330</v>
      </c>
      <c r="M319" t="s">
        <v>1619</v>
      </c>
      <c r="N319">
        <v>45957</v>
      </c>
      <c r="P319" t="s">
        <v>1624</v>
      </c>
      <c r="Q319" t="s">
        <v>1627</v>
      </c>
      <c r="R319">
        <v>4.0999999999999996</v>
      </c>
    </row>
    <row r="320" spans="1:18" x14ac:dyDescent="0.35">
      <c r="A320" t="s">
        <v>336</v>
      </c>
      <c r="B320" t="s">
        <v>504</v>
      </c>
      <c r="C320" t="s">
        <v>940</v>
      </c>
      <c r="D320" t="s">
        <v>1025</v>
      </c>
      <c r="E320" t="s">
        <v>1031</v>
      </c>
      <c r="F320" t="s">
        <v>1037</v>
      </c>
      <c r="G320" t="s">
        <v>1045</v>
      </c>
      <c r="H320" t="s">
        <v>1047</v>
      </c>
      <c r="I320" t="s">
        <v>1331</v>
      </c>
      <c r="J320" t="s">
        <v>1494</v>
      </c>
      <c r="M320" t="s">
        <v>1615</v>
      </c>
      <c r="N320">
        <v>49445</v>
      </c>
      <c r="P320" t="s">
        <v>1624</v>
      </c>
      <c r="Q320" t="s">
        <v>1628</v>
      </c>
      <c r="R320">
        <v>4.5</v>
      </c>
    </row>
    <row r="321" spans="1:18" x14ac:dyDescent="0.35">
      <c r="A321" t="s">
        <v>337</v>
      </c>
      <c r="B321" t="s">
        <v>433</v>
      </c>
      <c r="C321" t="s">
        <v>941</v>
      </c>
      <c r="D321" t="s">
        <v>1022</v>
      </c>
      <c r="E321" t="s">
        <v>1028</v>
      </c>
      <c r="F321" t="s">
        <v>1034</v>
      </c>
      <c r="G321" t="s">
        <v>1042</v>
      </c>
      <c r="H321" t="s">
        <v>1047</v>
      </c>
      <c r="I321" t="s">
        <v>1332</v>
      </c>
      <c r="J321" t="s">
        <v>1495</v>
      </c>
      <c r="K321" t="s">
        <v>1569</v>
      </c>
      <c r="M321" t="s">
        <v>1618</v>
      </c>
      <c r="N321">
        <v>34414</v>
      </c>
      <c r="O321">
        <v>35275</v>
      </c>
      <c r="P321" t="s">
        <v>1623</v>
      </c>
      <c r="Q321" t="s">
        <v>1628</v>
      </c>
      <c r="R321">
        <v>3.6</v>
      </c>
    </row>
    <row r="322" spans="1:18" x14ac:dyDescent="0.35">
      <c r="A322" t="s">
        <v>338</v>
      </c>
      <c r="B322" t="s">
        <v>608</v>
      </c>
      <c r="C322" t="s">
        <v>942</v>
      </c>
      <c r="D322" t="s">
        <v>1023</v>
      </c>
      <c r="E322" t="s">
        <v>1029</v>
      </c>
      <c r="F322" t="s">
        <v>1040</v>
      </c>
      <c r="G322" t="s">
        <v>1043</v>
      </c>
      <c r="H322" t="s">
        <v>1052</v>
      </c>
      <c r="I322" t="s">
        <v>1333</v>
      </c>
      <c r="M322" t="s">
        <v>1619</v>
      </c>
      <c r="N322">
        <v>34505</v>
      </c>
      <c r="P322" t="s">
        <v>1624</v>
      </c>
      <c r="Q322" t="s">
        <v>1628</v>
      </c>
      <c r="R322">
        <v>2.9</v>
      </c>
    </row>
    <row r="323" spans="1:18" x14ac:dyDescent="0.35">
      <c r="A323" t="s">
        <v>339</v>
      </c>
      <c r="B323" t="s">
        <v>489</v>
      </c>
      <c r="C323" t="s">
        <v>943</v>
      </c>
      <c r="D323" t="s">
        <v>1022</v>
      </c>
      <c r="E323" t="s">
        <v>1029</v>
      </c>
      <c r="F323" t="s">
        <v>1033</v>
      </c>
      <c r="G323" t="s">
        <v>1045</v>
      </c>
      <c r="H323" t="s">
        <v>1051</v>
      </c>
      <c r="I323" t="s">
        <v>1334</v>
      </c>
      <c r="J323" t="s">
        <v>1364</v>
      </c>
      <c r="M323" t="s">
        <v>1615</v>
      </c>
      <c r="N323">
        <v>39091</v>
      </c>
      <c r="P323" t="s">
        <v>1623</v>
      </c>
      <c r="Q323" t="s">
        <v>1627</v>
      </c>
      <c r="R323">
        <v>2.9</v>
      </c>
    </row>
    <row r="324" spans="1:18" x14ac:dyDescent="0.35">
      <c r="A324" t="s">
        <v>340</v>
      </c>
      <c r="B324" t="s">
        <v>453</v>
      </c>
      <c r="C324" t="s">
        <v>944</v>
      </c>
      <c r="D324" t="s">
        <v>1027</v>
      </c>
      <c r="E324" t="s">
        <v>1031</v>
      </c>
      <c r="F324" t="s">
        <v>1039</v>
      </c>
      <c r="G324" t="s">
        <v>1044</v>
      </c>
      <c r="H324" t="s">
        <v>1048</v>
      </c>
      <c r="I324" t="s">
        <v>1335</v>
      </c>
      <c r="M324" t="s">
        <v>1619</v>
      </c>
      <c r="N324">
        <v>48279</v>
      </c>
      <c r="P324" t="s">
        <v>1622</v>
      </c>
      <c r="Q324" t="s">
        <v>1626</v>
      </c>
      <c r="R324">
        <v>2.6</v>
      </c>
    </row>
    <row r="325" spans="1:18" x14ac:dyDescent="0.35">
      <c r="A325" t="s">
        <v>341</v>
      </c>
      <c r="B325" t="s">
        <v>544</v>
      </c>
      <c r="C325" t="s">
        <v>945</v>
      </c>
      <c r="D325" t="s">
        <v>1023</v>
      </c>
      <c r="E325" t="s">
        <v>1030</v>
      </c>
      <c r="F325" t="s">
        <v>1040</v>
      </c>
      <c r="G325" t="s">
        <v>1043</v>
      </c>
      <c r="H325" t="s">
        <v>1050</v>
      </c>
      <c r="I325" t="s">
        <v>1336</v>
      </c>
      <c r="J325" t="s">
        <v>1475</v>
      </c>
      <c r="M325" t="s">
        <v>1615</v>
      </c>
      <c r="N325">
        <v>40759</v>
      </c>
      <c r="P325" t="s">
        <v>1624</v>
      </c>
      <c r="Q325" t="s">
        <v>1627</v>
      </c>
      <c r="R325">
        <v>2.7</v>
      </c>
    </row>
    <row r="326" spans="1:18" x14ac:dyDescent="0.35">
      <c r="A326" t="s">
        <v>342</v>
      </c>
      <c r="B326" t="s">
        <v>609</v>
      </c>
      <c r="C326" t="s">
        <v>946</v>
      </c>
      <c r="D326" t="s">
        <v>1027</v>
      </c>
      <c r="E326" t="s">
        <v>1032</v>
      </c>
      <c r="F326" t="s">
        <v>1036</v>
      </c>
      <c r="G326" t="s">
        <v>1041</v>
      </c>
      <c r="H326" t="s">
        <v>1047</v>
      </c>
      <c r="I326" t="s">
        <v>1337</v>
      </c>
      <c r="M326" t="s">
        <v>1619</v>
      </c>
      <c r="N326">
        <v>46853</v>
      </c>
      <c r="P326" t="s">
        <v>1623</v>
      </c>
      <c r="Q326" t="s">
        <v>1626</v>
      </c>
      <c r="R326">
        <v>3.9</v>
      </c>
    </row>
    <row r="327" spans="1:18" x14ac:dyDescent="0.35">
      <c r="A327" t="s">
        <v>343</v>
      </c>
      <c r="B327" t="s">
        <v>449</v>
      </c>
      <c r="C327" t="s">
        <v>947</v>
      </c>
      <c r="D327" t="s">
        <v>1024</v>
      </c>
      <c r="E327" t="s">
        <v>1029</v>
      </c>
      <c r="F327" t="s">
        <v>1039</v>
      </c>
      <c r="G327" t="s">
        <v>1041</v>
      </c>
      <c r="H327" t="s">
        <v>1049</v>
      </c>
      <c r="I327" t="s">
        <v>1338</v>
      </c>
      <c r="M327" t="s">
        <v>1617</v>
      </c>
      <c r="N327">
        <v>33442</v>
      </c>
      <c r="P327" t="s">
        <v>1622</v>
      </c>
      <c r="Q327" t="s">
        <v>1626</v>
      </c>
      <c r="R327">
        <v>4.9000000000000004</v>
      </c>
    </row>
    <row r="328" spans="1:18" x14ac:dyDescent="0.35">
      <c r="A328" t="s">
        <v>344</v>
      </c>
      <c r="B328" t="s">
        <v>610</v>
      </c>
      <c r="C328" t="s">
        <v>948</v>
      </c>
      <c r="D328" t="s">
        <v>1024</v>
      </c>
      <c r="E328" t="s">
        <v>1028</v>
      </c>
      <c r="F328" t="s">
        <v>1036</v>
      </c>
      <c r="G328" t="s">
        <v>1044</v>
      </c>
      <c r="H328" t="s">
        <v>1052</v>
      </c>
      <c r="I328" t="s">
        <v>1158</v>
      </c>
      <c r="M328" t="s">
        <v>1616</v>
      </c>
      <c r="N328">
        <v>45063</v>
      </c>
      <c r="P328" t="s">
        <v>1625</v>
      </c>
      <c r="Q328" t="s">
        <v>1628</v>
      </c>
      <c r="R328">
        <v>2.4</v>
      </c>
    </row>
    <row r="329" spans="1:18" x14ac:dyDescent="0.35">
      <c r="A329" t="s">
        <v>345</v>
      </c>
      <c r="B329" t="s">
        <v>508</v>
      </c>
      <c r="C329" t="s">
        <v>949</v>
      </c>
      <c r="D329" t="s">
        <v>1022</v>
      </c>
      <c r="E329" t="s">
        <v>1028</v>
      </c>
      <c r="F329" t="s">
        <v>1038</v>
      </c>
      <c r="G329" t="s">
        <v>1043</v>
      </c>
      <c r="H329" t="s">
        <v>1046</v>
      </c>
      <c r="I329" t="s">
        <v>1339</v>
      </c>
      <c r="J329" t="s">
        <v>1496</v>
      </c>
      <c r="M329" t="s">
        <v>1615</v>
      </c>
      <c r="N329">
        <v>32951</v>
      </c>
      <c r="P329" t="s">
        <v>1625</v>
      </c>
      <c r="Q329" t="s">
        <v>1626</v>
      </c>
      <c r="R329">
        <v>2.7</v>
      </c>
    </row>
    <row r="330" spans="1:18" x14ac:dyDescent="0.35">
      <c r="A330" t="s">
        <v>346</v>
      </c>
      <c r="B330" t="s">
        <v>536</v>
      </c>
      <c r="C330" t="s">
        <v>950</v>
      </c>
      <c r="D330" t="s">
        <v>1027</v>
      </c>
      <c r="E330" t="s">
        <v>1031</v>
      </c>
      <c r="F330" t="s">
        <v>1035</v>
      </c>
      <c r="G330" t="s">
        <v>1042</v>
      </c>
      <c r="H330" t="s">
        <v>1049</v>
      </c>
      <c r="I330" t="s">
        <v>1340</v>
      </c>
      <c r="J330" t="s">
        <v>1083</v>
      </c>
      <c r="K330" t="s">
        <v>1570</v>
      </c>
      <c r="L330" t="s">
        <v>1609</v>
      </c>
      <c r="M330" t="s">
        <v>1620</v>
      </c>
      <c r="N330">
        <v>29411</v>
      </c>
      <c r="O330">
        <v>30101</v>
      </c>
      <c r="P330" t="s">
        <v>1625</v>
      </c>
      <c r="Q330" t="s">
        <v>1627</v>
      </c>
      <c r="R330">
        <v>3.3</v>
      </c>
    </row>
    <row r="331" spans="1:18" x14ac:dyDescent="0.35">
      <c r="A331" t="s">
        <v>347</v>
      </c>
      <c r="B331" t="s">
        <v>432</v>
      </c>
      <c r="C331" t="s">
        <v>951</v>
      </c>
      <c r="D331" t="s">
        <v>1026</v>
      </c>
      <c r="E331" t="s">
        <v>1032</v>
      </c>
      <c r="F331" t="s">
        <v>1037</v>
      </c>
      <c r="G331" t="s">
        <v>1045</v>
      </c>
      <c r="H331" t="s">
        <v>1048</v>
      </c>
      <c r="I331" t="s">
        <v>1341</v>
      </c>
      <c r="J331" t="s">
        <v>1497</v>
      </c>
      <c r="K331" t="s">
        <v>1571</v>
      </c>
      <c r="M331" t="s">
        <v>1618</v>
      </c>
      <c r="N331">
        <v>39377</v>
      </c>
      <c r="O331">
        <v>41798</v>
      </c>
      <c r="P331" t="s">
        <v>1621</v>
      </c>
      <c r="Q331" t="s">
        <v>1628</v>
      </c>
      <c r="R331">
        <v>3.9</v>
      </c>
    </row>
    <row r="332" spans="1:18" x14ac:dyDescent="0.35">
      <c r="A332" t="s">
        <v>348</v>
      </c>
      <c r="B332" t="s">
        <v>611</v>
      </c>
      <c r="C332" t="s">
        <v>952</v>
      </c>
      <c r="D332" t="s">
        <v>1022</v>
      </c>
      <c r="E332" t="s">
        <v>1028</v>
      </c>
      <c r="F332" t="s">
        <v>1040</v>
      </c>
      <c r="G332" t="s">
        <v>1043</v>
      </c>
      <c r="H332" t="s">
        <v>1051</v>
      </c>
      <c r="I332" t="s">
        <v>1342</v>
      </c>
      <c r="M332" t="s">
        <v>1616</v>
      </c>
      <c r="N332">
        <v>50815</v>
      </c>
      <c r="P332" t="s">
        <v>1625</v>
      </c>
      <c r="Q332" t="s">
        <v>1628</v>
      </c>
      <c r="R332">
        <v>3.8</v>
      </c>
    </row>
    <row r="333" spans="1:18" x14ac:dyDescent="0.35">
      <c r="A333" t="s">
        <v>349</v>
      </c>
      <c r="B333" t="s">
        <v>537</v>
      </c>
      <c r="C333" t="s">
        <v>953</v>
      </c>
      <c r="D333" t="s">
        <v>1025</v>
      </c>
      <c r="E333" t="s">
        <v>1030</v>
      </c>
      <c r="F333" t="s">
        <v>1035</v>
      </c>
      <c r="G333" t="s">
        <v>1045</v>
      </c>
      <c r="H333" t="s">
        <v>1047</v>
      </c>
      <c r="I333" t="s">
        <v>1343</v>
      </c>
      <c r="J333" t="s">
        <v>1498</v>
      </c>
      <c r="K333" t="s">
        <v>1572</v>
      </c>
      <c r="L333" t="s">
        <v>1610</v>
      </c>
      <c r="M333" t="s">
        <v>1620</v>
      </c>
      <c r="N333">
        <v>49474</v>
      </c>
      <c r="O333">
        <v>51883</v>
      </c>
      <c r="P333" t="s">
        <v>1621</v>
      </c>
      <c r="Q333" t="s">
        <v>1627</v>
      </c>
    </row>
    <row r="334" spans="1:18" x14ac:dyDescent="0.35">
      <c r="A334" t="s">
        <v>350</v>
      </c>
      <c r="B334" t="s">
        <v>535</v>
      </c>
      <c r="C334" t="s">
        <v>954</v>
      </c>
      <c r="D334" t="s">
        <v>1023</v>
      </c>
      <c r="E334" t="s">
        <v>1028</v>
      </c>
      <c r="F334" t="s">
        <v>1033</v>
      </c>
      <c r="G334" t="s">
        <v>1041</v>
      </c>
      <c r="H334" t="s">
        <v>1047</v>
      </c>
      <c r="I334" t="s">
        <v>1344</v>
      </c>
      <c r="M334" t="s">
        <v>1616</v>
      </c>
      <c r="N334">
        <v>38087</v>
      </c>
      <c r="P334" t="s">
        <v>1624</v>
      </c>
      <c r="Q334" t="s">
        <v>1627</v>
      </c>
      <c r="R334">
        <v>3.2</v>
      </c>
    </row>
    <row r="335" spans="1:18" x14ac:dyDescent="0.35">
      <c r="A335" t="s">
        <v>351</v>
      </c>
      <c r="B335" t="s">
        <v>476</v>
      </c>
      <c r="C335" t="s">
        <v>955</v>
      </c>
      <c r="D335" t="s">
        <v>1026</v>
      </c>
      <c r="E335" t="s">
        <v>1028</v>
      </c>
      <c r="F335" t="s">
        <v>1037</v>
      </c>
      <c r="G335" t="s">
        <v>1043</v>
      </c>
      <c r="H335" t="s">
        <v>1046</v>
      </c>
      <c r="I335" t="s">
        <v>1206</v>
      </c>
      <c r="M335" t="s">
        <v>1619</v>
      </c>
      <c r="N335">
        <v>47937</v>
      </c>
      <c r="P335" t="s">
        <v>1624</v>
      </c>
      <c r="Q335" t="s">
        <v>1627</v>
      </c>
      <c r="R335">
        <v>3.7</v>
      </c>
    </row>
    <row r="336" spans="1:18" x14ac:dyDescent="0.35">
      <c r="A336" t="s">
        <v>352</v>
      </c>
      <c r="B336" t="s">
        <v>580</v>
      </c>
      <c r="C336" t="s">
        <v>956</v>
      </c>
      <c r="D336" t="s">
        <v>1022</v>
      </c>
      <c r="E336" t="s">
        <v>1031</v>
      </c>
      <c r="F336" t="s">
        <v>1039</v>
      </c>
      <c r="G336" t="s">
        <v>1044</v>
      </c>
      <c r="H336" t="s">
        <v>1048</v>
      </c>
      <c r="I336" t="s">
        <v>1345</v>
      </c>
      <c r="J336" t="s">
        <v>1142</v>
      </c>
      <c r="K336" t="s">
        <v>1150</v>
      </c>
      <c r="L336" t="s">
        <v>1437</v>
      </c>
      <c r="M336" t="s">
        <v>1620</v>
      </c>
      <c r="N336">
        <v>29079</v>
      </c>
      <c r="O336">
        <v>28407</v>
      </c>
      <c r="P336" t="s">
        <v>1624</v>
      </c>
      <c r="Q336" t="s">
        <v>1628</v>
      </c>
      <c r="R336">
        <v>3.7</v>
      </c>
    </row>
    <row r="337" spans="1:18" x14ac:dyDescent="0.35">
      <c r="A337" t="s">
        <v>353</v>
      </c>
      <c r="B337" t="s">
        <v>467</v>
      </c>
      <c r="C337" t="s">
        <v>957</v>
      </c>
      <c r="D337" t="s">
        <v>1022</v>
      </c>
      <c r="E337" t="s">
        <v>1032</v>
      </c>
      <c r="F337" t="s">
        <v>1040</v>
      </c>
      <c r="G337" t="s">
        <v>1045</v>
      </c>
      <c r="H337" t="s">
        <v>1046</v>
      </c>
      <c r="I337" t="s">
        <v>1325</v>
      </c>
      <c r="M337" t="s">
        <v>1616</v>
      </c>
      <c r="N337">
        <v>48019</v>
      </c>
      <c r="P337" t="s">
        <v>1622</v>
      </c>
      <c r="Q337" t="s">
        <v>1628</v>
      </c>
      <c r="R337">
        <v>5</v>
      </c>
    </row>
    <row r="338" spans="1:18" x14ac:dyDescent="0.35">
      <c r="A338" t="s">
        <v>354</v>
      </c>
      <c r="B338" t="s">
        <v>460</v>
      </c>
      <c r="C338" t="s">
        <v>958</v>
      </c>
      <c r="D338" t="s">
        <v>1022</v>
      </c>
      <c r="E338" t="s">
        <v>1032</v>
      </c>
      <c r="F338" t="s">
        <v>1034</v>
      </c>
      <c r="G338" t="s">
        <v>1045</v>
      </c>
      <c r="H338" t="s">
        <v>1048</v>
      </c>
      <c r="I338" t="s">
        <v>1346</v>
      </c>
      <c r="J338" t="s">
        <v>1499</v>
      </c>
      <c r="M338" t="s">
        <v>1615</v>
      </c>
      <c r="N338">
        <v>38058</v>
      </c>
      <c r="P338" t="s">
        <v>1624</v>
      </c>
      <c r="Q338" t="s">
        <v>1627</v>
      </c>
      <c r="R338">
        <v>2.2999999999999998</v>
      </c>
    </row>
    <row r="339" spans="1:18" x14ac:dyDescent="0.35">
      <c r="A339" t="s">
        <v>355</v>
      </c>
      <c r="B339" t="s">
        <v>612</v>
      </c>
      <c r="C339" t="s">
        <v>959</v>
      </c>
      <c r="D339" t="s">
        <v>1024</v>
      </c>
      <c r="E339" t="s">
        <v>1032</v>
      </c>
      <c r="F339" t="s">
        <v>1040</v>
      </c>
      <c r="G339" t="s">
        <v>1043</v>
      </c>
      <c r="H339" t="s">
        <v>1048</v>
      </c>
      <c r="I339" t="s">
        <v>1347</v>
      </c>
      <c r="M339" t="s">
        <v>1617</v>
      </c>
      <c r="N339">
        <v>47606</v>
      </c>
      <c r="P339" t="s">
        <v>1621</v>
      </c>
      <c r="Q339" t="s">
        <v>1627</v>
      </c>
      <c r="R339">
        <v>3.2</v>
      </c>
    </row>
    <row r="340" spans="1:18" x14ac:dyDescent="0.35">
      <c r="A340" t="s">
        <v>356</v>
      </c>
      <c r="B340" t="s">
        <v>490</v>
      </c>
      <c r="C340" t="s">
        <v>960</v>
      </c>
      <c r="D340" t="s">
        <v>1023</v>
      </c>
      <c r="E340" t="s">
        <v>1029</v>
      </c>
      <c r="F340" t="s">
        <v>1038</v>
      </c>
      <c r="G340" t="s">
        <v>1042</v>
      </c>
      <c r="H340" t="s">
        <v>1049</v>
      </c>
      <c r="I340" t="s">
        <v>1348</v>
      </c>
      <c r="M340" t="s">
        <v>1616</v>
      </c>
      <c r="N340">
        <v>49929</v>
      </c>
      <c r="P340" t="s">
        <v>1621</v>
      </c>
      <c r="Q340" t="s">
        <v>1627</v>
      </c>
      <c r="R340">
        <v>3.2</v>
      </c>
    </row>
    <row r="341" spans="1:18" x14ac:dyDescent="0.35">
      <c r="A341" t="s">
        <v>357</v>
      </c>
      <c r="B341" t="s">
        <v>613</v>
      </c>
      <c r="C341" t="s">
        <v>961</v>
      </c>
      <c r="D341" t="s">
        <v>1026</v>
      </c>
      <c r="E341" t="s">
        <v>1030</v>
      </c>
      <c r="F341" t="s">
        <v>1034</v>
      </c>
      <c r="G341" t="s">
        <v>1042</v>
      </c>
      <c r="H341" t="s">
        <v>1048</v>
      </c>
      <c r="I341" t="s">
        <v>1141</v>
      </c>
      <c r="J341" t="s">
        <v>1164</v>
      </c>
      <c r="M341" t="s">
        <v>1615</v>
      </c>
      <c r="N341">
        <v>46043</v>
      </c>
      <c r="P341" t="s">
        <v>1625</v>
      </c>
      <c r="Q341" t="s">
        <v>1626</v>
      </c>
    </row>
    <row r="342" spans="1:18" x14ac:dyDescent="0.35">
      <c r="A342" t="s">
        <v>358</v>
      </c>
      <c r="B342" t="s">
        <v>614</v>
      </c>
      <c r="C342" t="s">
        <v>962</v>
      </c>
      <c r="D342" t="s">
        <v>1027</v>
      </c>
      <c r="E342" t="s">
        <v>1031</v>
      </c>
      <c r="F342" t="s">
        <v>1039</v>
      </c>
      <c r="G342" t="s">
        <v>1041</v>
      </c>
      <c r="H342" t="s">
        <v>1047</v>
      </c>
      <c r="I342" t="s">
        <v>1349</v>
      </c>
      <c r="J342" t="s">
        <v>1500</v>
      </c>
      <c r="M342" t="s">
        <v>1615</v>
      </c>
      <c r="N342">
        <v>29646</v>
      </c>
      <c r="P342" t="s">
        <v>1624</v>
      </c>
      <c r="Q342" t="s">
        <v>1627</v>
      </c>
      <c r="R342">
        <v>3.5</v>
      </c>
    </row>
    <row r="343" spans="1:18" x14ac:dyDescent="0.35">
      <c r="A343" t="s">
        <v>359</v>
      </c>
      <c r="B343" t="s">
        <v>582</v>
      </c>
      <c r="C343" t="s">
        <v>963</v>
      </c>
      <c r="D343" t="s">
        <v>1026</v>
      </c>
      <c r="E343" t="s">
        <v>1031</v>
      </c>
      <c r="F343" t="s">
        <v>1034</v>
      </c>
      <c r="G343" t="s">
        <v>1042</v>
      </c>
      <c r="H343" t="s">
        <v>1049</v>
      </c>
      <c r="I343" t="s">
        <v>1350</v>
      </c>
      <c r="M343" t="s">
        <v>1619</v>
      </c>
      <c r="N343">
        <v>30109</v>
      </c>
      <c r="P343" t="s">
        <v>1621</v>
      </c>
      <c r="Q343" t="s">
        <v>1627</v>
      </c>
      <c r="R343">
        <v>3</v>
      </c>
    </row>
    <row r="344" spans="1:18" x14ac:dyDescent="0.35">
      <c r="A344" t="s">
        <v>360</v>
      </c>
      <c r="B344" t="s">
        <v>577</v>
      </c>
      <c r="C344" t="s">
        <v>964</v>
      </c>
      <c r="D344" t="s">
        <v>1023</v>
      </c>
      <c r="E344" t="s">
        <v>1031</v>
      </c>
      <c r="F344" t="s">
        <v>1038</v>
      </c>
      <c r="G344" t="s">
        <v>1045</v>
      </c>
      <c r="H344" t="s">
        <v>1051</v>
      </c>
      <c r="I344" t="s">
        <v>1184</v>
      </c>
      <c r="J344" t="s">
        <v>1081</v>
      </c>
      <c r="M344" t="s">
        <v>1615</v>
      </c>
      <c r="N344">
        <v>42672</v>
      </c>
      <c r="P344" t="s">
        <v>1621</v>
      </c>
      <c r="Q344" t="s">
        <v>1628</v>
      </c>
      <c r="R344">
        <v>4.5</v>
      </c>
    </row>
    <row r="345" spans="1:18" x14ac:dyDescent="0.35">
      <c r="A345" t="s">
        <v>361</v>
      </c>
      <c r="B345" t="s">
        <v>615</v>
      </c>
      <c r="C345" t="s">
        <v>965</v>
      </c>
      <c r="D345" t="s">
        <v>1024</v>
      </c>
      <c r="E345" t="s">
        <v>1031</v>
      </c>
      <c r="F345" t="s">
        <v>1034</v>
      </c>
      <c r="G345" t="s">
        <v>1042</v>
      </c>
      <c r="H345" t="s">
        <v>1051</v>
      </c>
      <c r="I345" t="s">
        <v>1086</v>
      </c>
      <c r="M345" t="s">
        <v>1619</v>
      </c>
      <c r="N345">
        <v>35345</v>
      </c>
      <c r="P345" t="s">
        <v>1625</v>
      </c>
      <c r="Q345" t="s">
        <v>1628</v>
      </c>
      <c r="R345">
        <v>2.9</v>
      </c>
    </row>
    <row r="346" spans="1:18" x14ac:dyDescent="0.35">
      <c r="A346" t="s">
        <v>362</v>
      </c>
      <c r="B346" t="s">
        <v>422</v>
      </c>
      <c r="C346" t="s">
        <v>966</v>
      </c>
      <c r="D346" t="s">
        <v>1027</v>
      </c>
      <c r="E346" t="s">
        <v>1032</v>
      </c>
      <c r="F346" t="s">
        <v>1033</v>
      </c>
      <c r="G346" t="s">
        <v>1041</v>
      </c>
      <c r="H346" t="s">
        <v>1052</v>
      </c>
      <c r="I346" t="s">
        <v>1351</v>
      </c>
      <c r="M346" t="s">
        <v>1619</v>
      </c>
      <c r="N346">
        <v>28023</v>
      </c>
      <c r="P346" t="s">
        <v>1622</v>
      </c>
      <c r="Q346" t="s">
        <v>1627</v>
      </c>
      <c r="R346">
        <v>3.5</v>
      </c>
    </row>
    <row r="347" spans="1:18" x14ac:dyDescent="0.35">
      <c r="A347" t="s">
        <v>363</v>
      </c>
      <c r="B347" t="s">
        <v>557</v>
      </c>
      <c r="C347" t="s">
        <v>967</v>
      </c>
      <c r="D347" t="s">
        <v>1026</v>
      </c>
      <c r="E347" t="s">
        <v>1032</v>
      </c>
      <c r="F347" t="s">
        <v>1034</v>
      </c>
      <c r="G347" t="s">
        <v>1045</v>
      </c>
      <c r="H347" t="s">
        <v>1047</v>
      </c>
      <c r="I347" t="s">
        <v>1352</v>
      </c>
      <c r="J347" t="s">
        <v>1501</v>
      </c>
      <c r="K347" t="s">
        <v>1573</v>
      </c>
      <c r="M347" t="s">
        <v>1618</v>
      </c>
      <c r="N347">
        <v>45470</v>
      </c>
      <c r="O347">
        <v>48498</v>
      </c>
      <c r="P347" t="s">
        <v>1623</v>
      </c>
      <c r="Q347" t="s">
        <v>1628</v>
      </c>
      <c r="R347">
        <v>4.3</v>
      </c>
    </row>
    <row r="348" spans="1:18" x14ac:dyDescent="0.35">
      <c r="A348" t="s">
        <v>364</v>
      </c>
      <c r="B348" t="s">
        <v>514</v>
      </c>
      <c r="C348" t="s">
        <v>968</v>
      </c>
      <c r="D348" t="s">
        <v>1023</v>
      </c>
      <c r="E348" t="s">
        <v>1030</v>
      </c>
      <c r="F348" t="s">
        <v>1033</v>
      </c>
      <c r="G348" t="s">
        <v>1043</v>
      </c>
      <c r="H348" t="s">
        <v>1052</v>
      </c>
      <c r="I348" t="s">
        <v>1353</v>
      </c>
      <c r="J348" t="s">
        <v>1071</v>
      </c>
      <c r="K348" t="s">
        <v>1574</v>
      </c>
      <c r="L348" t="s">
        <v>1611</v>
      </c>
      <c r="M348" t="s">
        <v>1620</v>
      </c>
      <c r="N348">
        <v>34339</v>
      </c>
      <c r="O348">
        <v>34253</v>
      </c>
      <c r="P348" t="s">
        <v>1624</v>
      </c>
      <c r="Q348" t="s">
        <v>1627</v>
      </c>
      <c r="R348">
        <v>2.2000000000000002</v>
      </c>
    </row>
    <row r="349" spans="1:18" x14ac:dyDescent="0.35">
      <c r="A349" t="s">
        <v>365</v>
      </c>
      <c r="B349" t="s">
        <v>451</v>
      </c>
      <c r="C349" t="s">
        <v>969</v>
      </c>
      <c r="D349" t="s">
        <v>1026</v>
      </c>
      <c r="E349" t="s">
        <v>1030</v>
      </c>
      <c r="F349" t="s">
        <v>1038</v>
      </c>
      <c r="G349" t="s">
        <v>1043</v>
      </c>
      <c r="H349" t="s">
        <v>1052</v>
      </c>
      <c r="I349" t="s">
        <v>1354</v>
      </c>
      <c r="J349" t="s">
        <v>1286</v>
      </c>
      <c r="K349" t="s">
        <v>1575</v>
      </c>
      <c r="M349" t="s">
        <v>1618</v>
      </c>
      <c r="N349">
        <v>42484</v>
      </c>
      <c r="O349">
        <v>40835</v>
      </c>
      <c r="P349" t="s">
        <v>1625</v>
      </c>
      <c r="Q349" t="s">
        <v>1627</v>
      </c>
      <c r="R349">
        <v>2.6</v>
      </c>
    </row>
    <row r="350" spans="1:18" x14ac:dyDescent="0.35">
      <c r="A350" t="s">
        <v>366</v>
      </c>
      <c r="B350" t="s">
        <v>508</v>
      </c>
      <c r="C350" t="s">
        <v>970</v>
      </c>
      <c r="D350" t="s">
        <v>1024</v>
      </c>
      <c r="E350" t="s">
        <v>1032</v>
      </c>
      <c r="F350" t="s">
        <v>1037</v>
      </c>
      <c r="G350" t="s">
        <v>1042</v>
      </c>
      <c r="H350" t="s">
        <v>1046</v>
      </c>
      <c r="I350" t="s">
        <v>1355</v>
      </c>
      <c r="J350" t="s">
        <v>1393</v>
      </c>
      <c r="M350" t="s">
        <v>1615</v>
      </c>
      <c r="N350">
        <v>44962</v>
      </c>
      <c r="P350" t="s">
        <v>1621</v>
      </c>
      <c r="Q350" t="s">
        <v>1626</v>
      </c>
      <c r="R350">
        <v>2.6</v>
      </c>
    </row>
    <row r="351" spans="1:18" x14ac:dyDescent="0.35">
      <c r="A351" t="s">
        <v>367</v>
      </c>
      <c r="B351" t="s">
        <v>616</v>
      </c>
      <c r="C351" t="s">
        <v>971</v>
      </c>
      <c r="D351" t="s">
        <v>1026</v>
      </c>
      <c r="E351" t="s">
        <v>1032</v>
      </c>
      <c r="F351" t="s">
        <v>1037</v>
      </c>
      <c r="G351" t="s">
        <v>1043</v>
      </c>
      <c r="H351" t="s">
        <v>1052</v>
      </c>
      <c r="I351" t="s">
        <v>1353</v>
      </c>
      <c r="M351" t="s">
        <v>1617</v>
      </c>
      <c r="N351">
        <v>49755</v>
      </c>
      <c r="P351" t="s">
        <v>1622</v>
      </c>
      <c r="Q351" t="s">
        <v>1628</v>
      </c>
      <c r="R351">
        <v>3.8</v>
      </c>
    </row>
    <row r="352" spans="1:18" x14ac:dyDescent="0.35">
      <c r="A352" t="s">
        <v>368</v>
      </c>
      <c r="B352" t="s">
        <v>582</v>
      </c>
      <c r="C352" t="s">
        <v>972</v>
      </c>
      <c r="D352" t="s">
        <v>1026</v>
      </c>
      <c r="E352" t="s">
        <v>1029</v>
      </c>
      <c r="F352" t="s">
        <v>1033</v>
      </c>
      <c r="G352" t="s">
        <v>1041</v>
      </c>
      <c r="H352" t="s">
        <v>1048</v>
      </c>
      <c r="I352" t="s">
        <v>1356</v>
      </c>
      <c r="M352" t="s">
        <v>1616</v>
      </c>
      <c r="N352">
        <v>45314</v>
      </c>
      <c r="P352" t="s">
        <v>1625</v>
      </c>
      <c r="Q352" t="s">
        <v>1627</v>
      </c>
      <c r="R352">
        <v>2.5</v>
      </c>
    </row>
    <row r="353" spans="1:18" x14ac:dyDescent="0.35">
      <c r="A353" t="s">
        <v>369</v>
      </c>
      <c r="B353" t="s">
        <v>570</v>
      </c>
      <c r="C353" t="s">
        <v>973</v>
      </c>
      <c r="D353" t="s">
        <v>1022</v>
      </c>
      <c r="E353" t="s">
        <v>1032</v>
      </c>
      <c r="F353" t="s">
        <v>1037</v>
      </c>
      <c r="G353" t="s">
        <v>1045</v>
      </c>
      <c r="H353" t="s">
        <v>1051</v>
      </c>
      <c r="I353" t="s">
        <v>1142</v>
      </c>
      <c r="M353" t="s">
        <v>1616</v>
      </c>
      <c r="N353">
        <v>36630</v>
      </c>
      <c r="P353" t="s">
        <v>1625</v>
      </c>
      <c r="Q353" t="s">
        <v>1626</v>
      </c>
      <c r="R353">
        <v>3.5</v>
      </c>
    </row>
    <row r="354" spans="1:18" x14ac:dyDescent="0.35">
      <c r="A354" t="s">
        <v>370</v>
      </c>
      <c r="B354" t="s">
        <v>470</v>
      </c>
      <c r="C354" t="s">
        <v>974</v>
      </c>
      <c r="D354" t="s">
        <v>1022</v>
      </c>
      <c r="E354" t="s">
        <v>1028</v>
      </c>
      <c r="F354" t="s">
        <v>1037</v>
      </c>
      <c r="G354" t="s">
        <v>1041</v>
      </c>
      <c r="H354" t="s">
        <v>1047</v>
      </c>
      <c r="I354" t="s">
        <v>1357</v>
      </c>
      <c r="M354" t="s">
        <v>1619</v>
      </c>
      <c r="N354">
        <v>38487</v>
      </c>
      <c r="P354" t="s">
        <v>1621</v>
      </c>
      <c r="Q354" t="s">
        <v>1628</v>
      </c>
      <c r="R354">
        <v>4.3</v>
      </c>
    </row>
    <row r="355" spans="1:18" x14ac:dyDescent="0.35">
      <c r="A355" t="s">
        <v>371</v>
      </c>
      <c r="B355" t="s">
        <v>584</v>
      </c>
      <c r="C355" t="s">
        <v>975</v>
      </c>
      <c r="D355" t="s">
        <v>1025</v>
      </c>
      <c r="E355" t="s">
        <v>1031</v>
      </c>
      <c r="F355" t="s">
        <v>1040</v>
      </c>
      <c r="G355" t="s">
        <v>1041</v>
      </c>
      <c r="H355" t="s">
        <v>1049</v>
      </c>
      <c r="I355" t="s">
        <v>1358</v>
      </c>
      <c r="J355" t="s">
        <v>1502</v>
      </c>
      <c r="M355" t="s">
        <v>1615</v>
      </c>
      <c r="N355">
        <v>34222</v>
      </c>
      <c r="P355" t="s">
        <v>1622</v>
      </c>
      <c r="Q355" t="s">
        <v>1626</v>
      </c>
      <c r="R355">
        <v>3.7</v>
      </c>
    </row>
    <row r="356" spans="1:18" x14ac:dyDescent="0.35">
      <c r="A356" t="s">
        <v>372</v>
      </c>
      <c r="B356" t="s">
        <v>514</v>
      </c>
      <c r="C356" t="s">
        <v>976</v>
      </c>
      <c r="D356" t="s">
        <v>1025</v>
      </c>
      <c r="E356" t="s">
        <v>1028</v>
      </c>
      <c r="F356" t="s">
        <v>1039</v>
      </c>
      <c r="G356" t="s">
        <v>1044</v>
      </c>
      <c r="H356" t="s">
        <v>1052</v>
      </c>
      <c r="I356" t="s">
        <v>1359</v>
      </c>
      <c r="J356" t="s">
        <v>1503</v>
      </c>
      <c r="M356" t="s">
        <v>1615</v>
      </c>
      <c r="N356">
        <v>47075</v>
      </c>
      <c r="P356" t="s">
        <v>1621</v>
      </c>
      <c r="Q356" t="s">
        <v>1628</v>
      </c>
      <c r="R356">
        <v>4.0999999999999996</v>
      </c>
    </row>
    <row r="357" spans="1:18" x14ac:dyDescent="0.35">
      <c r="A357" t="s">
        <v>373</v>
      </c>
      <c r="B357" t="s">
        <v>617</v>
      </c>
      <c r="C357" t="s">
        <v>977</v>
      </c>
      <c r="D357" t="s">
        <v>1023</v>
      </c>
      <c r="E357" t="s">
        <v>1032</v>
      </c>
      <c r="F357" t="s">
        <v>1039</v>
      </c>
      <c r="G357" t="s">
        <v>1044</v>
      </c>
      <c r="H357" t="s">
        <v>1049</v>
      </c>
      <c r="I357" t="s">
        <v>1360</v>
      </c>
      <c r="J357" t="s">
        <v>1504</v>
      </c>
      <c r="K357" t="s">
        <v>1175</v>
      </c>
      <c r="L357" t="s">
        <v>1612</v>
      </c>
      <c r="M357" t="s">
        <v>1620</v>
      </c>
      <c r="N357">
        <v>43197</v>
      </c>
      <c r="O357">
        <v>45464</v>
      </c>
      <c r="P357" t="s">
        <v>1624</v>
      </c>
      <c r="Q357" t="s">
        <v>1628</v>
      </c>
      <c r="R357">
        <v>3.6</v>
      </c>
    </row>
    <row r="358" spans="1:18" x14ac:dyDescent="0.35">
      <c r="A358" t="s">
        <v>374</v>
      </c>
      <c r="B358" t="s">
        <v>463</v>
      </c>
      <c r="C358" t="s">
        <v>978</v>
      </c>
      <c r="D358" t="s">
        <v>1026</v>
      </c>
      <c r="E358" t="s">
        <v>1032</v>
      </c>
      <c r="F358" t="s">
        <v>1039</v>
      </c>
      <c r="G358" t="s">
        <v>1043</v>
      </c>
      <c r="H358" t="s">
        <v>1047</v>
      </c>
      <c r="I358" t="s">
        <v>1163</v>
      </c>
      <c r="M358" t="s">
        <v>1619</v>
      </c>
      <c r="N358">
        <v>37366</v>
      </c>
      <c r="P358" t="s">
        <v>1624</v>
      </c>
      <c r="Q358" t="s">
        <v>1627</v>
      </c>
      <c r="R358">
        <v>3</v>
      </c>
    </row>
    <row r="359" spans="1:18" x14ac:dyDescent="0.35">
      <c r="A359" t="s">
        <v>375</v>
      </c>
      <c r="B359" t="s">
        <v>531</v>
      </c>
      <c r="C359" t="s">
        <v>979</v>
      </c>
      <c r="D359" t="s">
        <v>1025</v>
      </c>
      <c r="E359" t="s">
        <v>1030</v>
      </c>
      <c r="F359" t="s">
        <v>1035</v>
      </c>
      <c r="G359" t="s">
        <v>1041</v>
      </c>
      <c r="H359" t="s">
        <v>1049</v>
      </c>
      <c r="I359" t="s">
        <v>1361</v>
      </c>
      <c r="J359" t="s">
        <v>1301</v>
      </c>
      <c r="M359" t="s">
        <v>1615</v>
      </c>
      <c r="N359">
        <v>31420</v>
      </c>
      <c r="P359" t="s">
        <v>1623</v>
      </c>
      <c r="Q359" t="s">
        <v>1628</v>
      </c>
      <c r="R359">
        <v>3.5</v>
      </c>
    </row>
    <row r="360" spans="1:18" x14ac:dyDescent="0.35">
      <c r="A360" t="s">
        <v>376</v>
      </c>
      <c r="B360" t="s">
        <v>618</v>
      </c>
      <c r="C360" t="s">
        <v>980</v>
      </c>
      <c r="D360" t="s">
        <v>1023</v>
      </c>
      <c r="E360" t="s">
        <v>1031</v>
      </c>
      <c r="F360" t="s">
        <v>1035</v>
      </c>
      <c r="G360" t="s">
        <v>1041</v>
      </c>
      <c r="H360" t="s">
        <v>1047</v>
      </c>
      <c r="I360" t="s">
        <v>1362</v>
      </c>
      <c r="J360" t="s">
        <v>1505</v>
      </c>
      <c r="M360" t="s">
        <v>1615</v>
      </c>
      <c r="N360">
        <v>38348</v>
      </c>
      <c r="P360" t="s">
        <v>1622</v>
      </c>
      <c r="Q360" t="s">
        <v>1628</v>
      </c>
      <c r="R360">
        <v>4.7</v>
      </c>
    </row>
    <row r="361" spans="1:18" x14ac:dyDescent="0.35">
      <c r="A361" t="s">
        <v>377</v>
      </c>
      <c r="B361" t="s">
        <v>611</v>
      </c>
      <c r="C361" t="s">
        <v>981</v>
      </c>
      <c r="D361" t="s">
        <v>1023</v>
      </c>
      <c r="E361" t="s">
        <v>1031</v>
      </c>
      <c r="F361" t="s">
        <v>1033</v>
      </c>
      <c r="G361" t="s">
        <v>1044</v>
      </c>
      <c r="H361" t="s">
        <v>1050</v>
      </c>
      <c r="I361" t="s">
        <v>1258</v>
      </c>
      <c r="M361" t="s">
        <v>1619</v>
      </c>
      <c r="N361">
        <v>38245</v>
      </c>
      <c r="P361" t="s">
        <v>1625</v>
      </c>
      <c r="Q361" t="s">
        <v>1626</v>
      </c>
      <c r="R361">
        <v>2.9</v>
      </c>
    </row>
    <row r="362" spans="1:18" x14ac:dyDescent="0.35">
      <c r="A362" t="s">
        <v>378</v>
      </c>
      <c r="B362" t="s">
        <v>487</v>
      </c>
      <c r="C362" t="s">
        <v>982</v>
      </c>
      <c r="D362" t="s">
        <v>1024</v>
      </c>
      <c r="E362" t="s">
        <v>1030</v>
      </c>
      <c r="F362" t="s">
        <v>1034</v>
      </c>
      <c r="G362" t="s">
        <v>1044</v>
      </c>
      <c r="H362" t="s">
        <v>1052</v>
      </c>
      <c r="I362" t="s">
        <v>1363</v>
      </c>
      <c r="J362" t="s">
        <v>1506</v>
      </c>
      <c r="K362" t="s">
        <v>1576</v>
      </c>
      <c r="M362" t="s">
        <v>1618</v>
      </c>
      <c r="N362">
        <v>33643</v>
      </c>
      <c r="O362">
        <v>37376</v>
      </c>
      <c r="P362" t="s">
        <v>1622</v>
      </c>
      <c r="Q362" t="s">
        <v>1628</v>
      </c>
      <c r="R362">
        <v>2.2999999999999998</v>
      </c>
    </row>
    <row r="363" spans="1:18" x14ac:dyDescent="0.35">
      <c r="A363" t="s">
        <v>379</v>
      </c>
      <c r="B363" t="s">
        <v>437</v>
      </c>
      <c r="C363" t="s">
        <v>983</v>
      </c>
      <c r="D363" t="s">
        <v>1023</v>
      </c>
      <c r="E363" t="s">
        <v>1028</v>
      </c>
      <c r="F363" t="s">
        <v>1040</v>
      </c>
      <c r="G363" t="s">
        <v>1042</v>
      </c>
      <c r="H363" t="s">
        <v>1052</v>
      </c>
      <c r="I363" t="s">
        <v>1364</v>
      </c>
      <c r="M363" t="s">
        <v>1619</v>
      </c>
      <c r="N363">
        <v>50808</v>
      </c>
      <c r="P363" t="s">
        <v>1622</v>
      </c>
      <c r="Q363" t="s">
        <v>1627</v>
      </c>
      <c r="R363">
        <v>4.2</v>
      </c>
    </row>
    <row r="364" spans="1:18" x14ac:dyDescent="0.35">
      <c r="A364" t="s">
        <v>380</v>
      </c>
      <c r="B364" t="s">
        <v>504</v>
      </c>
      <c r="C364" t="s">
        <v>984</v>
      </c>
      <c r="D364" t="s">
        <v>1025</v>
      </c>
      <c r="E364" t="s">
        <v>1031</v>
      </c>
      <c r="F364" t="s">
        <v>1036</v>
      </c>
      <c r="G364" t="s">
        <v>1044</v>
      </c>
      <c r="H364" t="s">
        <v>1048</v>
      </c>
      <c r="I364" t="s">
        <v>1365</v>
      </c>
      <c r="M364" t="s">
        <v>1617</v>
      </c>
      <c r="N364">
        <v>44698</v>
      </c>
      <c r="P364" t="s">
        <v>1621</v>
      </c>
      <c r="Q364" t="s">
        <v>1626</v>
      </c>
    </row>
    <row r="365" spans="1:18" x14ac:dyDescent="0.35">
      <c r="A365" t="s">
        <v>381</v>
      </c>
      <c r="B365" t="s">
        <v>525</v>
      </c>
      <c r="C365" t="s">
        <v>985</v>
      </c>
      <c r="D365" t="s">
        <v>1025</v>
      </c>
      <c r="E365" t="s">
        <v>1032</v>
      </c>
      <c r="F365" t="s">
        <v>1033</v>
      </c>
      <c r="G365" t="s">
        <v>1044</v>
      </c>
      <c r="H365" t="s">
        <v>1048</v>
      </c>
      <c r="I365" t="s">
        <v>1366</v>
      </c>
      <c r="J365" t="s">
        <v>1507</v>
      </c>
      <c r="M365" t="s">
        <v>1615</v>
      </c>
      <c r="N365">
        <v>40908</v>
      </c>
      <c r="P365" t="s">
        <v>1623</v>
      </c>
      <c r="Q365" t="s">
        <v>1626</v>
      </c>
      <c r="R365">
        <v>4.3</v>
      </c>
    </row>
    <row r="366" spans="1:18" x14ac:dyDescent="0.35">
      <c r="A366" t="s">
        <v>382</v>
      </c>
      <c r="B366" t="s">
        <v>471</v>
      </c>
      <c r="C366" t="s">
        <v>986</v>
      </c>
      <c r="D366" t="s">
        <v>1026</v>
      </c>
      <c r="E366" t="s">
        <v>1032</v>
      </c>
      <c r="F366" t="s">
        <v>1039</v>
      </c>
      <c r="G366" t="s">
        <v>1045</v>
      </c>
      <c r="H366" t="s">
        <v>1052</v>
      </c>
      <c r="I366" t="s">
        <v>1367</v>
      </c>
      <c r="M366" t="s">
        <v>1619</v>
      </c>
      <c r="N366">
        <v>33027</v>
      </c>
      <c r="P366" t="s">
        <v>1622</v>
      </c>
      <c r="Q366" t="s">
        <v>1627</v>
      </c>
      <c r="R366">
        <v>2.9</v>
      </c>
    </row>
    <row r="367" spans="1:18" x14ac:dyDescent="0.35">
      <c r="A367" t="s">
        <v>383</v>
      </c>
      <c r="B367" t="s">
        <v>495</v>
      </c>
      <c r="C367" t="s">
        <v>987</v>
      </c>
      <c r="D367" t="s">
        <v>1023</v>
      </c>
      <c r="E367" t="s">
        <v>1028</v>
      </c>
      <c r="F367" t="s">
        <v>1040</v>
      </c>
      <c r="G367" t="s">
        <v>1045</v>
      </c>
      <c r="H367" t="s">
        <v>1048</v>
      </c>
      <c r="I367" t="s">
        <v>1368</v>
      </c>
      <c r="J367" t="s">
        <v>1477</v>
      </c>
      <c r="M367" t="s">
        <v>1615</v>
      </c>
      <c r="N367">
        <v>37706</v>
      </c>
      <c r="P367" t="s">
        <v>1625</v>
      </c>
      <c r="Q367" t="s">
        <v>1628</v>
      </c>
      <c r="R367">
        <v>3.4</v>
      </c>
    </row>
    <row r="368" spans="1:18" x14ac:dyDescent="0.35">
      <c r="A368" t="s">
        <v>384</v>
      </c>
      <c r="B368" t="s">
        <v>470</v>
      </c>
      <c r="C368" t="s">
        <v>988</v>
      </c>
      <c r="D368" t="s">
        <v>1023</v>
      </c>
      <c r="E368" t="s">
        <v>1031</v>
      </c>
      <c r="F368" t="s">
        <v>1039</v>
      </c>
      <c r="G368" t="s">
        <v>1042</v>
      </c>
      <c r="H368" t="s">
        <v>1047</v>
      </c>
      <c r="I368" t="s">
        <v>1369</v>
      </c>
      <c r="M368" t="s">
        <v>1619</v>
      </c>
      <c r="N368">
        <v>38124</v>
      </c>
      <c r="P368" t="s">
        <v>1624</v>
      </c>
      <c r="Q368" t="s">
        <v>1626</v>
      </c>
      <c r="R368">
        <v>3.9</v>
      </c>
    </row>
    <row r="369" spans="1:18" x14ac:dyDescent="0.35">
      <c r="A369" t="s">
        <v>385</v>
      </c>
      <c r="B369" t="s">
        <v>572</v>
      </c>
      <c r="C369" t="s">
        <v>989</v>
      </c>
      <c r="D369" t="s">
        <v>1025</v>
      </c>
      <c r="E369" t="s">
        <v>1030</v>
      </c>
      <c r="F369" t="s">
        <v>1033</v>
      </c>
      <c r="G369" t="s">
        <v>1045</v>
      </c>
      <c r="H369" t="s">
        <v>1051</v>
      </c>
      <c r="I369" t="s">
        <v>1370</v>
      </c>
      <c r="J369" t="s">
        <v>1508</v>
      </c>
      <c r="K369" t="s">
        <v>1494</v>
      </c>
      <c r="M369" t="s">
        <v>1618</v>
      </c>
      <c r="N369">
        <v>49760</v>
      </c>
      <c r="O369">
        <v>48432</v>
      </c>
      <c r="P369" t="s">
        <v>1622</v>
      </c>
      <c r="Q369" t="s">
        <v>1628</v>
      </c>
      <c r="R369">
        <v>4.0999999999999996</v>
      </c>
    </row>
    <row r="370" spans="1:18" x14ac:dyDescent="0.35">
      <c r="A370" t="s">
        <v>386</v>
      </c>
      <c r="B370" t="s">
        <v>619</v>
      </c>
      <c r="C370" t="s">
        <v>990</v>
      </c>
      <c r="D370" t="s">
        <v>1027</v>
      </c>
      <c r="E370" t="s">
        <v>1030</v>
      </c>
      <c r="F370" t="s">
        <v>1037</v>
      </c>
      <c r="G370" t="s">
        <v>1043</v>
      </c>
      <c r="H370" t="s">
        <v>1048</v>
      </c>
      <c r="I370" t="s">
        <v>1173</v>
      </c>
      <c r="M370" t="s">
        <v>1617</v>
      </c>
      <c r="N370">
        <v>49678</v>
      </c>
      <c r="P370" t="s">
        <v>1622</v>
      </c>
      <c r="Q370" t="s">
        <v>1626</v>
      </c>
      <c r="R370">
        <v>2.2999999999999998</v>
      </c>
    </row>
    <row r="371" spans="1:18" x14ac:dyDescent="0.35">
      <c r="A371" t="s">
        <v>387</v>
      </c>
      <c r="B371" t="s">
        <v>457</v>
      </c>
      <c r="C371" t="s">
        <v>991</v>
      </c>
      <c r="D371" t="s">
        <v>1025</v>
      </c>
      <c r="E371" t="s">
        <v>1029</v>
      </c>
      <c r="F371" t="s">
        <v>1034</v>
      </c>
      <c r="G371" t="s">
        <v>1042</v>
      </c>
      <c r="H371" t="s">
        <v>1051</v>
      </c>
      <c r="I371" t="s">
        <v>1371</v>
      </c>
      <c r="M371" t="s">
        <v>1616</v>
      </c>
      <c r="N371">
        <v>39335</v>
      </c>
      <c r="P371" t="s">
        <v>1621</v>
      </c>
      <c r="Q371" t="s">
        <v>1628</v>
      </c>
      <c r="R371">
        <v>3</v>
      </c>
    </row>
    <row r="372" spans="1:18" x14ac:dyDescent="0.35">
      <c r="A372" t="s">
        <v>388</v>
      </c>
      <c r="B372" t="s">
        <v>453</v>
      </c>
      <c r="C372" t="s">
        <v>992</v>
      </c>
      <c r="D372" t="s">
        <v>1022</v>
      </c>
      <c r="E372" t="s">
        <v>1028</v>
      </c>
      <c r="F372" t="s">
        <v>1034</v>
      </c>
      <c r="G372" t="s">
        <v>1043</v>
      </c>
      <c r="H372" t="s">
        <v>1050</v>
      </c>
      <c r="I372" t="s">
        <v>1315</v>
      </c>
      <c r="M372" t="s">
        <v>1616</v>
      </c>
      <c r="N372">
        <v>39558</v>
      </c>
      <c r="P372" t="s">
        <v>1622</v>
      </c>
      <c r="Q372" t="s">
        <v>1628</v>
      </c>
      <c r="R372">
        <v>3.2</v>
      </c>
    </row>
    <row r="373" spans="1:18" x14ac:dyDescent="0.35">
      <c r="A373" t="s">
        <v>389</v>
      </c>
      <c r="B373" t="s">
        <v>528</v>
      </c>
      <c r="C373" t="s">
        <v>993</v>
      </c>
      <c r="D373" t="s">
        <v>1023</v>
      </c>
      <c r="E373" t="s">
        <v>1031</v>
      </c>
      <c r="F373" t="s">
        <v>1037</v>
      </c>
      <c r="G373" t="s">
        <v>1045</v>
      </c>
      <c r="H373" t="s">
        <v>1049</v>
      </c>
      <c r="I373" t="s">
        <v>1372</v>
      </c>
      <c r="J373" t="s">
        <v>1509</v>
      </c>
      <c r="M373" t="s">
        <v>1615</v>
      </c>
      <c r="N373">
        <v>51076</v>
      </c>
      <c r="P373" t="s">
        <v>1622</v>
      </c>
      <c r="Q373" t="s">
        <v>1627</v>
      </c>
      <c r="R373">
        <v>3.2</v>
      </c>
    </row>
    <row r="374" spans="1:18" x14ac:dyDescent="0.35">
      <c r="A374" t="s">
        <v>390</v>
      </c>
      <c r="B374" t="s">
        <v>465</v>
      </c>
      <c r="C374" t="s">
        <v>994</v>
      </c>
      <c r="D374" t="s">
        <v>1024</v>
      </c>
      <c r="E374" t="s">
        <v>1031</v>
      </c>
      <c r="F374" t="s">
        <v>1040</v>
      </c>
      <c r="G374" t="s">
        <v>1045</v>
      </c>
      <c r="H374" t="s">
        <v>1050</v>
      </c>
      <c r="I374" t="s">
        <v>1373</v>
      </c>
      <c r="J374" t="s">
        <v>1510</v>
      </c>
      <c r="M374" t="s">
        <v>1615</v>
      </c>
      <c r="N374">
        <v>39249</v>
      </c>
      <c r="P374" t="s">
        <v>1621</v>
      </c>
      <c r="Q374" t="s">
        <v>1626</v>
      </c>
      <c r="R374">
        <v>3.1</v>
      </c>
    </row>
    <row r="375" spans="1:18" x14ac:dyDescent="0.35">
      <c r="A375" t="s">
        <v>391</v>
      </c>
      <c r="B375" t="s">
        <v>576</v>
      </c>
      <c r="C375" t="s">
        <v>995</v>
      </c>
      <c r="D375" t="s">
        <v>1025</v>
      </c>
      <c r="E375" t="s">
        <v>1028</v>
      </c>
      <c r="F375" t="s">
        <v>1036</v>
      </c>
      <c r="G375" t="s">
        <v>1043</v>
      </c>
      <c r="H375" t="s">
        <v>1051</v>
      </c>
      <c r="I375" t="s">
        <v>1374</v>
      </c>
      <c r="M375" t="s">
        <v>1619</v>
      </c>
      <c r="N375">
        <v>38760</v>
      </c>
      <c r="P375" t="s">
        <v>1621</v>
      </c>
      <c r="Q375" t="s">
        <v>1627</v>
      </c>
      <c r="R375">
        <v>4.7</v>
      </c>
    </row>
    <row r="376" spans="1:18" x14ac:dyDescent="0.35">
      <c r="A376" t="s">
        <v>392</v>
      </c>
      <c r="B376" t="s">
        <v>555</v>
      </c>
      <c r="C376" t="s">
        <v>996</v>
      </c>
      <c r="D376" t="s">
        <v>1022</v>
      </c>
      <c r="E376" t="s">
        <v>1029</v>
      </c>
      <c r="F376" t="s">
        <v>1034</v>
      </c>
      <c r="G376" t="s">
        <v>1043</v>
      </c>
      <c r="H376" t="s">
        <v>1049</v>
      </c>
      <c r="I376" t="s">
        <v>1357</v>
      </c>
      <c r="M376" t="s">
        <v>1616</v>
      </c>
      <c r="N376">
        <v>49934</v>
      </c>
      <c r="P376" t="s">
        <v>1624</v>
      </c>
      <c r="Q376" t="s">
        <v>1628</v>
      </c>
      <c r="R376">
        <v>3.9</v>
      </c>
    </row>
    <row r="377" spans="1:18" x14ac:dyDescent="0.35">
      <c r="A377" t="s">
        <v>393</v>
      </c>
      <c r="B377" t="s">
        <v>481</v>
      </c>
      <c r="C377" t="s">
        <v>997</v>
      </c>
      <c r="D377" t="s">
        <v>1024</v>
      </c>
      <c r="E377" t="s">
        <v>1031</v>
      </c>
      <c r="F377" t="s">
        <v>1037</v>
      </c>
      <c r="G377" t="s">
        <v>1043</v>
      </c>
      <c r="H377" t="s">
        <v>1047</v>
      </c>
      <c r="I377" t="s">
        <v>1375</v>
      </c>
      <c r="M377" t="s">
        <v>1616</v>
      </c>
      <c r="N377">
        <v>38101</v>
      </c>
      <c r="P377" t="s">
        <v>1621</v>
      </c>
      <c r="Q377" t="s">
        <v>1626</v>
      </c>
      <c r="R377">
        <v>4.7</v>
      </c>
    </row>
    <row r="378" spans="1:18" x14ac:dyDescent="0.35">
      <c r="A378" t="s">
        <v>394</v>
      </c>
      <c r="B378" t="s">
        <v>531</v>
      </c>
      <c r="C378" t="s">
        <v>998</v>
      </c>
      <c r="D378" t="s">
        <v>1026</v>
      </c>
      <c r="E378" t="s">
        <v>1031</v>
      </c>
      <c r="F378" t="s">
        <v>1033</v>
      </c>
      <c r="G378" t="s">
        <v>1043</v>
      </c>
      <c r="H378" t="s">
        <v>1049</v>
      </c>
      <c r="I378" t="s">
        <v>1376</v>
      </c>
      <c r="M378" t="s">
        <v>1616</v>
      </c>
      <c r="N378">
        <v>41825</v>
      </c>
      <c r="P378" t="s">
        <v>1624</v>
      </c>
      <c r="Q378" t="s">
        <v>1628</v>
      </c>
      <c r="R378">
        <v>4.0999999999999996</v>
      </c>
    </row>
    <row r="379" spans="1:18" x14ac:dyDescent="0.35">
      <c r="A379" t="s">
        <v>395</v>
      </c>
      <c r="B379" t="s">
        <v>430</v>
      </c>
      <c r="C379" t="s">
        <v>999</v>
      </c>
      <c r="D379" t="s">
        <v>1025</v>
      </c>
      <c r="E379" t="s">
        <v>1029</v>
      </c>
      <c r="F379" t="s">
        <v>1039</v>
      </c>
      <c r="G379" t="s">
        <v>1043</v>
      </c>
      <c r="H379" t="s">
        <v>1047</v>
      </c>
      <c r="I379" t="s">
        <v>1377</v>
      </c>
      <c r="J379" t="s">
        <v>1378</v>
      </c>
      <c r="K379" t="s">
        <v>1577</v>
      </c>
      <c r="M379" t="s">
        <v>1618</v>
      </c>
      <c r="N379">
        <v>39300</v>
      </c>
      <c r="O379">
        <v>37750</v>
      </c>
      <c r="P379" t="s">
        <v>1621</v>
      </c>
      <c r="Q379" t="s">
        <v>1626</v>
      </c>
      <c r="R379">
        <v>4.3</v>
      </c>
    </row>
    <row r="380" spans="1:18" x14ac:dyDescent="0.35">
      <c r="A380" t="s">
        <v>396</v>
      </c>
      <c r="B380" t="s">
        <v>476</v>
      </c>
      <c r="C380" t="s">
        <v>1000</v>
      </c>
      <c r="D380" t="s">
        <v>1025</v>
      </c>
      <c r="E380" t="s">
        <v>1031</v>
      </c>
      <c r="F380" t="s">
        <v>1039</v>
      </c>
      <c r="G380" t="s">
        <v>1044</v>
      </c>
      <c r="H380" t="s">
        <v>1048</v>
      </c>
      <c r="I380" t="s">
        <v>1378</v>
      </c>
      <c r="M380" t="s">
        <v>1616</v>
      </c>
      <c r="N380">
        <v>40589</v>
      </c>
      <c r="P380" t="s">
        <v>1622</v>
      </c>
      <c r="Q380" t="s">
        <v>1628</v>
      </c>
      <c r="R380">
        <v>3</v>
      </c>
    </row>
    <row r="381" spans="1:18" x14ac:dyDescent="0.35">
      <c r="A381" t="s">
        <v>397</v>
      </c>
      <c r="B381" t="s">
        <v>528</v>
      </c>
      <c r="C381" t="s">
        <v>1001</v>
      </c>
      <c r="D381" t="s">
        <v>1026</v>
      </c>
      <c r="E381" t="s">
        <v>1031</v>
      </c>
      <c r="F381" t="s">
        <v>1039</v>
      </c>
      <c r="G381" t="s">
        <v>1044</v>
      </c>
      <c r="H381" t="s">
        <v>1051</v>
      </c>
      <c r="I381" t="s">
        <v>1379</v>
      </c>
      <c r="J381" t="s">
        <v>1511</v>
      </c>
      <c r="K381" t="s">
        <v>1578</v>
      </c>
      <c r="L381" t="s">
        <v>1160</v>
      </c>
      <c r="M381" t="s">
        <v>1620</v>
      </c>
      <c r="N381">
        <v>41693</v>
      </c>
      <c r="O381">
        <v>39094</v>
      </c>
      <c r="P381" t="s">
        <v>1621</v>
      </c>
      <c r="Q381" t="s">
        <v>1627</v>
      </c>
    </row>
    <row r="382" spans="1:18" x14ac:dyDescent="0.35">
      <c r="A382" t="s">
        <v>398</v>
      </c>
      <c r="B382" t="s">
        <v>550</v>
      </c>
      <c r="C382" t="s">
        <v>1002</v>
      </c>
      <c r="D382" t="s">
        <v>1024</v>
      </c>
      <c r="E382" t="s">
        <v>1031</v>
      </c>
      <c r="F382" t="s">
        <v>1036</v>
      </c>
      <c r="G382" t="s">
        <v>1044</v>
      </c>
      <c r="H382" t="s">
        <v>1046</v>
      </c>
      <c r="I382" t="s">
        <v>1380</v>
      </c>
      <c r="J382" t="s">
        <v>1512</v>
      </c>
      <c r="M382" t="s">
        <v>1615</v>
      </c>
      <c r="N382">
        <v>42462</v>
      </c>
      <c r="P382" t="s">
        <v>1623</v>
      </c>
      <c r="Q382" t="s">
        <v>1627</v>
      </c>
      <c r="R382">
        <v>4.0999999999999996</v>
      </c>
    </row>
    <row r="383" spans="1:18" x14ac:dyDescent="0.35">
      <c r="A383" t="s">
        <v>399</v>
      </c>
      <c r="B383" t="s">
        <v>449</v>
      </c>
      <c r="C383" t="s">
        <v>1003</v>
      </c>
      <c r="D383" t="s">
        <v>1023</v>
      </c>
      <c r="E383" t="s">
        <v>1031</v>
      </c>
      <c r="F383" t="s">
        <v>1034</v>
      </c>
      <c r="G383" t="s">
        <v>1043</v>
      </c>
      <c r="H383" t="s">
        <v>1050</v>
      </c>
      <c r="I383" t="s">
        <v>1381</v>
      </c>
      <c r="M383" t="s">
        <v>1617</v>
      </c>
      <c r="N383">
        <v>43240</v>
      </c>
      <c r="P383" t="s">
        <v>1624</v>
      </c>
      <c r="Q383" t="s">
        <v>1626</v>
      </c>
      <c r="R383">
        <v>4.4000000000000004</v>
      </c>
    </row>
    <row r="384" spans="1:18" x14ac:dyDescent="0.35">
      <c r="A384" t="s">
        <v>400</v>
      </c>
      <c r="B384" t="s">
        <v>513</v>
      </c>
      <c r="C384" t="s">
        <v>1004</v>
      </c>
      <c r="D384" t="s">
        <v>1022</v>
      </c>
      <c r="E384" t="s">
        <v>1029</v>
      </c>
      <c r="F384" t="s">
        <v>1038</v>
      </c>
      <c r="G384" t="s">
        <v>1044</v>
      </c>
      <c r="H384" t="s">
        <v>1052</v>
      </c>
      <c r="I384" t="s">
        <v>1382</v>
      </c>
      <c r="J384" t="s">
        <v>1361</v>
      </c>
      <c r="M384" t="s">
        <v>1615</v>
      </c>
      <c r="N384">
        <v>38048</v>
      </c>
      <c r="P384" t="s">
        <v>1622</v>
      </c>
      <c r="Q384" t="s">
        <v>1628</v>
      </c>
      <c r="R384">
        <v>2.1</v>
      </c>
    </row>
    <row r="385" spans="1:18" x14ac:dyDescent="0.35">
      <c r="A385" t="s">
        <v>401</v>
      </c>
      <c r="B385" t="s">
        <v>541</v>
      </c>
      <c r="C385" t="s">
        <v>1005</v>
      </c>
      <c r="D385" t="s">
        <v>1027</v>
      </c>
      <c r="E385" t="s">
        <v>1032</v>
      </c>
      <c r="F385" t="s">
        <v>1033</v>
      </c>
      <c r="G385" t="s">
        <v>1042</v>
      </c>
      <c r="H385" t="s">
        <v>1050</v>
      </c>
      <c r="I385" t="s">
        <v>1383</v>
      </c>
      <c r="J385" t="s">
        <v>1513</v>
      </c>
      <c r="K385" t="s">
        <v>1579</v>
      </c>
      <c r="L385" t="s">
        <v>1613</v>
      </c>
      <c r="M385" t="s">
        <v>1620</v>
      </c>
      <c r="N385">
        <v>36086</v>
      </c>
      <c r="O385">
        <v>36532</v>
      </c>
      <c r="P385" t="s">
        <v>1622</v>
      </c>
      <c r="Q385" t="s">
        <v>1626</v>
      </c>
    </row>
    <row r="386" spans="1:18" x14ac:dyDescent="0.35">
      <c r="A386" t="s">
        <v>402</v>
      </c>
      <c r="B386" t="s">
        <v>619</v>
      </c>
      <c r="C386" t="s">
        <v>1006</v>
      </c>
      <c r="D386" t="s">
        <v>1024</v>
      </c>
      <c r="E386" t="s">
        <v>1030</v>
      </c>
      <c r="F386" t="s">
        <v>1034</v>
      </c>
      <c r="G386" t="s">
        <v>1041</v>
      </c>
      <c r="H386" t="s">
        <v>1051</v>
      </c>
      <c r="I386" t="s">
        <v>1384</v>
      </c>
      <c r="J386" t="s">
        <v>1514</v>
      </c>
      <c r="M386" t="s">
        <v>1615</v>
      </c>
      <c r="N386">
        <v>45771</v>
      </c>
      <c r="P386" t="s">
        <v>1621</v>
      </c>
      <c r="Q386" t="s">
        <v>1626</v>
      </c>
      <c r="R386">
        <v>3.1</v>
      </c>
    </row>
    <row r="387" spans="1:18" x14ac:dyDescent="0.35">
      <c r="A387" t="s">
        <v>403</v>
      </c>
      <c r="B387" t="s">
        <v>620</v>
      </c>
      <c r="C387" t="s">
        <v>1007</v>
      </c>
      <c r="D387" t="s">
        <v>1025</v>
      </c>
      <c r="E387" t="s">
        <v>1028</v>
      </c>
      <c r="F387" t="s">
        <v>1040</v>
      </c>
      <c r="G387" t="s">
        <v>1045</v>
      </c>
      <c r="H387" t="s">
        <v>1052</v>
      </c>
      <c r="I387" t="s">
        <v>1384</v>
      </c>
      <c r="M387" t="s">
        <v>1619</v>
      </c>
      <c r="N387">
        <v>44639</v>
      </c>
      <c r="P387" t="s">
        <v>1623</v>
      </c>
      <c r="Q387" t="s">
        <v>1626</v>
      </c>
    </row>
    <row r="388" spans="1:18" x14ac:dyDescent="0.35">
      <c r="A388" t="s">
        <v>404</v>
      </c>
      <c r="B388" t="s">
        <v>439</v>
      </c>
      <c r="C388" t="s">
        <v>1008</v>
      </c>
      <c r="D388" t="s">
        <v>1024</v>
      </c>
      <c r="E388" t="s">
        <v>1030</v>
      </c>
      <c r="F388" t="s">
        <v>1035</v>
      </c>
      <c r="G388" t="s">
        <v>1043</v>
      </c>
      <c r="H388" t="s">
        <v>1050</v>
      </c>
      <c r="I388" t="s">
        <v>1283</v>
      </c>
      <c r="J388" t="s">
        <v>1515</v>
      </c>
      <c r="K388" t="s">
        <v>1149</v>
      </c>
      <c r="M388" t="s">
        <v>1618</v>
      </c>
      <c r="N388">
        <v>43007</v>
      </c>
      <c r="O388">
        <v>45383</v>
      </c>
      <c r="P388" t="s">
        <v>1621</v>
      </c>
      <c r="Q388" t="s">
        <v>1626</v>
      </c>
      <c r="R388">
        <v>3.9</v>
      </c>
    </row>
    <row r="389" spans="1:18" x14ac:dyDescent="0.35">
      <c r="A389" t="s">
        <v>405</v>
      </c>
      <c r="B389" t="s">
        <v>621</v>
      </c>
      <c r="C389" t="s">
        <v>1009</v>
      </c>
      <c r="D389" t="s">
        <v>1027</v>
      </c>
      <c r="E389" t="s">
        <v>1028</v>
      </c>
      <c r="F389" t="s">
        <v>1034</v>
      </c>
      <c r="G389" t="s">
        <v>1045</v>
      </c>
      <c r="H389" t="s">
        <v>1051</v>
      </c>
      <c r="I389" t="s">
        <v>1385</v>
      </c>
      <c r="J389" t="s">
        <v>1448</v>
      </c>
      <c r="K389" t="s">
        <v>1135</v>
      </c>
      <c r="L389" t="s">
        <v>1614</v>
      </c>
      <c r="M389" t="s">
        <v>1620</v>
      </c>
      <c r="N389">
        <v>31928</v>
      </c>
      <c r="O389">
        <v>35549</v>
      </c>
      <c r="P389" t="s">
        <v>1623</v>
      </c>
      <c r="Q389" t="s">
        <v>1626</v>
      </c>
      <c r="R389">
        <v>3.2</v>
      </c>
    </row>
    <row r="390" spans="1:18" x14ac:dyDescent="0.35">
      <c r="A390" t="s">
        <v>406</v>
      </c>
      <c r="B390" t="s">
        <v>549</v>
      </c>
      <c r="C390" t="s">
        <v>1010</v>
      </c>
      <c r="D390" t="s">
        <v>1022</v>
      </c>
      <c r="E390" t="s">
        <v>1032</v>
      </c>
      <c r="F390" t="s">
        <v>1037</v>
      </c>
      <c r="G390" t="s">
        <v>1044</v>
      </c>
      <c r="H390" t="s">
        <v>1047</v>
      </c>
      <c r="I390" t="s">
        <v>1386</v>
      </c>
      <c r="M390" t="s">
        <v>1619</v>
      </c>
      <c r="N390">
        <v>48244</v>
      </c>
      <c r="P390" t="s">
        <v>1622</v>
      </c>
      <c r="Q390" t="s">
        <v>1626</v>
      </c>
      <c r="R390">
        <v>4.7</v>
      </c>
    </row>
    <row r="391" spans="1:18" x14ac:dyDescent="0.35">
      <c r="A391" t="s">
        <v>407</v>
      </c>
      <c r="B391" t="s">
        <v>593</v>
      </c>
      <c r="C391" t="s">
        <v>1011</v>
      </c>
      <c r="D391" t="s">
        <v>1027</v>
      </c>
      <c r="E391" t="s">
        <v>1031</v>
      </c>
      <c r="F391" t="s">
        <v>1035</v>
      </c>
      <c r="G391" t="s">
        <v>1041</v>
      </c>
      <c r="H391" t="s">
        <v>1052</v>
      </c>
      <c r="I391" t="s">
        <v>1387</v>
      </c>
      <c r="J391" t="s">
        <v>1084</v>
      </c>
      <c r="M391" t="s">
        <v>1615</v>
      </c>
      <c r="N391">
        <v>49686</v>
      </c>
      <c r="P391" t="s">
        <v>1625</v>
      </c>
      <c r="Q391" t="s">
        <v>1627</v>
      </c>
      <c r="R391">
        <v>3.8</v>
      </c>
    </row>
    <row r="392" spans="1:18" x14ac:dyDescent="0.35">
      <c r="A392" t="s">
        <v>408</v>
      </c>
      <c r="B392" t="s">
        <v>593</v>
      </c>
      <c r="C392" t="s">
        <v>1012</v>
      </c>
      <c r="D392" t="s">
        <v>1022</v>
      </c>
      <c r="E392" t="s">
        <v>1029</v>
      </c>
      <c r="F392" t="s">
        <v>1036</v>
      </c>
      <c r="G392" t="s">
        <v>1043</v>
      </c>
      <c r="H392" t="s">
        <v>1046</v>
      </c>
      <c r="I392" t="s">
        <v>1228</v>
      </c>
      <c r="J392" t="s">
        <v>1215</v>
      </c>
      <c r="M392" t="s">
        <v>1615</v>
      </c>
      <c r="N392">
        <v>36172</v>
      </c>
      <c r="P392" t="s">
        <v>1621</v>
      </c>
      <c r="Q392" t="s">
        <v>1627</v>
      </c>
      <c r="R392">
        <v>4.5</v>
      </c>
    </row>
    <row r="393" spans="1:18" x14ac:dyDescent="0.35">
      <c r="A393" t="s">
        <v>409</v>
      </c>
      <c r="B393" t="s">
        <v>546</v>
      </c>
      <c r="C393" t="s">
        <v>1013</v>
      </c>
      <c r="D393" t="s">
        <v>1026</v>
      </c>
      <c r="E393" t="s">
        <v>1029</v>
      </c>
      <c r="F393" t="s">
        <v>1038</v>
      </c>
      <c r="G393" t="s">
        <v>1042</v>
      </c>
      <c r="H393" t="s">
        <v>1048</v>
      </c>
      <c r="I393" t="s">
        <v>1271</v>
      </c>
      <c r="J393" t="s">
        <v>1516</v>
      </c>
      <c r="M393" t="s">
        <v>1615</v>
      </c>
      <c r="N393">
        <v>45605</v>
      </c>
      <c r="P393" t="s">
        <v>1621</v>
      </c>
      <c r="Q393" t="s">
        <v>1627</v>
      </c>
      <c r="R393">
        <v>4.7</v>
      </c>
    </row>
    <row r="394" spans="1:18" x14ac:dyDescent="0.35">
      <c r="A394" t="s">
        <v>410</v>
      </c>
      <c r="B394" t="s">
        <v>436</v>
      </c>
      <c r="C394" t="s">
        <v>1014</v>
      </c>
      <c r="D394" t="s">
        <v>1024</v>
      </c>
      <c r="E394" t="s">
        <v>1030</v>
      </c>
      <c r="F394" t="s">
        <v>1038</v>
      </c>
      <c r="G394" t="s">
        <v>1042</v>
      </c>
      <c r="H394" t="s">
        <v>1051</v>
      </c>
      <c r="I394" t="s">
        <v>1187</v>
      </c>
      <c r="M394" t="s">
        <v>1619</v>
      </c>
      <c r="N394">
        <v>43413</v>
      </c>
      <c r="P394" t="s">
        <v>1621</v>
      </c>
      <c r="Q394" t="s">
        <v>1628</v>
      </c>
    </row>
    <row r="395" spans="1:18" x14ac:dyDescent="0.35">
      <c r="A395" t="s">
        <v>411</v>
      </c>
      <c r="B395" t="s">
        <v>622</v>
      </c>
      <c r="C395" t="s">
        <v>1015</v>
      </c>
      <c r="D395" t="s">
        <v>1022</v>
      </c>
      <c r="E395" t="s">
        <v>1029</v>
      </c>
      <c r="F395" t="s">
        <v>1038</v>
      </c>
      <c r="G395" t="s">
        <v>1044</v>
      </c>
      <c r="H395" t="s">
        <v>1050</v>
      </c>
      <c r="I395" t="s">
        <v>1388</v>
      </c>
      <c r="J395" t="s">
        <v>1517</v>
      </c>
      <c r="M395" t="s">
        <v>1615</v>
      </c>
      <c r="N395">
        <v>50892</v>
      </c>
      <c r="P395" t="s">
        <v>1624</v>
      </c>
      <c r="Q395" t="s">
        <v>1626</v>
      </c>
      <c r="R395">
        <v>2.6</v>
      </c>
    </row>
    <row r="396" spans="1:18" x14ac:dyDescent="0.35">
      <c r="A396" t="s">
        <v>412</v>
      </c>
      <c r="B396" t="s">
        <v>623</v>
      </c>
      <c r="C396" t="s">
        <v>1016</v>
      </c>
      <c r="D396" t="s">
        <v>1026</v>
      </c>
      <c r="E396" t="s">
        <v>1030</v>
      </c>
      <c r="F396" t="s">
        <v>1034</v>
      </c>
      <c r="G396" t="s">
        <v>1042</v>
      </c>
      <c r="H396" t="s">
        <v>1047</v>
      </c>
      <c r="I396" t="s">
        <v>1389</v>
      </c>
      <c r="J396" t="s">
        <v>1518</v>
      </c>
      <c r="K396" t="s">
        <v>1580</v>
      </c>
      <c r="M396" t="s">
        <v>1618</v>
      </c>
      <c r="N396">
        <v>42701</v>
      </c>
      <c r="O396">
        <v>46598</v>
      </c>
      <c r="P396" t="s">
        <v>1625</v>
      </c>
      <c r="Q396" t="s">
        <v>1626</v>
      </c>
      <c r="R396">
        <v>4.8</v>
      </c>
    </row>
    <row r="397" spans="1:18" x14ac:dyDescent="0.35">
      <c r="A397" t="s">
        <v>413</v>
      </c>
      <c r="B397" t="s">
        <v>496</v>
      </c>
      <c r="C397" t="s">
        <v>1017</v>
      </c>
      <c r="D397" t="s">
        <v>1027</v>
      </c>
      <c r="E397" t="s">
        <v>1030</v>
      </c>
      <c r="F397" t="s">
        <v>1034</v>
      </c>
      <c r="G397" t="s">
        <v>1042</v>
      </c>
      <c r="H397" t="s">
        <v>1050</v>
      </c>
      <c r="I397" t="s">
        <v>1390</v>
      </c>
      <c r="J397" t="s">
        <v>1519</v>
      </c>
      <c r="M397" t="s">
        <v>1615</v>
      </c>
      <c r="N397">
        <v>49138</v>
      </c>
      <c r="P397" t="s">
        <v>1624</v>
      </c>
      <c r="Q397" t="s">
        <v>1627</v>
      </c>
      <c r="R397">
        <v>3.6</v>
      </c>
    </row>
    <row r="398" spans="1:18" x14ac:dyDescent="0.35">
      <c r="A398" t="s">
        <v>414</v>
      </c>
      <c r="B398" t="s">
        <v>446</v>
      </c>
      <c r="C398" t="s">
        <v>1018</v>
      </c>
      <c r="D398" t="s">
        <v>1026</v>
      </c>
      <c r="E398" t="s">
        <v>1032</v>
      </c>
      <c r="F398" t="s">
        <v>1037</v>
      </c>
      <c r="G398" t="s">
        <v>1044</v>
      </c>
      <c r="H398" t="s">
        <v>1047</v>
      </c>
      <c r="I398" t="s">
        <v>1391</v>
      </c>
      <c r="M398" t="s">
        <v>1619</v>
      </c>
      <c r="N398">
        <v>46013</v>
      </c>
      <c r="P398" t="s">
        <v>1621</v>
      </c>
      <c r="Q398" t="s">
        <v>1626</v>
      </c>
      <c r="R398">
        <v>2.2999999999999998</v>
      </c>
    </row>
    <row r="399" spans="1:18" x14ac:dyDescent="0.35">
      <c r="A399" t="s">
        <v>415</v>
      </c>
      <c r="B399" t="s">
        <v>508</v>
      </c>
      <c r="C399" t="s">
        <v>1019</v>
      </c>
      <c r="D399" t="s">
        <v>1026</v>
      </c>
      <c r="E399" t="s">
        <v>1028</v>
      </c>
      <c r="F399" t="s">
        <v>1035</v>
      </c>
      <c r="G399" t="s">
        <v>1041</v>
      </c>
      <c r="H399" t="s">
        <v>1046</v>
      </c>
      <c r="I399" t="s">
        <v>1392</v>
      </c>
      <c r="J399" t="s">
        <v>1128</v>
      </c>
      <c r="M399" t="s">
        <v>1615</v>
      </c>
      <c r="N399">
        <v>40076</v>
      </c>
      <c r="P399" t="s">
        <v>1625</v>
      </c>
      <c r="Q399" t="s">
        <v>1628</v>
      </c>
      <c r="R399">
        <v>2.5</v>
      </c>
    </row>
    <row r="400" spans="1:18" x14ac:dyDescent="0.35">
      <c r="A400" t="s">
        <v>416</v>
      </c>
      <c r="B400" t="s">
        <v>582</v>
      </c>
      <c r="C400" t="s">
        <v>1020</v>
      </c>
      <c r="D400" t="s">
        <v>1027</v>
      </c>
      <c r="E400" t="s">
        <v>1031</v>
      </c>
      <c r="F400" t="s">
        <v>1034</v>
      </c>
      <c r="G400" t="s">
        <v>1043</v>
      </c>
      <c r="H400" t="s">
        <v>1050</v>
      </c>
      <c r="I400" t="s">
        <v>1393</v>
      </c>
      <c r="M400" t="s">
        <v>1616</v>
      </c>
      <c r="N400">
        <v>35106</v>
      </c>
      <c r="P400" t="s">
        <v>1624</v>
      </c>
      <c r="Q400" t="s">
        <v>1628</v>
      </c>
    </row>
    <row r="401" spans="1:18" x14ac:dyDescent="0.35">
      <c r="A401" t="s">
        <v>417</v>
      </c>
      <c r="B401" t="s">
        <v>608</v>
      </c>
      <c r="C401" t="s">
        <v>1021</v>
      </c>
      <c r="D401" t="s">
        <v>1024</v>
      </c>
      <c r="E401" t="s">
        <v>1032</v>
      </c>
      <c r="F401" t="s">
        <v>1039</v>
      </c>
      <c r="G401" t="s">
        <v>1041</v>
      </c>
      <c r="H401" t="s">
        <v>1052</v>
      </c>
      <c r="I401" t="s">
        <v>1389</v>
      </c>
      <c r="M401" t="s">
        <v>1617</v>
      </c>
      <c r="N401">
        <v>34573</v>
      </c>
      <c r="P401" t="s">
        <v>1623</v>
      </c>
      <c r="Q401" t="s">
        <v>1628</v>
      </c>
      <c r="R401">
        <v>2.2999999999999998</v>
      </c>
    </row>
    <row r="402" spans="1:18" x14ac:dyDescent="0.35">
      <c r="A402" t="s">
        <v>18</v>
      </c>
      <c r="B402" t="s">
        <v>418</v>
      </c>
      <c r="C402" t="s">
        <v>624</v>
      </c>
      <c r="D402" t="s">
        <v>1022</v>
      </c>
      <c r="E402" t="s">
        <v>1028</v>
      </c>
      <c r="F402" t="s">
        <v>1033</v>
      </c>
      <c r="G402" t="s">
        <v>1041</v>
      </c>
      <c r="H402" t="s">
        <v>1046</v>
      </c>
      <c r="I402" t="s">
        <v>1053</v>
      </c>
      <c r="J402" t="s">
        <v>1394</v>
      </c>
      <c r="M402" t="s">
        <v>1615</v>
      </c>
      <c r="N402">
        <v>49836</v>
      </c>
      <c r="P402" t="s">
        <v>1621</v>
      </c>
      <c r="Q402" t="s">
        <v>1626</v>
      </c>
      <c r="R402">
        <v>3.1</v>
      </c>
    </row>
    <row r="403" spans="1:18" x14ac:dyDescent="0.35">
      <c r="A403" t="s">
        <v>19</v>
      </c>
      <c r="B403" t="s">
        <v>419</v>
      </c>
      <c r="C403" t="s">
        <v>625</v>
      </c>
      <c r="D403" t="s">
        <v>1023</v>
      </c>
      <c r="E403" t="s">
        <v>1028</v>
      </c>
      <c r="F403" t="s">
        <v>1034</v>
      </c>
      <c r="G403" t="s">
        <v>1042</v>
      </c>
      <c r="H403" t="s">
        <v>1047</v>
      </c>
      <c r="I403" t="s">
        <v>1054</v>
      </c>
      <c r="M403" t="s">
        <v>1616</v>
      </c>
      <c r="N403">
        <v>34889</v>
      </c>
      <c r="P403" t="s">
        <v>1622</v>
      </c>
      <c r="Q403" t="s">
        <v>1627</v>
      </c>
      <c r="R403">
        <v>2.2999999999999998</v>
      </c>
    </row>
    <row r="404" spans="1:18" x14ac:dyDescent="0.35">
      <c r="A404" t="s">
        <v>20</v>
      </c>
      <c r="B404" t="s">
        <v>420</v>
      </c>
      <c r="C404" t="s">
        <v>626</v>
      </c>
      <c r="D404" t="s">
        <v>1024</v>
      </c>
      <c r="E404" t="s">
        <v>1029</v>
      </c>
      <c r="F404" t="s">
        <v>1035</v>
      </c>
      <c r="G404" t="s">
        <v>1041</v>
      </c>
      <c r="H404" t="s">
        <v>1048</v>
      </c>
      <c r="I404" t="s">
        <v>1055</v>
      </c>
      <c r="M404" t="s">
        <v>1617</v>
      </c>
      <c r="N404">
        <v>41887</v>
      </c>
      <c r="P404" t="s">
        <v>1623</v>
      </c>
      <c r="Q404" t="s">
        <v>1628</v>
      </c>
      <c r="R404">
        <v>4.8</v>
      </c>
    </row>
    <row r="405" spans="1:18" x14ac:dyDescent="0.35">
      <c r="A405" t="s">
        <v>21</v>
      </c>
      <c r="B405" t="s">
        <v>421</v>
      </c>
      <c r="C405" t="s">
        <v>627</v>
      </c>
      <c r="D405" t="s">
        <v>1022</v>
      </c>
      <c r="E405" t="s">
        <v>1029</v>
      </c>
      <c r="F405" t="s">
        <v>1036</v>
      </c>
      <c r="G405" t="s">
        <v>1042</v>
      </c>
      <c r="H405" t="s">
        <v>1046</v>
      </c>
      <c r="I405" t="s">
        <v>1056</v>
      </c>
      <c r="J405" t="s">
        <v>1395</v>
      </c>
      <c r="K405" t="s">
        <v>1520</v>
      </c>
      <c r="M405" t="s">
        <v>1618</v>
      </c>
      <c r="N405">
        <v>47904</v>
      </c>
      <c r="O405">
        <v>48335</v>
      </c>
      <c r="P405" t="s">
        <v>1624</v>
      </c>
      <c r="Q405" t="s">
        <v>1628</v>
      </c>
      <c r="R405">
        <v>4</v>
      </c>
    </row>
    <row r="406" spans="1:18" x14ac:dyDescent="0.35">
      <c r="A406" t="s">
        <v>22</v>
      </c>
      <c r="B406" t="s">
        <v>418</v>
      </c>
      <c r="C406" t="s">
        <v>628</v>
      </c>
      <c r="D406" t="s">
        <v>1023</v>
      </c>
      <c r="E406" t="s">
        <v>1029</v>
      </c>
      <c r="F406" t="s">
        <v>1037</v>
      </c>
      <c r="G406" t="s">
        <v>1042</v>
      </c>
      <c r="H406" t="s">
        <v>1049</v>
      </c>
      <c r="I406" t="s">
        <v>1057</v>
      </c>
      <c r="M406" t="s">
        <v>1619</v>
      </c>
      <c r="N406">
        <v>31730</v>
      </c>
      <c r="P406" t="s">
        <v>1625</v>
      </c>
      <c r="Q406" t="s">
        <v>1627</v>
      </c>
      <c r="R406">
        <v>2.8</v>
      </c>
    </row>
    <row r="407" spans="1:18" x14ac:dyDescent="0.35">
      <c r="A407" t="s">
        <v>23</v>
      </c>
      <c r="B407" t="s">
        <v>422</v>
      </c>
      <c r="C407" t="s">
        <v>629</v>
      </c>
      <c r="D407" t="s">
        <v>1023</v>
      </c>
      <c r="E407" t="s">
        <v>1030</v>
      </c>
      <c r="F407" t="s">
        <v>1038</v>
      </c>
      <c r="G407" t="s">
        <v>1043</v>
      </c>
      <c r="H407" t="s">
        <v>1047</v>
      </c>
      <c r="I407" t="s">
        <v>1058</v>
      </c>
      <c r="M407" t="s">
        <v>1616</v>
      </c>
      <c r="N407">
        <v>50139</v>
      </c>
      <c r="P407" t="s">
        <v>1623</v>
      </c>
      <c r="Q407" t="s">
        <v>1626</v>
      </c>
      <c r="R407">
        <v>3.3</v>
      </c>
    </row>
    <row r="408" spans="1:18" x14ac:dyDescent="0.35">
      <c r="A408" t="s">
        <v>24</v>
      </c>
      <c r="B408" t="s">
        <v>423</v>
      </c>
      <c r="C408" t="s">
        <v>630</v>
      </c>
      <c r="D408" t="s">
        <v>1025</v>
      </c>
      <c r="E408" t="s">
        <v>1031</v>
      </c>
      <c r="F408" t="s">
        <v>1033</v>
      </c>
      <c r="G408" t="s">
        <v>1044</v>
      </c>
      <c r="H408" t="s">
        <v>1046</v>
      </c>
      <c r="I408" t="s">
        <v>1059</v>
      </c>
      <c r="J408" t="s">
        <v>1396</v>
      </c>
      <c r="K408" t="s">
        <v>1521</v>
      </c>
      <c r="M408" t="s">
        <v>1618</v>
      </c>
      <c r="N408">
        <v>51785</v>
      </c>
      <c r="O408">
        <v>49211</v>
      </c>
      <c r="P408" t="s">
        <v>1624</v>
      </c>
      <c r="Q408" t="s">
        <v>1627</v>
      </c>
      <c r="R408">
        <v>3.6</v>
      </c>
    </row>
    <row r="409" spans="1:18" x14ac:dyDescent="0.35">
      <c r="A409" t="s">
        <v>25</v>
      </c>
      <c r="B409" t="s">
        <v>424</v>
      </c>
      <c r="C409" t="s">
        <v>631</v>
      </c>
      <c r="D409" t="s">
        <v>1025</v>
      </c>
      <c r="E409" t="s">
        <v>1032</v>
      </c>
      <c r="F409" t="s">
        <v>1038</v>
      </c>
      <c r="G409" t="s">
        <v>1042</v>
      </c>
      <c r="H409" t="s">
        <v>1048</v>
      </c>
      <c r="I409" t="s">
        <v>1060</v>
      </c>
      <c r="M409" t="s">
        <v>1619</v>
      </c>
      <c r="N409">
        <v>35205</v>
      </c>
      <c r="P409" t="s">
        <v>1622</v>
      </c>
      <c r="Q409" t="s">
        <v>1627</v>
      </c>
    </row>
    <row r="410" spans="1:18" x14ac:dyDescent="0.35">
      <c r="A410" t="s">
        <v>26</v>
      </c>
      <c r="B410" t="s">
        <v>425</v>
      </c>
      <c r="C410" t="s">
        <v>632</v>
      </c>
      <c r="D410" t="s">
        <v>1026</v>
      </c>
      <c r="E410" t="s">
        <v>1028</v>
      </c>
      <c r="F410" t="s">
        <v>1039</v>
      </c>
      <c r="G410" t="s">
        <v>1043</v>
      </c>
      <c r="H410" t="s">
        <v>1050</v>
      </c>
      <c r="I410" t="s">
        <v>1061</v>
      </c>
      <c r="M410" t="s">
        <v>1617</v>
      </c>
      <c r="N410">
        <v>44501</v>
      </c>
      <c r="P410" t="s">
        <v>1625</v>
      </c>
      <c r="Q410" t="s">
        <v>1626</v>
      </c>
      <c r="R410">
        <v>2.5</v>
      </c>
    </row>
    <row r="411" spans="1:18" x14ac:dyDescent="0.35">
      <c r="A411" t="s">
        <v>27</v>
      </c>
      <c r="B411" t="s">
        <v>426</v>
      </c>
      <c r="C411" t="s">
        <v>633</v>
      </c>
      <c r="D411" t="s">
        <v>1023</v>
      </c>
      <c r="E411" t="s">
        <v>1030</v>
      </c>
      <c r="F411" t="s">
        <v>1040</v>
      </c>
      <c r="G411" t="s">
        <v>1045</v>
      </c>
      <c r="H411" t="s">
        <v>1050</v>
      </c>
      <c r="I411" t="s">
        <v>1062</v>
      </c>
      <c r="J411" t="s">
        <v>1109</v>
      </c>
      <c r="M411" t="s">
        <v>1615</v>
      </c>
      <c r="N411">
        <v>42576</v>
      </c>
      <c r="P411" t="s">
        <v>1621</v>
      </c>
      <c r="Q411" t="s">
        <v>1628</v>
      </c>
      <c r="R411">
        <v>4.7</v>
      </c>
    </row>
    <row r="412" spans="1:18" x14ac:dyDescent="0.35">
      <c r="A412" t="s">
        <v>28</v>
      </c>
      <c r="B412" t="s">
        <v>424</v>
      </c>
      <c r="C412" t="s">
        <v>634</v>
      </c>
      <c r="D412" t="s">
        <v>1022</v>
      </c>
      <c r="E412" t="s">
        <v>1032</v>
      </c>
      <c r="F412" t="s">
        <v>1038</v>
      </c>
      <c r="G412" t="s">
        <v>1043</v>
      </c>
      <c r="H412" t="s">
        <v>1049</v>
      </c>
      <c r="I412" t="s">
        <v>1063</v>
      </c>
      <c r="J412" t="s">
        <v>1397</v>
      </c>
      <c r="K412" t="s">
        <v>1083</v>
      </c>
      <c r="M412" t="s">
        <v>1618</v>
      </c>
      <c r="N412">
        <v>28120</v>
      </c>
      <c r="O412">
        <v>30806</v>
      </c>
      <c r="P412" t="s">
        <v>1624</v>
      </c>
      <c r="Q412" t="s">
        <v>1627</v>
      </c>
      <c r="R412">
        <v>2.2000000000000002</v>
      </c>
    </row>
    <row r="413" spans="1:18" x14ac:dyDescent="0.35">
      <c r="A413" t="s">
        <v>29</v>
      </c>
      <c r="B413" t="s">
        <v>427</v>
      </c>
      <c r="C413" t="s">
        <v>635</v>
      </c>
      <c r="D413" t="s">
        <v>1025</v>
      </c>
      <c r="E413" t="s">
        <v>1031</v>
      </c>
      <c r="F413" t="s">
        <v>1037</v>
      </c>
      <c r="G413" t="s">
        <v>1042</v>
      </c>
      <c r="H413" t="s">
        <v>1051</v>
      </c>
      <c r="I413" t="s">
        <v>1064</v>
      </c>
      <c r="J413" t="s">
        <v>1398</v>
      </c>
      <c r="M413" t="s">
        <v>1615</v>
      </c>
      <c r="N413">
        <v>41262</v>
      </c>
      <c r="P413" t="s">
        <v>1623</v>
      </c>
      <c r="Q413" t="s">
        <v>1627</v>
      </c>
      <c r="R413">
        <v>4.4000000000000004</v>
      </c>
    </row>
    <row r="414" spans="1:18" x14ac:dyDescent="0.35">
      <c r="A414" t="s">
        <v>30</v>
      </c>
      <c r="B414" t="s">
        <v>428</v>
      </c>
      <c r="C414" t="s">
        <v>636</v>
      </c>
      <c r="D414" t="s">
        <v>1025</v>
      </c>
      <c r="E414" t="s">
        <v>1028</v>
      </c>
      <c r="F414" t="s">
        <v>1033</v>
      </c>
      <c r="G414" t="s">
        <v>1041</v>
      </c>
      <c r="H414" t="s">
        <v>1048</v>
      </c>
      <c r="I414" t="s">
        <v>1065</v>
      </c>
      <c r="J414" t="s">
        <v>1078</v>
      </c>
      <c r="M414" t="s">
        <v>1615</v>
      </c>
      <c r="N414">
        <v>40434</v>
      </c>
      <c r="P414" t="s">
        <v>1625</v>
      </c>
      <c r="Q414" t="s">
        <v>1628</v>
      </c>
      <c r="R414">
        <v>4.4000000000000004</v>
      </c>
    </row>
    <row r="415" spans="1:18" x14ac:dyDescent="0.35">
      <c r="A415" t="s">
        <v>31</v>
      </c>
      <c r="B415" t="s">
        <v>429</v>
      </c>
      <c r="C415" t="s">
        <v>637</v>
      </c>
      <c r="D415" t="s">
        <v>1026</v>
      </c>
      <c r="E415" t="s">
        <v>1030</v>
      </c>
      <c r="F415" t="s">
        <v>1040</v>
      </c>
      <c r="G415" t="s">
        <v>1045</v>
      </c>
      <c r="H415" t="s">
        <v>1051</v>
      </c>
      <c r="I415" t="s">
        <v>1066</v>
      </c>
      <c r="M415" t="s">
        <v>1616</v>
      </c>
      <c r="N415">
        <v>39657</v>
      </c>
      <c r="P415" t="s">
        <v>1625</v>
      </c>
      <c r="Q415" t="s">
        <v>1626</v>
      </c>
      <c r="R415">
        <v>3</v>
      </c>
    </row>
    <row r="416" spans="1:18" x14ac:dyDescent="0.35">
      <c r="A416" t="s">
        <v>32</v>
      </c>
      <c r="B416" t="s">
        <v>430</v>
      </c>
      <c r="C416" t="s">
        <v>638</v>
      </c>
      <c r="D416" t="s">
        <v>1026</v>
      </c>
      <c r="E416" t="s">
        <v>1029</v>
      </c>
      <c r="F416" t="s">
        <v>1035</v>
      </c>
      <c r="G416" t="s">
        <v>1044</v>
      </c>
      <c r="H416" t="s">
        <v>1046</v>
      </c>
      <c r="I416" t="s">
        <v>1067</v>
      </c>
      <c r="M416" t="s">
        <v>1616</v>
      </c>
      <c r="N416">
        <v>43984</v>
      </c>
      <c r="P416" t="s">
        <v>1623</v>
      </c>
      <c r="Q416" t="s">
        <v>1627</v>
      </c>
      <c r="R416">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D825B-EE57-4C9C-8689-1FDACE586DE2}">
  <dimension ref="A1:F201"/>
  <sheetViews>
    <sheetView showGridLines="0" topLeftCell="A80" workbookViewId="0">
      <selection activeCell="F64" sqref="F64"/>
    </sheetView>
  </sheetViews>
  <sheetFormatPr defaultRowHeight="14.5" x14ac:dyDescent="0.35"/>
  <sheetData>
    <row r="1" spans="1:1" ht="31" x14ac:dyDescent="0.35">
      <c r="A1" s="4" t="s">
        <v>1629</v>
      </c>
    </row>
    <row r="3" spans="1:1" ht="23.5" x14ac:dyDescent="0.35">
      <c r="A3" s="7" t="s">
        <v>1630</v>
      </c>
    </row>
    <row r="5" spans="1:1" x14ac:dyDescent="0.35">
      <c r="A5" t="s">
        <v>1631</v>
      </c>
    </row>
    <row r="7" spans="1:1" x14ac:dyDescent="0.35">
      <c r="A7" t="s">
        <v>1632</v>
      </c>
    </row>
    <row r="9" spans="1:1" x14ac:dyDescent="0.35">
      <c r="A9" t="s">
        <v>1633</v>
      </c>
    </row>
    <row r="11" spans="1:1" x14ac:dyDescent="0.35">
      <c r="A11" t="s">
        <v>1634</v>
      </c>
    </row>
    <row r="15" spans="1:1" ht="31" x14ac:dyDescent="0.35">
      <c r="A15" s="4" t="s">
        <v>1635</v>
      </c>
    </row>
    <row r="17" spans="1:1" x14ac:dyDescent="0.35">
      <c r="A17" t="s">
        <v>1636</v>
      </c>
    </row>
    <row r="19" spans="1:1" x14ac:dyDescent="0.35">
      <c r="A19" t="s">
        <v>1637</v>
      </c>
    </row>
    <row r="23" spans="1:1" ht="31" x14ac:dyDescent="0.35">
      <c r="A23" s="4" t="s">
        <v>1638</v>
      </c>
    </row>
    <row r="25" spans="1:1" x14ac:dyDescent="0.35">
      <c r="A25" t="s">
        <v>1639</v>
      </c>
    </row>
    <row r="27" spans="1:1" x14ac:dyDescent="0.35">
      <c r="A27" t="s">
        <v>1640</v>
      </c>
    </row>
    <row r="29" spans="1:1" x14ac:dyDescent="0.35">
      <c r="A29" t="s">
        <v>1641</v>
      </c>
    </row>
    <row r="31" spans="1:1" x14ac:dyDescent="0.35">
      <c r="A31" t="s">
        <v>1642</v>
      </c>
    </row>
    <row r="35" spans="1:6" ht="31" x14ac:dyDescent="0.35">
      <c r="A35" s="4" t="s">
        <v>1643</v>
      </c>
    </row>
    <row r="37" spans="1:6" x14ac:dyDescent="0.35">
      <c r="A37" t="s">
        <v>1644</v>
      </c>
    </row>
    <row r="41" spans="1:6" ht="23.5" x14ac:dyDescent="0.35">
      <c r="A41" s="7" t="s">
        <v>1645</v>
      </c>
    </row>
    <row r="42" spans="1:6" x14ac:dyDescent="0.35">
      <c r="A42" s="6"/>
    </row>
    <row r="43" spans="1:6" x14ac:dyDescent="0.35">
      <c r="A43" s="31" t="s">
        <v>1646</v>
      </c>
      <c r="B43" s="32"/>
      <c r="C43" s="32"/>
      <c r="D43" s="32"/>
      <c r="E43" s="32"/>
      <c r="F43" s="32"/>
    </row>
    <row r="44" spans="1:6" x14ac:dyDescent="0.35">
      <c r="A44" s="6" t="s">
        <v>1647</v>
      </c>
    </row>
    <row r="45" spans="1:6" x14ac:dyDescent="0.35">
      <c r="A45" s="6" t="s">
        <v>1648</v>
      </c>
    </row>
    <row r="49" spans="1:3" ht="23.5" x14ac:dyDescent="0.35">
      <c r="A49" s="7" t="s">
        <v>1649</v>
      </c>
    </row>
    <row r="50" spans="1:3" x14ac:dyDescent="0.35">
      <c r="A50" s="6"/>
    </row>
    <row r="51" spans="1:3" x14ac:dyDescent="0.35">
      <c r="A51" s="6" t="s">
        <v>1650</v>
      </c>
    </row>
    <row r="52" spans="1:3" x14ac:dyDescent="0.35">
      <c r="A52" s="6" t="s">
        <v>1651</v>
      </c>
    </row>
    <row r="53" spans="1:3" x14ac:dyDescent="0.35">
      <c r="A53" s="6" t="s">
        <v>1652</v>
      </c>
    </row>
    <row r="57" spans="1:3" ht="23.5" x14ac:dyDescent="0.35">
      <c r="A57" s="7" t="s">
        <v>1653</v>
      </c>
    </row>
    <row r="59" spans="1:3" x14ac:dyDescent="0.35">
      <c r="A59" t="s">
        <v>1654</v>
      </c>
    </row>
    <row r="61" spans="1:3" x14ac:dyDescent="0.35">
      <c r="A61" t="s">
        <v>1655</v>
      </c>
    </row>
    <row r="62" spans="1:3" x14ac:dyDescent="0.35">
      <c r="A62" s="6"/>
    </row>
    <row r="63" spans="1:3" x14ac:dyDescent="0.35">
      <c r="A63" s="29" t="s">
        <v>1656</v>
      </c>
      <c r="B63" s="30"/>
      <c r="C63" s="30"/>
    </row>
    <row r="64" spans="1:3" x14ac:dyDescent="0.35">
      <c r="A64" s="29" t="s">
        <v>1657</v>
      </c>
      <c r="B64" s="30"/>
      <c r="C64" s="30"/>
    </row>
    <row r="65" spans="1:3" x14ac:dyDescent="0.35">
      <c r="A65" s="31" t="s">
        <v>1658</v>
      </c>
      <c r="B65" s="32"/>
      <c r="C65" s="32"/>
    </row>
    <row r="66" spans="1:3" x14ac:dyDescent="0.35">
      <c r="A66" s="29" t="s">
        <v>1659</v>
      </c>
      <c r="B66" s="30"/>
      <c r="C66" s="30"/>
    </row>
    <row r="67" spans="1:3" x14ac:dyDescent="0.35">
      <c r="A67" s="31" t="s">
        <v>1660</v>
      </c>
      <c r="B67" s="32"/>
      <c r="C67" s="32"/>
    </row>
    <row r="68" spans="1:3" x14ac:dyDescent="0.35">
      <c r="A68" s="31" t="s">
        <v>1661</v>
      </c>
      <c r="B68" s="32"/>
      <c r="C68" s="32"/>
    </row>
    <row r="69" spans="1:3" x14ac:dyDescent="0.35">
      <c r="A69" s="32"/>
      <c r="B69" s="32"/>
      <c r="C69" s="32"/>
    </row>
    <row r="70" spans="1:3" x14ac:dyDescent="0.35">
      <c r="A70" t="s">
        <v>1662</v>
      </c>
    </row>
    <row r="74" spans="1:3" ht="23.5" x14ac:dyDescent="0.35">
      <c r="A74" s="7" t="s">
        <v>1663</v>
      </c>
    </row>
    <row r="76" spans="1:3" x14ac:dyDescent="0.35">
      <c r="A76" t="s">
        <v>1664</v>
      </c>
    </row>
    <row r="78" spans="1:3" x14ac:dyDescent="0.35">
      <c r="A78" t="s">
        <v>1665</v>
      </c>
    </row>
    <row r="79" spans="1:3" x14ac:dyDescent="0.35">
      <c r="A79" s="6"/>
    </row>
    <row r="80" spans="1:3" x14ac:dyDescent="0.35">
      <c r="A80" s="6" t="s">
        <v>1047</v>
      </c>
    </row>
    <row r="81" spans="1:1" x14ac:dyDescent="0.35">
      <c r="A81" s="6" t="s">
        <v>1049</v>
      </c>
    </row>
    <row r="82" spans="1:1" x14ac:dyDescent="0.35">
      <c r="A82" s="6" t="s">
        <v>1666</v>
      </c>
    </row>
    <row r="83" spans="1:1" x14ac:dyDescent="0.35">
      <c r="A83" s="6" t="s">
        <v>1051</v>
      </c>
    </row>
    <row r="84" spans="1:1" x14ac:dyDescent="0.35">
      <c r="A84" s="6" t="s">
        <v>1050</v>
      </c>
    </row>
    <row r="86" spans="1:1" x14ac:dyDescent="0.35">
      <c r="A86" t="s">
        <v>1667</v>
      </c>
    </row>
    <row r="87" spans="1:1" x14ac:dyDescent="0.35">
      <c r="A87" s="6"/>
    </row>
    <row r="88" spans="1:1" x14ac:dyDescent="0.35">
      <c r="A88" s="6" t="s">
        <v>1668</v>
      </c>
    </row>
    <row r="89" spans="1:1" x14ac:dyDescent="0.35">
      <c r="A89" s="6" t="s">
        <v>1669</v>
      </c>
    </row>
    <row r="93" spans="1:1" ht="23.5" x14ac:dyDescent="0.35">
      <c r="A93" s="7" t="s">
        <v>1670</v>
      </c>
    </row>
    <row r="95" spans="1:1" x14ac:dyDescent="0.35">
      <c r="A95" t="s">
        <v>1671</v>
      </c>
    </row>
    <row r="97" spans="1:4" x14ac:dyDescent="0.35">
      <c r="A97" t="s">
        <v>1672</v>
      </c>
    </row>
    <row r="98" spans="1:4" x14ac:dyDescent="0.35">
      <c r="A98" s="6"/>
    </row>
    <row r="99" spans="1:4" x14ac:dyDescent="0.35">
      <c r="A99" s="6" t="s">
        <v>1673</v>
      </c>
    </row>
    <row r="100" spans="1:4" x14ac:dyDescent="0.35">
      <c r="A100" s="6" t="s">
        <v>1674</v>
      </c>
    </row>
    <row r="101" spans="1:4" x14ac:dyDescent="0.35">
      <c r="A101" s="6" t="s">
        <v>1675</v>
      </c>
    </row>
    <row r="105" spans="1:4" ht="23.5" x14ac:dyDescent="0.35">
      <c r="A105" s="7" t="s">
        <v>1676</v>
      </c>
    </row>
    <row r="107" spans="1:4" x14ac:dyDescent="0.35">
      <c r="A107" t="s">
        <v>1677</v>
      </c>
    </row>
    <row r="109" spans="1:4" x14ac:dyDescent="0.35">
      <c r="A109" t="s">
        <v>1667</v>
      </c>
    </row>
    <row r="110" spans="1:4" x14ac:dyDescent="0.35">
      <c r="A110" s="6"/>
    </row>
    <row r="111" spans="1:4" x14ac:dyDescent="0.35">
      <c r="A111" s="29" t="s">
        <v>1678</v>
      </c>
      <c r="B111" s="30"/>
      <c r="C111" s="30"/>
      <c r="D111" s="30"/>
    </row>
    <row r="112" spans="1:4" x14ac:dyDescent="0.35">
      <c r="A112" s="6" t="s">
        <v>1679</v>
      </c>
    </row>
    <row r="113" spans="1:1" x14ac:dyDescent="0.35">
      <c r="A113" s="6" t="s">
        <v>1680</v>
      </c>
    </row>
    <row r="117" spans="1:1" ht="31" x14ac:dyDescent="0.35">
      <c r="A117" s="4" t="s">
        <v>1681</v>
      </c>
    </row>
    <row r="119" spans="1:1" x14ac:dyDescent="0.35">
      <c r="A119" t="s">
        <v>1682</v>
      </c>
    </row>
    <row r="121" spans="1:1" x14ac:dyDescent="0.35">
      <c r="A121" t="s">
        <v>1683</v>
      </c>
    </row>
    <row r="123" spans="1:1" ht="17.5" x14ac:dyDescent="0.35">
      <c r="A123" s="5" t="s">
        <v>1684</v>
      </c>
    </row>
    <row r="125" spans="1:1" x14ac:dyDescent="0.35">
      <c r="A125" t="s">
        <v>1685</v>
      </c>
    </row>
    <row r="129" spans="1:1" ht="17.5" x14ac:dyDescent="0.35">
      <c r="A129" s="5" t="s">
        <v>1686</v>
      </c>
    </row>
    <row r="131" spans="1:1" x14ac:dyDescent="0.35">
      <c r="A131" t="s">
        <v>1687</v>
      </c>
    </row>
    <row r="135" spans="1:1" ht="17.5" x14ac:dyDescent="0.35">
      <c r="A135" s="5" t="s">
        <v>1688</v>
      </c>
    </row>
    <row r="137" spans="1:1" x14ac:dyDescent="0.35">
      <c r="A137" t="s">
        <v>1689</v>
      </c>
    </row>
    <row r="141" spans="1:1" ht="31" x14ac:dyDescent="0.35">
      <c r="A141" s="4" t="s">
        <v>1690</v>
      </c>
    </row>
    <row r="143" spans="1:1" x14ac:dyDescent="0.35">
      <c r="A143" t="s">
        <v>1691</v>
      </c>
    </row>
    <row r="145" spans="1:1" ht="17.5" x14ac:dyDescent="0.35">
      <c r="A145" s="5" t="s">
        <v>1692</v>
      </c>
    </row>
    <row r="147" spans="1:1" x14ac:dyDescent="0.35">
      <c r="A147" t="s">
        <v>1693</v>
      </c>
    </row>
    <row r="151" spans="1:1" ht="17.5" x14ac:dyDescent="0.35">
      <c r="A151" s="5" t="s">
        <v>1694</v>
      </c>
    </row>
    <row r="153" spans="1:1" x14ac:dyDescent="0.35">
      <c r="A153" t="s">
        <v>1695</v>
      </c>
    </row>
    <row r="157" spans="1:1" ht="17.5" x14ac:dyDescent="0.35">
      <c r="A157" s="5" t="s">
        <v>1696</v>
      </c>
    </row>
    <row r="159" spans="1:1" x14ac:dyDescent="0.35">
      <c r="A159" t="s">
        <v>1697</v>
      </c>
    </row>
    <row r="163" spans="1:1" ht="17.5" x14ac:dyDescent="0.35">
      <c r="A163" s="5" t="s">
        <v>1698</v>
      </c>
    </row>
    <row r="165" spans="1:1" x14ac:dyDescent="0.35">
      <c r="A165" t="s">
        <v>1699</v>
      </c>
    </row>
    <row r="169" spans="1:1" ht="31" x14ac:dyDescent="0.35">
      <c r="A169" s="4" t="s">
        <v>1700</v>
      </c>
    </row>
    <row r="171" spans="1:1" x14ac:dyDescent="0.35">
      <c r="A171" t="s">
        <v>1701</v>
      </c>
    </row>
    <row r="172" spans="1:1" x14ac:dyDescent="0.35">
      <c r="A172" s="6"/>
    </row>
    <row r="173" spans="1:1" x14ac:dyDescent="0.35">
      <c r="A173" s="6" t="s">
        <v>1702</v>
      </c>
    </row>
    <row r="174" spans="1:1" x14ac:dyDescent="0.35">
      <c r="A174" s="6" t="s">
        <v>1703</v>
      </c>
    </row>
    <row r="175" spans="1:1" x14ac:dyDescent="0.35">
      <c r="A175" s="6" t="s">
        <v>1704</v>
      </c>
    </row>
    <row r="176" spans="1:1" x14ac:dyDescent="0.35">
      <c r="A176" s="6" t="s">
        <v>1705</v>
      </c>
    </row>
    <row r="177" spans="1:1" x14ac:dyDescent="0.35">
      <c r="A177" s="6" t="s">
        <v>1706</v>
      </c>
    </row>
    <row r="178" spans="1:1" x14ac:dyDescent="0.35">
      <c r="A178" s="6" t="s">
        <v>1707</v>
      </c>
    </row>
    <row r="179" spans="1:1" x14ac:dyDescent="0.35">
      <c r="A179" s="6" t="s">
        <v>1708</v>
      </c>
    </row>
    <row r="183" spans="1:1" ht="23.5" x14ac:dyDescent="0.35">
      <c r="A183" s="7" t="s">
        <v>1709</v>
      </c>
    </row>
    <row r="185" spans="1:1" x14ac:dyDescent="0.35">
      <c r="A185" t="s">
        <v>1710</v>
      </c>
    </row>
    <row r="187" spans="1:1" x14ac:dyDescent="0.35">
      <c r="A187" s="8" t="s">
        <v>1711</v>
      </c>
    </row>
    <row r="191" spans="1:1" x14ac:dyDescent="0.35">
      <c r="A191" t="s">
        <v>1712</v>
      </c>
    </row>
    <row r="195" spans="1:1" x14ac:dyDescent="0.35">
      <c r="A195" t="s">
        <v>1713</v>
      </c>
    </row>
    <row r="196" spans="1:1" x14ac:dyDescent="0.35">
      <c r="A196" s="6"/>
    </row>
    <row r="197" spans="1:1" x14ac:dyDescent="0.35">
      <c r="A197" s="6" t="s">
        <v>1714</v>
      </c>
    </row>
    <row r="198" spans="1:1" x14ac:dyDescent="0.35">
      <c r="A198" s="6" t="s">
        <v>1715</v>
      </c>
    </row>
    <row r="199" spans="1:1" x14ac:dyDescent="0.35">
      <c r="A199" s="6" t="s">
        <v>1716</v>
      </c>
    </row>
    <row r="201" spans="1:1" x14ac:dyDescent="0.35">
      <c r="A201" t="s">
        <v>1717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01"/>
  <sheetViews>
    <sheetView topLeftCell="V1" zoomScale="130" zoomScaleNormal="130" workbookViewId="0">
      <pane ySplit="1" topLeftCell="A2" activePane="bottomLeft" state="frozen"/>
      <selection pane="bottomLeft" activeCell="V1" sqref="V1"/>
    </sheetView>
  </sheetViews>
  <sheetFormatPr defaultColWidth="16.90625" defaultRowHeight="14.5" x14ac:dyDescent="0.35"/>
  <cols>
    <col min="4" max="4" width="23.26953125" customWidth="1"/>
    <col min="17" max="17" width="16.90625" style="9"/>
    <col min="19" max="19" width="16.90625" style="9"/>
    <col min="21" max="21" width="16.90625" style="9"/>
    <col min="23" max="23" width="16.90625" style="9"/>
    <col min="25" max="26" width="16.90625" style="15"/>
    <col min="29" max="29" width="16.90625" style="17"/>
  </cols>
  <sheetData>
    <row r="1" spans="1:37" s="3" customFormat="1" ht="34.5" customHeight="1" x14ac:dyDescent="0.35">
      <c r="A1" s="2" t="s">
        <v>0</v>
      </c>
      <c r="B1" s="2" t="s">
        <v>1</v>
      </c>
      <c r="C1" s="2" t="s">
        <v>2</v>
      </c>
      <c r="D1" s="2" t="s">
        <v>1720</v>
      </c>
      <c r="E1" s="2" t="s">
        <v>1718</v>
      </c>
      <c r="F1" s="2" t="s">
        <v>1719</v>
      </c>
      <c r="G1" s="2" t="s">
        <v>3</v>
      </c>
      <c r="H1" s="2" t="s">
        <v>1728</v>
      </c>
      <c r="I1" s="2" t="s">
        <v>4</v>
      </c>
      <c r="J1" s="2" t="s">
        <v>1729</v>
      </c>
      <c r="K1" s="2" t="s">
        <v>5</v>
      </c>
      <c r="L1" s="2" t="s">
        <v>1730</v>
      </c>
      <c r="M1" s="2" t="s">
        <v>6</v>
      </c>
      <c r="N1" s="2" t="s">
        <v>7</v>
      </c>
      <c r="O1" s="2" t="s">
        <v>1731</v>
      </c>
      <c r="P1" s="2" t="s">
        <v>8</v>
      </c>
      <c r="Q1" s="2" t="s">
        <v>1726</v>
      </c>
      <c r="R1" s="2" t="s">
        <v>9</v>
      </c>
      <c r="S1" s="11" t="s">
        <v>2380</v>
      </c>
      <c r="T1" s="2" t="s">
        <v>10</v>
      </c>
      <c r="U1" s="11" t="s">
        <v>1733</v>
      </c>
      <c r="V1" s="2" t="s">
        <v>11</v>
      </c>
      <c r="W1" s="11" t="s">
        <v>1735</v>
      </c>
      <c r="X1" s="2" t="s">
        <v>12</v>
      </c>
      <c r="Y1" s="14" t="s">
        <v>13</v>
      </c>
      <c r="Z1" s="14" t="s">
        <v>14</v>
      </c>
      <c r="AA1" s="2" t="s">
        <v>15</v>
      </c>
      <c r="AB1" s="2" t="s">
        <v>16</v>
      </c>
      <c r="AC1" s="16" t="s">
        <v>17</v>
      </c>
      <c r="AD1" s="13"/>
      <c r="AF1" s="24" t="s">
        <v>1725</v>
      </c>
      <c r="AG1" s="2" t="s">
        <v>2379</v>
      </c>
      <c r="AH1" s="2" t="s">
        <v>1732</v>
      </c>
      <c r="AI1" s="2" t="s">
        <v>1734</v>
      </c>
      <c r="AJ1" s="2" t="s">
        <v>1736</v>
      </c>
      <c r="AK1" s="2" t="s">
        <v>1737</v>
      </c>
    </row>
    <row r="2" spans="1:37" x14ac:dyDescent="0.35">
      <c r="A2" t="s">
        <v>18</v>
      </c>
      <c r="B2" t="s">
        <v>418</v>
      </c>
      <c r="C2" t="s">
        <v>624</v>
      </c>
      <c r="D2" t="str">
        <f>PROPER(TRIM(SUBSTITUTE(SUBSTITUTE(SUBSTITUTE(SUBSTITUTE(SUBSTITUTE(SUBSTITUTE(C2,"Mr "," "),"Dr "," "),"-"," "),"Miss "," "),"Mrs "," "),"Ms ", " ")))</f>
        <v>Guy Owen Rogers</v>
      </c>
      <c r="E2" t="str">
        <f>_xlfn.TEXTBEFORE(D2," ",1,,,)</f>
        <v>Guy</v>
      </c>
      <c r="F2" t="str">
        <f>_xlfn.TEXTAFTER(D2," ",-1,,,)</f>
        <v>Rogers</v>
      </c>
      <c r="G2" t="s">
        <v>1022</v>
      </c>
      <c r="H2" t="str">
        <f>TRIM(G2)</f>
        <v>Reporting Analyst</v>
      </c>
      <c r="I2" t="s">
        <v>1028</v>
      </c>
      <c r="J2" t="str">
        <f>TRIM(I2)</f>
        <v>HR</v>
      </c>
      <c r="K2" t="s">
        <v>1033</v>
      </c>
      <c r="L2" t="str">
        <f>PROPER(TRIM(K2))</f>
        <v>Midlands</v>
      </c>
      <c r="M2" t="s">
        <v>1041</v>
      </c>
      <c r="N2" t="s">
        <v>1046</v>
      </c>
      <c r="O2" t="str">
        <f>IF(OR(TRIM(N2) = "linkedin", TRIM(N2) = "LI"),"Linkedln",TRIM(N2))</f>
        <v>Linkedln</v>
      </c>
      <c r="P2" t="s">
        <v>1053</v>
      </c>
      <c r="Q2" s="9">
        <f t="shared" ref="Q2:Q65" si="0">IF(IFERROR(FIND("-",AF2),0)=3,DATE(RIGHT(AF2,4),LEFT(AF2,2),MID(AF2,4,2)), IF(IFERROR(FIND("/",AF2)=5,0), DATE(LEFT(AF2,4),MID(AF2,6,2),RIGHT(AF2,2)), DATE(RIGHT(AF2,4), MID(AF2,4,2), LEFT(AF2,2))))</f>
        <v>45534</v>
      </c>
      <c r="R2" t="s">
        <v>1394</v>
      </c>
      <c r="S2" s="9">
        <f t="shared" ref="S2:S65" si="1">IFERROR( IF(IFERROR(FIND("-",AG2),0)=3, DATE(RIGHT(AG2,4),LEFT(AG2,2),MID(AG2,4,2)),  IF(IFERROR(FIND("/",AG2)=5,0), DATE(LEFT(AG2,4),MID(AG2,6,2),RIGHT(AG2,2)), DATE(RIGHT(AG2,4), MID(AG2,4,2), LEFT(AG2,2)))),"")</f>
        <v>45555</v>
      </c>
      <c r="U2" s="9" t="str">
        <f t="shared" ref="U2:U65" si="2">IFERROR( IF(IFERROR(FIND("-",AH2),0)=3, DATE(RIGHT(AH2,4),LEFT(AH2,2),MID(AH2,4,2)),  IF(IFERROR(FIND("/",AH2)=5,0), DATE(LEFT(AH2,4),MID(AH2,6,2),RIGHT(AH2,2)), DATE(RIGHT(AH2,4), MID(AH2,4,2), LEFT(AH2,2)))),"")</f>
        <v/>
      </c>
      <c r="W2" s="9" t="str">
        <f t="shared" ref="W2:W65" si="3">IFERROR( IF(IFERROR(FIND("-",AI2),0)=3, DATE(RIGHT(AI2,4),LEFT(AI2,2),MID(AI2,4,2)),  IF(IFERROR(FIND("/",AI2)=5,0), DATE(LEFT(AI2,4),MID(AI2,6,2),RIGHT(AI2,2)), DATE(RIGHT(AI2,4), MID(AI2,4,2), LEFT(AI2,2)))),"")</f>
        <v/>
      </c>
      <c r="X2" t="s">
        <v>1615</v>
      </c>
      <c r="Y2" s="15">
        <v>49836</v>
      </c>
      <c r="AA2" t="s">
        <v>1621</v>
      </c>
      <c r="AB2" t="s">
        <v>1626</v>
      </c>
      <c r="AC2" s="17">
        <v>3.1</v>
      </c>
      <c r="AF2" t="str">
        <f t="shared" ref="AF2:AF65" si="4">IF(IFERROR(FIND("-",P2),0) = 5, SUBSTITUTE(P2,"-","/"), P2)</f>
        <v>2024/08/30</v>
      </c>
      <c r="AG2" t="str">
        <f t="shared" ref="AG2:AG65" si="5">IF(R2 = "", "", IF(IFERROR(FIND("-",R2),0) = 5, SUBSTITUTE(R2,"-","/"), R2))</f>
        <v>09-20-2024</v>
      </c>
      <c r="AH2" t="str">
        <f t="shared" ref="AH2:AH65" si="6">IF(T2 = "", "", IF(IFERROR(FIND("-",T2),0) = 5, SUBSTITUTE(T2,"-","/"), T2))</f>
        <v/>
      </c>
      <c r="AI2" t="str">
        <f t="shared" ref="AI2:AI65" si="7">IF(V2 = "", "", IF(IFERROR(FIND("-",V2),0) = 5, SUBSTITUTE(V2,"-","/"), V2))</f>
        <v/>
      </c>
      <c r="AJ2" t="str">
        <f t="shared" ref="AJ2:AJ65" si="8">IFERROR(FIND(" ",X2),"Not Found")</f>
        <v>Not Found</v>
      </c>
      <c r="AK2" t="str">
        <f t="shared" ref="AK2:AK65" si="9">IFERROR(FIND(" ",AA2), "Not Found")</f>
        <v>Not Found</v>
      </c>
    </row>
    <row r="3" spans="1:37" x14ac:dyDescent="0.35">
      <c r="A3" t="s">
        <v>19</v>
      </c>
      <c r="B3" t="s">
        <v>419</v>
      </c>
      <c r="C3" t="s">
        <v>625</v>
      </c>
      <c r="D3" t="str">
        <f t="shared" ref="D3:D66" si="10">PROPER(TRIM(SUBSTITUTE(SUBSTITUTE(SUBSTITUTE(SUBSTITUTE(SUBSTITUTE(SUBSTITUTE(C3,"Mr "," "),"Dr "," "),"-"," "),"Miss "," "),"Mrs "," "),"Ms ", " ")))</f>
        <v>Alexandra Thomas</v>
      </c>
      <c r="E3" t="str">
        <f t="shared" ref="E3:E66" si="11">_xlfn.TEXTBEFORE(D3," ",1,,,)</f>
        <v>Alexandra</v>
      </c>
      <c r="F3" t="str">
        <f t="shared" ref="F3:F66" si="12">_xlfn.TEXTAFTER(D3," ",-1,,,)</f>
        <v>Thomas</v>
      </c>
      <c r="G3" t="s">
        <v>1023</v>
      </c>
      <c r="H3" t="str">
        <f t="shared" ref="H3:H66" si="13">TRIM(G3)</f>
        <v>HR Analyst</v>
      </c>
      <c r="I3" t="s">
        <v>1028</v>
      </c>
      <c r="J3" t="str">
        <f t="shared" ref="J3:J66" si="14">TRIM(I3)</f>
        <v>HR</v>
      </c>
      <c r="K3" t="s">
        <v>1034</v>
      </c>
      <c r="L3" t="str">
        <f t="shared" ref="L3:L66" si="15">PROPER(TRIM(K3))</f>
        <v>Scotland</v>
      </c>
      <c r="M3" t="s">
        <v>1042</v>
      </c>
      <c r="N3" t="s">
        <v>1047</v>
      </c>
      <c r="O3" t="str">
        <f t="shared" ref="O3:O66" si="16">IF(OR(TRIM(N3) = "linkedin", TRIM(N3) = "LI"),"Linkedln",TRIM(N3))</f>
        <v>Linkedln</v>
      </c>
      <c r="P3" t="s">
        <v>1054</v>
      </c>
      <c r="Q3" s="9">
        <f t="shared" si="0"/>
        <v>45480</v>
      </c>
      <c r="S3" s="9" t="str">
        <f t="shared" si="1"/>
        <v/>
      </c>
      <c r="U3" s="9" t="str">
        <f t="shared" si="2"/>
        <v/>
      </c>
      <c r="W3" s="9" t="str">
        <f t="shared" si="3"/>
        <v/>
      </c>
      <c r="X3" t="s">
        <v>1616</v>
      </c>
      <c r="Y3" s="15">
        <v>34889</v>
      </c>
      <c r="AA3" t="s">
        <v>1622</v>
      </c>
      <c r="AB3" t="s">
        <v>1627</v>
      </c>
      <c r="AC3" s="17">
        <v>2.2999999999999998</v>
      </c>
      <c r="AF3" t="str">
        <f t="shared" si="4"/>
        <v>07-07-2024</v>
      </c>
      <c r="AG3" t="str">
        <f t="shared" si="5"/>
        <v/>
      </c>
      <c r="AH3" t="str">
        <f t="shared" si="6"/>
        <v/>
      </c>
      <c r="AI3" t="str">
        <f t="shared" si="7"/>
        <v/>
      </c>
      <c r="AJ3" t="str">
        <f t="shared" si="8"/>
        <v>Not Found</v>
      </c>
      <c r="AK3" t="str">
        <f t="shared" si="9"/>
        <v>Not Found</v>
      </c>
    </row>
    <row r="4" spans="1:37" x14ac:dyDescent="0.35">
      <c r="A4" t="s">
        <v>20</v>
      </c>
      <c r="B4" t="s">
        <v>420</v>
      </c>
      <c r="C4" t="s">
        <v>626</v>
      </c>
      <c r="D4" t="str">
        <f t="shared" si="10"/>
        <v>Catherine Ford Barker</v>
      </c>
      <c r="E4" t="str">
        <f t="shared" si="11"/>
        <v>Catherine</v>
      </c>
      <c r="F4" t="str">
        <f t="shared" si="12"/>
        <v>Barker</v>
      </c>
      <c r="G4" t="s">
        <v>1024</v>
      </c>
      <c r="H4" t="str">
        <f t="shared" si="13"/>
        <v>Business Analyst</v>
      </c>
      <c r="I4" t="s">
        <v>1029</v>
      </c>
      <c r="J4" t="str">
        <f t="shared" si="14"/>
        <v>Commercial</v>
      </c>
      <c r="K4" t="s">
        <v>1035</v>
      </c>
      <c r="L4" t="str">
        <f t="shared" si="15"/>
        <v>Yorkshire</v>
      </c>
      <c r="M4" t="s">
        <v>1041</v>
      </c>
      <c r="N4" t="s">
        <v>1048</v>
      </c>
      <c r="O4" t="str">
        <f t="shared" si="16"/>
        <v>Referral</v>
      </c>
      <c r="P4" t="s">
        <v>1055</v>
      </c>
      <c r="Q4" s="9">
        <f t="shared" si="0"/>
        <v>45338</v>
      </c>
      <c r="S4" s="9" t="str">
        <f t="shared" si="1"/>
        <v/>
      </c>
      <c r="U4" s="9" t="str">
        <f t="shared" si="2"/>
        <v/>
      </c>
      <c r="W4" s="9" t="str">
        <f t="shared" si="3"/>
        <v/>
      </c>
      <c r="X4" t="s">
        <v>1617</v>
      </c>
      <c r="Y4" s="15">
        <v>41887</v>
      </c>
      <c r="AA4" t="s">
        <v>1623</v>
      </c>
      <c r="AB4" t="s">
        <v>1628</v>
      </c>
      <c r="AC4" s="17">
        <v>4.8</v>
      </c>
      <c r="AF4" t="str">
        <f t="shared" si="4"/>
        <v>16/02/2024</v>
      </c>
      <c r="AG4" t="str">
        <f t="shared" si="5"/>
        <v/>
      </c>
      <c r="AH4" t="str">
        <f t="shared" si="6"/>
        <v/>
      </c>
      <c r="AI4" t="str">
        <f t="shared" si="7"/>
        <v/>
      </c>
      <c r="AJ4" t="str">
        <f t="shared" si="8"/>
        <v>Not Found</v>
      </c>
      <c r="AK4" t="str">
        <f t="shared" si="9"/>
        <v>Not Found</v>
      </c>
    </row>
    <row r="5" spans="1:37" x14ac:dyDescent="0.35">
      <c r="A5" t="s">
        <v>21</v>
      </c>
      <c r="B5" t="s">
        <v>421</v>
      </c>
      <c r="C5" t="s">
        <v>627</v>
      </c>
      <c r="D5" t="str">
        <f t="shared" si="10"/>
        <v>Mohammad Morris</v>
      </c>
      <c r="E5" t="str">
        <f t="shared" si="11"/>
        <v>Mohammad</v>
      </c>
      <c r="F5" t="str">
        <f t="shared" si="12"/>
        <v>Morris</v>
      </c>
      <c r="G5" t="s">
        <v>1022</v>
      </c>
      <c r="H5" t="str">
        <f t="shared" si="13"/>
        <v>Reporting Analyst</v>
      </c>
      <c r="I5" t="s">
        <v>1029</v>
      </c>
      <c r="J5" t="str">
        <f t="shared" si="14"/>
        <v>Commercial</v>
      </c>
      <c r="K5" t="s">
        <v>1036</v>
      </c>
      <c r="L5" t="str">
        <f t="shared" si="15"/>
        <v>London</v>
      </c>
      <c r="M5" t="s">
        <v>1042</v>
      </c>
      <c r="N5" t="s">
        <v>1046</v>
      </c>
      <c r="O5" t="str">
        <f t="shared" si="16"/>
        <v>Linkedln</v>
      </c>
      <c r="P5" t="s">
        <v>1056</v>
      </c>
      <c r="Q5" s="9">
        <f t="shared" si="0"/>
        <v>45379</v>
      </c>
      <c r="R5" t="s">
        <v>1395</v>
      </c>
      <c r="S5" s="9">
        <f t="shared" si="1"/>
        <v>45386</v>
      </c>
      <c r="T5" t="s">
        <v>1520</v>
      </c>
      <c r="U5" s="9">
        <f t="shared" si="2"/>
        <v>45406</v>
      </c>
      <c r="W5" s="9" t="str">
        <f t="shared" si="3"/>
        <v/>
      </c>
      <c r="X5" t="s">
        <v>1618</v>
      </c>
      <c r="Y5" s="15">
        <v>47904</v>
      </c>
      <c r="Z5" s="15">
        <v>48335</v>
      </c>
      <c r="AA5" t="s">
        <v>1624</v>
      </c>
      <c r="AB5" t="s">
        <v>1628</v>
      </c>
      <c r="AC5" s="17">
        <v>4</v>
      </c>
      <c r="AF5" t="str">
        <f t="shared" si="4"/>
        <v>03-28-2024</v>
      </c>
      <c r="AG5" t="str">
        <f t="shared" si="5"/>
        <v>04-04-2024</v>
      </c>
      <c r="AH5" t="str">
        <f t="shared" si="6"/>
        <v>2024/04/24</v>
      </c>
      <c r="AI5" t="str">
        <f t="shared" si="7"/>
        <v/>
      </c>
      <c r="AJ5" t="str">
        <f t="shared" si="8"/>
        <v>Not Found</v>
      </c>
      <c r="AK5" t="str">
        <f t="shared" si="9"/>
        <v>Not Found</v>
      </c>
    </row>
    <row r="6" spans="1:37" x14ac:dyDescent="0.35">
      <c r="A6" t="s">
        <v>22</v>
      </c>
      <c r="B6" t="s">
        <v>418</v>
      </c>
      <c r="C6" t="s">
        <v>628</v>
      </c>
      <c r="D6" t="str">
        <f t="shared" si="10"/>
        <v>Toby Adams</v>
      </c>
      <c r="E6" t="str">
        <f t="shared" si="11"/>
        <v>Toby</v>
      </c>
      <c r="F6" t="str">
        <f t="shared" si="12"/>
        <v>Adams</v>
      </c>
      <c r="G6" t="s">
        <v>1023</v>
      </c>
      <c r="H6" t="str">
        <f t="shared" si="13"/>
        <v>HR Analyst</v>
      </c>
      <c r="I6" t="s">
        <v>1029</v>
      </c>
      <c r="J6" t="str">
        <f t="shared" si="14"/>
        <v>Commercial</v>
      </c>
      <c r="K6" t="s">
        <v>1037</v>
      </c>
      <c r="L6" t="str">
        <f t="shared" si="15"/>
        <v>East Midlands</v>
      </c>
      <c r="M6" t="s">
        <v>1042</v>
      </c>
      <c r="N6" t="s">
        <v>1049</v>
      </c>
      <c r="O6" t="str">
        <f t="shared" si="16"/>
        <v>Indeed</v>
      </c>
      <c r="P6" t="s">
        <v>1057</v>
      </c>
      <c r="Q6" s="9">
        <f t="shared" si="0"/>
        <v>45489</v>
      </c>
      <c r="S6" s="9" t="str">
        <f t="shared" si="1"/>
        <v/>
      </c>
      <c r="U6" s="9" t="str">
        <f t="shared" si="2"/>
        <v/>
      </c>
      <c r="W6" s="9" t="str">
        <f t="shared" si="3"/>
        <v/>
      </c>
      <c r="X6" t="s">
        <v>1619</v>
      </c>
      <c r="Y6" s="15">
        <v>31730</v>
      </c>
      <c r="AA6" t="s">
        <v>1625</v>
      </c>
      <c r="AB6" t="s">
        <v>1627</v>
      </c>
      <c r="AC6" s="17">
        <v>2.8</v>
      </c>
      <c r="AF6" t="str">
        <f t="shared" si="4"/>
        <v>07-16-2024</v>
      </c>
      <c r="AG6" t="str">
        <f t="shared" si="5"/>
        <v/>
      </c>
      <c r="AH6" t="str">
        <f t="shared" si="6"/>
        <v/>
      </c>
      <c r="AI6" t="str">
        <f t="shared" si="7"/>
        <v/>
      </c>
      <c r="AJ6" t="str">
        <f t="shared" si="8"/>
        <v>Not Found</v>
      </c>
      <c r="AK6" t="str">
        <f t="shared" si="9"/>
        <v>Not Found</v>
      </c>
    </row>
    <row r="7" spans="1:37" x14ac:dyDescent="0.35">
      <c r="A7" t="s">
        <v>23</v>
      </c>
      <c r="B7" t="s">
        <v>422</v>
      </c>
      <c r="C7" t="s">
        <v>629</v>
      </c>
      <c r="D7" t="str">
        <f t="shared" si="10"/>
        <v>Kieran Brown</v>
      </c>
      <c r="E7" t="str">
        <f t="shared" si="11"/>
        <v>Kieran</v>
      </c>
      <c r="F7" t="str">
        <f t="shared" si="12"/>
        <v>Brown</v>
      </c>
      <c r="G7" t="s">
        <v>1023</v>
      </c>
      <c r="H7" t="str">
        <f t="shared" si="13"/>
        <v>HR Analyst</v>
      </c>
      <c r="I7" t="s">
        <v>1030</v>
      </c>
      <c r="J7" t="str">
        <f t="shared" si="14"/>
        <v>Finance</v>
      </c>
      <c r="K7" t="s">
        <v>1038</v>
      </c>
      <c r="L7" t="str">
        <f t="shared" si="15"/>
        <v>East Midlands</v>
      </c>
      <c r="M7" t="s">
        <v>1043</v>
      </c>
      <c r="N7" t="s">
        <v>1047</v>
      </c>
      <c r="O7" t="str">
        <f t="shared" si="16"/>
        <v>Linkedln</v>
      </c>
      <c r="P7" t="s">
        <v>1058</v>
      </c>
      <c r="Q7" s="9">
        <f t="shared" si="0"/>
        <v>45557</v>
      </c>
      <c r="S7" s="9" t="str">
        <f t="shared" si="1"/>
        <v/>
      </c>
      <c r="U7" s="9" t="str">
        <f t="shared" si="2"/>
        <v/>
      </c>
      <c r="W7" s="9" t="str">
        <f t="shared" si="3"/>
        <v/>
      </c>
      <c r="X7" t="s">
        <v>1616</v>
      </c>
      <c r="Y7" s="15">
        <v>50139</v>
      </c>
      <c r="AA7" t="s">
        <v>1623</v>
      </c>
      <c r="AB7" t="s">
        <v>1626</v>
      </c>
      <c r="AC7" s="17">
        <v>3.3</v>
      </c>
      <c r="AF7" t="str">
        <f t="shared" si="4"/>
        <v>09-22-2024</v>
      </c>
      <c r="AG7" t="str">
        <f t="shared" si="5"/>
        <v/>
      </c>
      <c r="AH7" t="str">
        <f t="shared" si="6"/>
        <v/>
      </c>
      <c r="AI7" t="str">
        <f t="shared" si="7"/>
        <v/>
      </c>
      <c r="AJ7" t="str">
        <f t="shared" si="8"/>
        <v>Not Found</v>
      </c>
      <c r="AK7" t="str">
        <f t="shared" si="9"/>
        <v>Not Found</v>
      </c>
    </row>
    <row r="8" spans="1:37" x14ac:dyDescent="0.35">
      <c r="A8" t="s">
        <v>24</v>
      </c>
      <c r="B8" t="s">
        <v>423</v>
      </c>
      <c r="C8" t="s">
        <v>630</v>
      </c>
      <c r="D8" t="str">
        <f t="shared" si="10"/>
        <v>Jacob Palmer</v>
      </c>
      <c r="E8" t="str">
        <f t="shared" si="11"/>
        <v>Jacob</v>
      </c>
      <c r="F8" t="str">
        <f t="shared" si="12"/>
        <v>Palmer</v>
      </c>
      <c r="G8" t="s">
        <v>1025</v>
      </c>
      <c r="H8" t="str">
        <f t="shared" si="13"/>
        <v>Finance Analyst</v>
      </c>
      <c r="I8" t="s">
        <v>1031</v>
      </c>
      <c r="J8" t="str">
        <f t="shared" si="14"/>
        <v>Technology</v>
      </c>
      <c r="K8" t="s">
        <v>1033</v>
      </c>
      <c r="L8" t="str">
        <f t="shared" si="15"/>
        <v>Midlands</v>
      </c>
      <c r="M8" t="s">
        <v>1044</v>
      </c>
      <c r="N8" t="s">
        <v>1046</v>
      </c>
      <c r="O8" t="str">
        <f t="shared" si="16"/>
        <v>Linkedln</v>
      </c>
      <c r="P8" t="s">
        <v>1059</v>
      </c>
      <c r="Q8" s="9">
        <f t="shared" si="0"/>
        <v>45433</v>
      </c>
      <c r="R8" s="9">
        <v>45457</v>
      </c>
      <c r="S8" s="9">
        <f t="shared" si="1"/>
        <v>1300918</v>
      </c>
      <c r="T8" t="s">
        <v>1521</v>
      </c>
      <c r="U8" s="9">
        <f t="shared" si="2"/>
        <v>45468</v>
      </c>
      <c r="W8" s="9" t="str">
        <f t="shared" si="3"/>
        <v/>
      </c>
      <c r="X8" t="s">
        <v>1618</v>
      </c>
      <c r="Y8" s="15">
        <v>51785</v>
      </c>
      <c r="Z8" s="15">
        <v>49211</v>
      </c>
      <c r="AA8" t="s">
        <v>1624</v>
      </c>
      <c r="AB8" t="s">
        <v>1627</v>
      </c>
      <c r="AC8" s="17">
        <v>3.6</v>
      </c>
      <c r="AF8" t="str">
        <f t="shared" si="4"/>
        <v>05-21-2024</v>
      </c>
      <c r="AG8">
        <f t="shared" si="5"/>
        <v>45457</v>
      </c>
      <c r="AH8" t="str">
        <f t="shared" si="6"/>
        <v>06-25-2024</v>
      </c>
      <c r="AI8" t="str">
        <f t="shared" si="7"/>
        <v/>
      </c>
      <c r="AJ8" t="str">
        <f t="shared" si="8"/>
        <v>Not Found</v>
      </c>
      <c r="AK8" t="str">
        <f t="shared" si="9"/>
        <v>Not Found</v>
      </c>
    </row>
    <row r="9" spans="1:37" x14ac:dyDescent="0.35">
      <c r="A9" t="s">
        <v>25</v>
      </c>
      <c r="B9" t="s">
        <v>424</v>
      </c>
      <c r="C9" t="s">
        <v>631</v>
      </c>
      <c r="D9" t="str">
        <f t="shared" si="10"/>
        <v>Philip Murray</v>
      </c>
      <c r="E9" t="str">
        <f t="shared" si="11"/>
        <v>Philip</v>
      </c>
      <c r="F9" t="str">
        <f t="shared" si="12"/>
        <v>Murray</v>
      </c>
      <c r="G9" t="s">
        <v>1025</v>
      </c>
      <c r="H9" t="str">
        <f t="shared" si="13"/>
        <v>Finance Analyst</v>
      </c>
      <c r="I9" t="s">
        <v>1032</v>
      </c>
      <c r="J9" t="str">
        <f t="shared" si="14"/>
        <v>Operations</v>
      </c>
      <c r="K9" t="s">
        <v>1038</v>
      </c>
      <c r="L9" t="str">
        <f t="shared" si="15"/>
        <v>East Midlands</v>
      </c>
      <c r="M9" t="s">
        <v>1042</v>
      </c>
      <c r="N9" t="s">
        <v>1048</v>
      </c>
      <c r="O9" t="str">
        <f t="shared" si="16"/>
        <v>Referral</v>
      </c>
      <c r="P9" t="s">
        <v>1060</v>
      </c>
      <c r="Q9" s="9">
        <f t="shared" si="0"/>
        <v>45388</v>
      </c>
      <c r="S9" s="9" t="str">
        <f t="shared" si="1"/>
        <v/>
      </c>
      <c r="U9" s="9" t="str">
        <f t="shared" si="2"/>
        <v/>
      </c>
      <c r="W9" s="9" t="str">
        <f t="shared" si="3"/>
        <v/>
      </c>
      <c r="X9" t="s">
        <v>1619</v>
      </c>
      <c r="Y9" s="15">
        <v>35205</v>
      </c>
      <c r="AA9" t="s">
        <v>1622</v>
      </c>
      <c r="AB9" t="s">
        <v>1627</v>
      </c>
      <c r="AF9" t="str">
        <f t="shared" si="4"/>
        <v>06/04/2024</v>
      </c>
      <c r="AG9" t="str">
        <f t="shared" si="5"/>
        <v/>
      </c>
      <c r="AH9" t="str">
        <f t="shared" si="6"/>
        <v/>
      </c>
      <c r="AI9" t="str">
        <f t="shared" si="7"/>
        <v/>
      </c>
      <c r="AJ9" t="str">
        <f t="shared" si="8"/>
        <v>Not Found</v>
      </c>
      <c r="AK9" t="str">
        <f t="shared" si="9"/>
        <v>Not Found</v>
      </c>
    </row>
    <row r="10" spans="1:37" x14ac:dyDescent="0.35">
      <c r="A10" t="s">
        <v>26</v>
      </c>
      <c r="B10" t="s">
        <v>425</v>
      </c>
      <c r="C10" t="s">
        <v>632</v>
      </c>
      <c r="D10" t="str">
        <f t="shared" si="10"/>
        <v>Hilary Harrison</v>
      </c>
      <c r="E10" t="str">
        <f t="shared" si="11"/>
        <v>Hilary</v>
      </c>
      <c r="F10" t="str">
        <f t="shared" si="12"/>
        <v>Harrison</v>
      </c>
      <c r="G10" t="s">
        <v>1026</v>
      </c>
      <c r="H10" t="str">
        <f t="shared" si="13"/>
        <v>BI Analyst</v>
      </c>
      <c r="I10" t="s">
        <v>1028</v>
      </c>
      <c r="J10" t="str">
        <f t="shared" si="14"/>
        <v>HR</v>
      </c>
      <c r="K10" t="s">
        <v>1039</v>
      </c>
      <c r="L10" t="str">
        <f t="shared" si="15"/>
        <v>South East</v>
      </c>
      <c r="M10" t="s">
        <v>1043</v>
      </c>
      <c r="N10" t="s">
        <v>1050</v>
      </c>
      <c r="O10" t="str">
        <f t="shared" si="16"/>
        <v>Reed</v>
      </c>
      <c r="P10" t="s">
        <v>1061</v>
      </c>
      <c r="Q10" s="9">
        <f t="shared" si="0"/>
        <v>45476</v>
      </c>
      <c r="S10" s="9" t="str">
        <f t="shared" si="1"/>
        <v/>
      </c>
      <c r="U10" s="9" t="str">
        <f t="shared" si="2"/>
        <v/>
      </c>
      <c r="W10" s="9" t="str">
        <f t="shared" si="3"/>
        <v/>
      </c>
      <c r="X10" t="s">
        <v>1617</v>
      </c>
      <c r="Y10" s="15">
        <v>44501</v>
      </c>
      <c r="AA10" t="s">
        <v>1625</v>
      </c>
      <c r="AB10" t="s">
        <v>1626</v>
      </c>
      <c r="AC10" s="17">
        <v>2.5</v>
      </c>
      <c r="AF10" t="str">
        <f t="shared" si="4"/>
        <v>2024/07/03</v>
      </c>
      <c r="AG10" t="str">
        <f t="shared" si="5"/>
        <v/>
      </c>
      <c r="AH10" t="str">
        <f t="shared" si="6"/>
        <v/>
      </c>
      <c r="AI10" t="str">
        <f t="shared" si="7"/>
        <v/>
      </c>
      <c r="AJ10" t="str">
        <f t="shared" si="8"/>
        <v>Not Found</v>
      </c>
      <c r="AK10" t="str">
        <f t="shared" si="9"/>
        <v>Not Found</v>
      </c>
    </row>
    <row r="11" spans="1:37" x14ac:dyDescent="0.35">
      <c r="A11" t="s">
        <v>27</v>
      </c>
      <c r="B11" t="s">
        <v>426</v>
      </c>
      <c r="C11" t="s">
        <v>633</v>
      </c>
      <c r="D11" t="str">
        <f t="shared" si="10"/>
        <v>Shane Young</v>
      </c>
      <c r="E11" t="str">
        <f t="shared" si="11"/>
        <v>Shane</v>
      </c>
      <c r="F11" t="str">
        <f t="shared" si="12"/>
        <v>Young</v>
      </c>
      <c r="G11" t="s">
        <v>1023</v>
      </c>
      <c r="H11" t="str">
        <f t="shared" si="13"/>
        <v>HR Analyst</v>
      </c>
      <c r="I11" t="s">
        <v>1030</v>
      </c>
      <c r="J11" t="str">
        <f t="shared" si="14"/>
        <v>Finance</v>
      </c>
      <c r="K11" t="s">
        <v>1040</v>
      </c>
      <c r="L11" t="str">
        <f t="shared" si="15"/>
        <v>North West</v>
      </c>
      <c r="M11" t="s">
        <v>1045</v>
      </c>
      <c r="N11" t="s">
        <v>1050</v>
      </c>
      <c r="O11" t="str">
        <f t="shared" si="16"/>
        <v>Reed</v>
      </c>
      <c r="P11" t="s">
        <v>1062</v>
      </c>
      <c r="Q11" s="9">
        <f t="shared" si="0"/>
        <v>45613</v>
      </c>
      <c r="R11" t="s">
        <v>1109</v>
      </c>
      <c r="S11" s="9">
        <f t="shared" si="1"/>
        <v>45639</v>
      </c>
      <c r="U11" s="9" t="str">
        <f t="shared" si="2"/>
        <v/>
      </c>
      <c r="W11" s="9" t="str">
        <f t="shared" si="3"/>
        <v/>
      </c>
      <c r="X11" t="s">
        <v>1615</v>
      </c>
      <c r="Y11" s="15">
        <v>42576</v>
      </c>
      <c r="AA11" t="s">
        <v>1621</v>
      </c>
      <c r="AB11" t="s">
        <v>1628</v>
      </c>
      <c r="AC11" s="17">
        <v>4.7</v>
      </c>
      <c r="AF11" t="str">
        <f t="shared" si="4"/>
        <v>2024/11/17</v>
      </c>
      <c r="AG11" t="str">
        <f t="shared" si="5"/>
        <v>12-13-2024</v>
      </c>
      <c r="AH11" t="str">
        <f t="shared" si="6"/>
        <v/>
      </c>
      <c r="AI11" t="str">
        <f t="shared" si="7"/>
        <v/>
      </c>
      <c r="AJ11" t="str">
        <f t="shared" si="8"/>
        <v>Not Found</v>
      </c>
      <c r="AK11" t="str">
        <f t="shared" si="9"/>
        <v>Not Found</v>
      </c>
    </row>
    <row r="12" spans="1:37" x14ac:dyDescent="0.35">
      <c r="A12" t="s">
        <v>28</v>
      </c>
      <c r="B12" t="s">
        <v>424</v>
      </c>
      <c r="C12" t="s">
        <v>634</v>
      </c>
      <c r="D12" t="str">
        <f t="shared" si="10"/>
        <v>Chloe Bishop</v>
      </c>
      <c r="E12" t="str">
        <f t="shared" si="11"/>
        <v>Chloe</v>
      </c>
      <c r="F12" t="str">
        <f t="shared" si="12"/>
        <v>Bishop</v>
      </c>
      <c r="G12" t="s">
        <v>1022</v>
      </c>
      <c r="H12" t="str">
        <f t="shared" si="13"/>
        <v>Reporting Analyst</v>
      </c>
      <c r="I12" t="s">
        <v>1032</v>
      </c>
      <c r="J12" t="str">
        <f t="shared" si="14"/>
        <v>Operations</v>
      </c>
      <c r="K12" t="s">
        <v>1038</v>
      </c>
      <c r="L12" t="str">
        <f t="shared" si="15"/>
        <v>East Midlands</v>
      </c>
      <c r="M12" t="s">
        <v>1043</v>
      </c>
      <c r="N12" t="s">
        <v>1049</v>
      </c>
      <c r="O12" t="str">
        <f t="shared" si="16"/>
        <v>Indeed</v>
      </c>
      <c r="P12" t="s">
        <v>1063</v>
      </c>
      <c r="Q12" s="9">
        <f t="shared" si="0"/>
        <v>45437</v>
      </c>
      <c r="R12" t="s">
        <v>1397</v>
      </c>
      <c r="S12" s="9">
        <f t="shared" si="1"/>
        <v>45442</v>
      </c>
      <c r="T12" t="s">
        <v>1083</v>
      </c>
      <c r="U12" s="9">
        <f t="shared" si="2"/>
        <v>45473</v>
      </c>
      <c r="W12" s="9" t="str">
        <f t="shared" si="3"/>
        <v/>
      </c>
      <c r="X12" t="s">
        <v>1618</v>
      </c>
      <c r="Y12" s="15">
        <v>28120</v>
      </c>
      <c r="Z12" s="15">
        <v>30806</v>
      </c>
      <c r="AA12" t="s">
        <v>1624</v>
      </c>
      <c r="AB12" t="s">
        <v>1627</v>
      </c>
      <c r="AC12" s="17">
        <v>2.2000000000000002</v>
      </c>
      <c r="AF12" t="str">
        <f t="shared" si="4"/>
        <v>2024/05/25</v>
      </c>
      <c r="AG12" t="str">
        <f t="shared" si="5"/>
        <v>30/05/2024</v>
      </c>
      <c r="AH12" t="str">
        <f t="shared" si="6"/>
        <v>2024/06/30</v>
      </c>
      <c r="AI12" t="str">
        <f t="shared" si="7"/>
        <v/>
      </c>
      <c r="AJ12" t="str">
        <f t="shared" si="8"/>
        <v>Not Found</v>
      </c>
      <c r="AK12" t="str">
        <f t="shared" si="9"/>
        <v>Not Found</v>
      </c>
    </row>
    <row r="13" spans="1:37" x14ac:dyDescent="0.35">
      <c r="A13" t="s">
        <v>29</v>
      </c>
      <c r="B13" t="s">
        <v>427</v>
      </c>
      <c r="C13" t="s">
        <v>635</v>
      </c>
      <c r="D13" t="str">
        <f t="shared" si="10"/>
        <v>Dorothy Stevens Peacock</v>
      </c>
      <c r="E13" t="str">
        <f t="shared" si="11"/>
        <v>Dorothy</v>
      </c>
      <c r="F13" t="str">
        <f t="shared" si="12"/>
        <v>Peacock</v>
      </c>
      <c r="G13" t="s">
        <v>1025</v>
      </c>
      <c r="H13" t="str">
        <f t="shared" si="13"/>
        <v>Finance Analyst</v>
      </c>
      <c r="I13" t="s">
        <v>1031</v>
      </c>
      <c r="J13" t="str">
        <f t="shared" si="14"/>
        <v>Technology</v>
      </c>
      <c r="K13" t="s">
        <v>1037</v>
      </c>
      <c r="L13" t="str">
        <f t="shared" si="15"/>
        <v>East Midlands</v>
      </c>
      <c r="M13" t="s">
        <v>1042</v>
      </c>
      <c r="N13" t="s">
        <v>1051</v>
      </c>
      <c r="O13" t="str">
        <f t="shared" si="16"/>
        <v>CV Library</v>
      </c>
      <c r="P13" t="s">
        <v>1064</v>
      </c>
      <c r="Q13" s="9">
        <f t="shared" si="0"/>
        <v>45505</v>
      </c>
      <c r="R13" t="s">
        <v>1398</v>
      </c>
      <c r="S13" s="9">
        <f t="shared" si="1"/>
        <v>45512</v>
      </c>
      <c r="U13" s="9" t="str">
        <f t="shared" si="2"/>
        <v/>
      </c>
      <c r="W13" s="9" t="str">
        <f t="shared" si="3"/>
        <v/>
      </c>
      <c r="X13" t="s">
        <v>1615</v>
      </c>
      <c r="Y13" s="15">
        <v>41262</v>
      </c>
      <c r="AA13" t="s">
        <v>1623</v>
      </c>
      <c r="AB13" t="s">
        <v>1627</v>
      </c>
      <c r="AC13" s="17">
        <v>4.4000000000000004</v>
      </c>
      <c r="AF13" t="str">
        <f t="shared" si="4"/>
        <v>08-01-2024</v>
      </c>
      <c r="AG13" t="str">
        <f t="shared" si="5"/>
        <v>08-08-2024</v>
      </c>
      <c r="AH13" t="str">
        <f t="shared" si="6"/>
        <v/>
      </c>
      <c r="AI13" t="str">
        <f t="shared" si="7"/>
        <v/>
      </c>
      <c r="AJ13" t="str">
        <f t="shared" si="8"/>
        <v>Not Found</v>
      </c>
      <c r="AK13" t="str">
        <f t="shared" si="9"/>
        <v>Not Found</v>
      </c>
    </row>
    <row r="14" spans="1:37" x14ac:dyDescent="0.35">
      <c r="A14" t="s">
        <v>30</v>
      </c>
      <c r="B14" t="s">
        <v>428</v>
      </c>
      <c r="C14" t="s">
        <v>636</v>
      </c>
      <c r="D14" t="str">
        <f t="shared" si="10"/>
        <v>Rita Bates</v>
      </c>
      <c r="E14" t="str">
        <f t="shared" si="11"/>
        <v>Rita</v>
      </c>
      <c r="F14" t="str">
        <f t="shared" si="12"/>
        <v>Bates</v>
      </c>
      <c r="G14" t="s">
        <v>1025</v>
      </c>
      <c r="H14" t="str">
        <f t="shared" si="13"/>
        <v>Finance Analyst</v>
      </c>
      <c r="I14" t="s">
        <v>1028</v>
      </c>
      <c r="J14" t="str">
        <f t="shared" si="14"/>
        <v>HR</v>
      </c>
      <c r="K14" t="s">
        <v>1033</v>
      </c>
      <c r="L14" t="str">
        <f t="shared" si="15"/>
        <v>Midlands</v>
      </c>
      <c r="M14" t="s">
        <v>1041</v>
      </c>
      <c r="N14" t="s">
        <v>1048</v>
      </c>
      <c r="O14" t="str">
        <f t="shared" si="16"/>
        <v>Referral</v>
      </c>
      <c r="P14" t="s">
        <v>1065</v>
      </c>
      <c r="Q14" s="9">
        <f t="shared" si="0"/>
        <v>45758</v>
      </c>
      <c r="R14" t="s">
        <v>1078</v>
      </c>
      <c r="S14" s="9">
        <f t="shared" si="1"/>
        <v>45769</v>
      </c>
      <c r="U14" s="9" t="str">
        <f t="shared" si="2"/>
        <v/>
      </c>
      <c r="W14" s="9" t="str">
        <f t="shared" si="3"/>
        <v/>
      </c>
      <c r="X14" t="s">
        <v>1615</v>
      </c>
      <c r="Y14" s="15">
        <v>40434</v>
      </c>
      <c r="AA14" t="s">
        <v>1625</v>
      </c>
      <c r="AB14" t="s">
        <v>1628</v>
      </c>
      <c r="AC14" s="17">
        <v>4.4000000000000004</v>
      </c>
      <c r="AF14" t="str">
        <f t="shared" si="4"/>
        <v>11/04/2025</v>
      </c>
      <c r="AG14" t="str">
        <f t="shared" si="5"/>
        <v>2025/04/22</v>
      </c>
      <c r="AH14" t="str">
        <f t="shared" si="6"/>
        <v/>
      </c>
      <c r="AI14" t="str">
        <f t="shared" si="7"/>
        <v/>
      </c>
      <c r="AJ14" t="str">
        <f t="shared" si="8"/>
        <v>Not Found</v>
      </c>
      <c r="AK14" t="str">
        <f t="shared" si="9"/>
        <v>Not Found</v>
      </c>
    </row>
    <row r="15" spans="1:37" x14ac:dyDescent="0.35">
      <c r="A15" t="s">
        <v>31</v>
      </c>
      <c r="B15" t="s">
        <v>429</v>
      </c>
      <c r="C15" t="s">
        <v>637</v>
      </c>
      <c r="D15" t="str">
        <f t="shared" si="10"/>
        <v>Ryan Atkinson</v>
      </c>
      <c r="E15" t="str">
        <f t="shared" si="11"/>
        <v>Ryan</v>
      </c>
      <c r="F15" t="str">
        <f t="shared" si="12"/>
        <v>Atkinson</v>
      </c>
      <c r="G15" t="s">
        <v>1026</v>
      </c>
      <c r="H15" t="str">
        <f t="shared" si="13"/>
        <v>BI Analyst</v>
      </c>
      <c r="I15" t="s">
        <v>1030</v>
      </c>
      <c r="J15" t="str">
        <f t="shared" si="14"/>
        <v>Finance</v>
      </c>
      <c r="K15" t="s">
        <v>1040</v>
      </c>
      <c r="L15" t="str">
        <f t="shared" si="15"/>
        <v>North West</v>
      </c>
      <c r="M15" t="s">
        <v>1045</v>
      </c>
      <c r="N15" t="s">
        <v>1051</v>
      </c>
      <c r="O15" t="str">
        <f t="shared" si="16"/>
        <v>CV Library</v>
      </c>
      <c r="P15" t="s">
        <v>1066</v>
      </c>
      <c r="Q15" s="9">
        <f t="shared" si="0"/>
        <v>45417</v>
      </c>
      <c r="S15" s="9" t="str">
        <f t="shared" si="1"/>
        <v/>
      </c>
      <c r="U15" s="9" t="str">
        <f t="shared" si="2"/>
        <v/>
      </c>
      <c r="W15" s="9" t="str">
        <f t="shared" si="3"/>
        <v/>
      </c>
      <c r="X15" t="s">
        <v>1616</v>
      </c>
      <c r="Y15" s="15">
        <v>39657</v>
      </c>
      <c r="AA15" t="s">
        <v>1625</v>
      </c>
      <c r="AB15" t="s">
        <v>1626</v>
      </c>
      <c r="AC15" s="17">
        <v>3</v>
      </c>
      <c r="AF15" t="str">
        <f t="shared" si="4"/>
        <v>05/05/2024</v>
      </c>
      <c r="AG15" t="str">
        <f t="shared" si="5"/>
        <v/>
      </c>
      <c r="AH15" t="str">
        <f t="shared" si="6"/>
        <v/>
      </c>
      <c r="AI15" t="str">
        <f t="shared" si="7"/>
        <v/>
      </c>
      <c r="AJ15" t="str">
        <f t="shared" si="8"/>
        <v>Not Found</v>
      </c>
      <c r="AK15" t="str">
        <f t="shared" si="9"/>
        <v>Not Found</v>
      </c>
    </row>
    <row r="16" spans="1:37" x14ac:dyDescent="0.35">
      <c r="A16" t="s">
        <v>32</v>
      </c>
      <c r="B16" t="s">
        <v>430</v>
      </c>
      <c r="C16" t="s">
        <v>638</v>
      </c>
      <c r="D16" t="str">
        <f t="shared" si="10"/>
        <v>Frances Anderson</v>
      </c>
      <c r="E16" t="str">
        <f t="shared" si="11"/>
        <v>Frances</v>
      </c>
      <c r="F16" t="str">
        <f t="shared" si="12"/>
        <v>Anderson</v>
      </c>
      <c r="G16" t="s">
        <v>1026</v>
      </c>
      <c r="H16" t="str">
        <f t="shared" si="13"/>
        <v>BI Analyst</v>
      </c>
      <c r="I16" t="s">
        <v>1029</v>
      </c>
      <c r="J16" t="str">
        <f t="shared" si="14"/>
        <v>Commercial</v>
      </c>
      <c r="K16" t="s">
        <v>1035</v>
      </c>
      <c r="L16" t="str">
        <f t="shared" si="15"/>
        <v>Yorkshire</v>
      </c>
      <c r="M16" t="s">
        <v>1044</v>
      </c>
      <c r="N16" t="s">
        <v>1046</v>
      </c>
      <c r="O16" t="str">
        <f t="shared" si="16"/>
        <v>Linkedln</v>
      </c>
      <c r="P16" t="s">
        <v>1067</v>
      </c>
      <c r="Q16" s="9">
        <f t="shared" si="0"/>
        <v>45382</v>
      </c>
      <c r="S16" s="9" t="str">
        <f t="shared" si="1"/>
        <v/>
      </c>
      <c r="U16" s="9" t="str">
        <f t="shared" si="2"/>
        <v/>
      </c>
      <c r="W16" s="9" t="str">
        <f t="shared" si="3"/>
        <v/>
      </c>
      <c r="X16" t="s">
        <v>1616</v>
      </c>
      <c r="Y16" s="15">
        <v>43984</v>
      </c>
      <c r="AA16" t="s">
        <v>1623</v>
      </c>
      <c r="AB16" t="s">
        <v>1627</v>
      </c>
      <c r="AC16" s="17">
        <v>3.9</v>
      </c>
      <c r="AF16" t="str">
        <f t="shared" si="4"/>
        <v>03-31-2024</v>
      </c>
      <c r="AG16" t="str">
        <f t="shared" si="5"/>
        <v/>
      </c>
      <c r="AH16" t="str">
        <f t="shared" si="6"/>
        <v/>
      </c>
      <c r="AI16" t="str">
        <f t="shared" si="7"/>
        <v/>
      </c>
      <c r="AJ16" t="str">
        <f t="shared" si="8"/>
        <v>Not Found</v>
      </c>
      <c r="AK16" t="str">
        <f t="shared" si="9"/>
        <v>Not Found</v>
      </c>
    </row>
    <row r="17" spans="1:37" x14ac:dyDescent="0.35">
      <c r="A17" t="s">
        <v>33</v>
      </c>
      <c r="B17" t="s">
        <v>431</v>
      </c>
      <c r="C17" t="s">
        <v>639</v>
      </c>
      <c r="D17" t="str">
        <f t="shared" si="10"/>
        <v>William Clarke</v>
      </c>
      <c r="E17" t="str">
        <f t="shared" si="11"/>
        <v>William</v>
      </c>
      <c r="F17" t="str">
        <f t="shared" si="12"/>
        <v>Clarke</v>
      </c>
      <c r="G17" t="s">
        <v>1025</v>
      </c>
      <c r="H17" t="str">
        <f t="shared" si="13"/>
        <v>Finance Analyst</v>
      </c>
      <c r="I17" t="s">
        <v>1032</v>
      </c>
      <c r="J17" t="str">
        <f t="shared" si="14"/>
        <v>Operations</v>
      </c>
      <c r="K17" t="s">
        <v>1037</v>
      </c>
      <c r="L17" t="str">
        <f t="shared" si="15"/>
        <v>East Midlands</v>
      </c>
      <c r="M17" t="s">
        <v>1041</v>
      </c>
      <c r="N17" t="s">
        <v>1051</v>
      </c>
      <c r="O17" t="str">
        <f t="shared" si="16"/>
        <v>CV Library</v>
      </c>
      <c r="P17" t="s">
        <v>1068</v>
      </c>
      <c r="Q17" s="9">
        <f t="shared" si="0"/>
        <v>45295</v>
      </c>
      <c r="S17" s="9" t="str">
        <f t="shared" si="1"/>
        <v/>
      </c>
      <c r="U17" s="9" t="str">
        <f t="shared" si="2"/>
        <v/>
      </c>
      <c r="W17" s="9" t="str">
        <f t="shared" si="3"/>
        <v/>
      </c>
      <c r="X17" t="s">
        <v>1617</v>
      </c>
      <c r="Y17" s="15">
        <v>40008</v>
      </c>
      <c r="AA17" t="s">
        <v>1622</v>
      </c>
      <c r="AB17" t="s">
        <v>1626</v>
      </c>
      <c r="AC17" s="17">
        <v>2.9</v>
      </c>
      <c r="AF17" t="str">
        <f t="shared" si="4"/>
        <v>2024/01/04</v>
      </c>
      <c r="AG17" t="str">
        <f t="shared" si="5"/>
        <v/>
      </c>
      <c r="AH17" t="str">
        <f t="shared" si="6"/>
        <v/>
      </c>
      <c r="AI17" t="str">
        <f t="shared" si="7"/>
        <v/>
      </c>
      <c r="AJ17" t="str">
        <f t="shared" si="8"/>
        <v>Not Found</v>
      </c>
      <c r="AK17" t="str">
        <f t="shared" si="9"/>
        <v>Not Found</v>
      </c>
    </row>
    <row r="18" spans="1:37" x14ac:dyDescent="0.35">
      <c r="A18" t="s">
        <v>34</v>
      </c>
      <c r="B18" t="s">
        <v>432</v>
      </c>
      <c r="C18" t="s">
        <v>640</v>
      </c>
      <c r="D18" t="str">
        <f t="shared" si="10"/>
        <v>Michelle Elliott</v>
      </c>
      <c r="E18" t="str">
        <f t="shared" si="11"/>
        <v>Michelle</v>
      </c>
      <c r="F18" t="str">
        <f t="shared" si="12"/>
        <v>Elliott</v>
      </c>
      <c r="G18" t="s">
        <v>1022</v>
      </c>
      <c r="H18" t="str">
        <f t="shared" si="13"/>
        <v>Reporting Analyst</v>
      </c>
      <c r="I18" t="s">
        <v>1029</v>
      </c>
      <c r="J18" t="str">
        <f t="shared" si="14"/>
        <v>Commercial</v>
      </c>
      <c r="K18" t="s">
        <v>1034</v>
      </c>
      <c r="L18" t="str">
        <f t="shared" si="15"/>
        <v>Scotland</v>
      </c>
      <c r="M18" t="s">
        <v>1041</v>
      </c>
      <c r="N18" t="s">
        <v>1051</v>
      </c>
      <c r="O18" t="str">
        <f t="shared" si="16"/>
        <v>CV Library</v>
      </c>
      <c r="P18" t="s">
        <v>1069</v>
      </c>
      <c r="Q18" s="9">
        <f t="shared" si="0"/>
        <v>45491</v>
      </c>
      <c r="R18" t="s">
        <v>1399</v>
      </c>
      <c r="S18" s="9">
        <f t="shared" si="1"/>
        <v>45518</v>
      </c>
      <c r="T18" t="s">
        <v>1522</v>
      </c>
      <c r="U18" s="9">
        <f t="shared" si="2"/>
        <v>45513</v>
      </c>
      <c r="V18" t="s">
        <v>1581</v>
      </c>
      <c r="W18" s="9">
        <f t="shared" si="3"/>
        <v>45540</v>
      </c>
      <c r="X18" t="s">
        <v>1620</v>
      </c>
      <c r="Y18" s="15">
        <v>43061</v>
      </c>
      <c r="Z18" s="15">
        <v>46495</v>
      </c>
      <c r="AA18" t="s">
        <v>1624</v>
      </c>
      <c r="AB18" t="s">
        <v>1626</v>
      </c>
      <c r="AC18" s="17">
        <v>4.5999999999999996</v>
      </c>
      <c r="AF18" t="str">
        <f t="shared" si="4"/>
        <v>2024/07/18</v>
      </c>
      <c r="AG18" t="str">
        <f t="shared" si="5"/>
        <v>14/08/2024</v>
      </c>
      <c r="AH18" t="str">
        <f t="shared" si="6"/>
        <v>09/08/2024</v>
      </c>
      <c r="AI18" t="str">
        <f t="shared" si="7"/>
        <v>2024/09/05</v>
      </c>
      <c r="AJ18" t="str">
        <f t="shared" si="8"/>
        <v>Not Found</v>
      </c>
      <c r="AK18" t="str">
        <f t="shared" si="9"/>
        <v>Not Found</v>
      </c>
    </row>
    <row r="19" spans="1:37" x14ac:dyDescent="0.35">
      <c r="A19" t="s">
        <v>35</v>
      </c>
      <c r="B19" t="s">
        <v>433</v>
      </c>
      <c r="C19" t="s">
        <v>641</v>
      </c>
      <c r="D19" t="str">
        <f t="shared" si="10"/>
        <v>Sally Stewart</v>
      </c>
      <c r="E19" t="str">
        <f t="shared" si="11"/>
        <v>Sally</v>
      </c>
      <c r="F19" t="str">
        <f t="shared" si="12"/>
        <v>Stewart</v>
      </c>
      <c r="G19" t="s">
        <v>1025</v>
      </c>
      <c r="H19" t="str">
        <f t="shared" si="13"/>
        <v>Finance Analyst</v>
      </c>
      <c r="I19" t="s">
        <v>1032</v>
      </c>
      <c r="J19" t="str">
        <f t="shared" si="14"/>
        <v>Operations</v>
      </c>
      <c r="K19" t="s">
        <v>1037</v>
      </c>
      <c r="L19" t="str">
        <f t="shared" si="15"/>
        <v>East Midlands</v>
      </c>
      <c r="M19" t="s">
        <v>1044</v>
      </c>
      <c r="N19" t="s">
        <v>1046</v>
      </c>
      <c r="O19" t="str">
        <f t="shared" si="16"/>
        <v>Linkedln</v>
      </c>
      <c r="P19" t="s">
        <v>1070</v>
      </c>
      <c r="Q19" s="9">
        <f t="shared" si="0"/>
        <v>45682</v>
      </c>
      <c r="S19" s="9" t="str">
        <f t="shared" si="1"/>
        <v/>
      </c>
      <c r="U19" s="9" t="str">
        <f t="shared" si="2"/>
        <v/>
      </c>
      <c r="W19" s="9" t="str">
        <f t="shared" si="3"/>
        <v/>
      </c>
      <c r="X19" t="s">
        <v>1619</v>
      </c>
      <c r="Y19" s="15">
        <v>38559</v>
      </c>
      <c r="AA19" t="s">
        <v>1621</v>
      </c>
      <c r="AB19" t="s">
        <v>1626</v>
      </c>
      <c r="AC19" s="17">
        <v>4.3</v>
      </c>
      <c r="AF19" t="str">
        <f t="shared" si="4"/>
        <v>01-25-2025</v>
      </c>
      <c r="AG19" t="str">
        <f t="shared" si="5"/>
        <v/>
      </c>
      <c r="AH19" t="str">
        <f t="shared" si="6"/>
        <v/>
      </c>
      <c r="AI19" t="str">
        <f t="shared" si="7"/>
        <v/>
      </c>
      <c r="AJ19" t="str">
        <f t="shared" si="8"/>
        <v>Not Found</v>
      </c>
      <c r="AK19" t="str">
        <f t="shared" si="9"/>
        <v>Not Found</v>
      </c>
    </row>
    <row r="20" spans="1:37" x14ac:dyDescent="0.35">
      <c r="A20" t="s">
        <v>36</v>
      </c>
      <c r="B20" t="s">
        <v>434</v>
      </c>
      <c r="C20" t="s">
        <v>642</v>
      </c>
      <c r="D20" t="str">
        <f t="shared" si="10"/>
        <v>Jacqueline Rahman</v>
      </c>
      <c r="E20" t="str">
        <f t="shared" si="11"/>
        <v>Jacqueline</v>
      </c>
      <c r="F20" t="str">
        <f t="shared" si="12"/>
        <v>Rahman</v>
      </c>
      <c r="G20" t="s">
        <v>1025</v>
      </c>
      <c r="H20" t="str">
        <f t="shared" si="13"/>
        <v>Finance Analyst</v>
      </c>
      <c r="I20" t="s">
        <v>1031</v>
      </c>
      <c r="J20" t="str">
        <f t="shared" si="14"/>
        <v>Technology</v>
      </c>
      <c r="K20" t="s">
        <v>1035</v>
      </c>
      <c r="L20" t="str">
        <f t="shared" si="15"/>
        <v>Yorkshire</v>
      </c>
      <c r="M20" t="s">
        <v>1043</v>
      </c>
      <c r="N20" t="s">
        <v>1046</v>
      </c>
      <c r="O20" t="str">
        <f t="shared" si="16"/>
        <v>Linkedln</v>
      </c>
      <c r="P20" t="s">
        <v>1071</v>
      </c>
      <c r="Q20" s="9">
        <f t="shared" si="0"/>
        <v>45545</v>
      </c>
      <c r="S20" s="9" t="str">
        <f t="shared" si="1"/>
        <v/>
      </c>
      <c r="U20" s="9" t="str">
        <f t="shared" si="2"/>
        <v/>
      </c>
      <c r="W20" s="9" t="str">
        <f t="shared" si="3"/>
        <v/>
      </c>
      <c r="X20" t="s">
        <v>1616</v>
      </c>
      <c r="Y20" s="15">
        <v>39953</v>
      </c>
      <c r="AA20" t="s">
        <v>1623</v>
      </c>
      <c r="AB20" t="s">
        <v>1628</v>
      </c>
      <c r="AC20" s="17">
        <v>2.9</v>
      </c>
      <c r="AF20" t="str">
        <f t="shared" si="4"/>
        <v>10/09/2024</v>
      </c>
      <c r="AG20" t="str">
        <f t="shared" si="5"/>
        <v/>
      </c>
      <c r="AH20" t="str">
        <f t="shared" si="6"/>
        <v/>
      </c>
      <c r="AI20" t="str">
        <f t="shared" si="7"/>
        <v/>
      </c>
      <c r="AJ20" t="str">
        <f t="shared" si="8"/>
        <v>Not Found</v>
      </c>
      <c r="AK20" t="str">
        <f t="shared" si="9"/>
        <v>Not Found</v>
      </c>
    </row>
    <row r="21" spans="1:37" x14ac:dyDescent="0.35">
      <c r="A21" t="s">
        <v>37</v>
      </c>
      <c r="B21" t="s">
        <v>435</v>
      </c>
      <c r="C21" t="s">
        <v>643</v>
      </c>
      <c r="D21" t="str">
        <f t="shared" si="10"/>
        <v>Vanessa Patterson</v>
      </c>
      <c r="E21" t="str">
        <f t="shared" si="11"/>
        <v>Vanessa</v>
      </c>
      <c r="F21" t="str">
        <f t="shared" si="12"/>
        <v>Patterson</v>
      </c>
      <c r="G21" t="s">
        <v>1025</v>
      </c>
      <c r="H21" t="str">
        <f t="shared" si="13"/>
        <v>Finance Analyst</v>
      </c>
      <c r="I21" t="s">
        <v>1031</v>
      </c>
      <c r="J21" t="str">
        <f t="shared" si="14"/>
        <v>Technology</v>
      </c>
      <c r="K21" t="s">
        <v>1034</v>
      </c>
      <c r="L21" t="str">
        <f t="shared" si="15"/>
        <v>Scotland</v>
      </c>
      <c r="M21" t="s">
        <v>1044</v>
      </c>
      <c r="N21" t="s">
        <v>1049</v>
      </c>
      <c r="O21" t="str">
        <f t="shared" si="16"/>
        <v>Indeed</v>
      </c>
      <c r="P21" t="s">
        <v>1072</v>
      </c>
      <c r="Q21" s="9">
        <f t="shared" si="0"/>
        <v>45603</v>
      </c>
      <c r="S21" s="9" t="str">
        <f t="shared" si="1"/>
        <v/>
      </c>
      <c r="U21" s="9" t="str">
        <f t="shared" si="2"/>
        <v/>
      </c>
      <c r="W21" s="9" t="str">
        <f t="shared" si="3"/>
        <v/>
      </c>
      <c r="X21" t="s">
        <v>1619</v>
      </c>
      <c r="Y21" s="15">
        <v>40400</v>
      </c>
      <c r="AA21" t="s">
        <v>1621</v>
      </c>
      <c r="AB21" t="s">
        <v>1627</v>
      </c>
      <c r="AC21" s="17">
        <v>3.3</v>
      </c>
      <c r="AF21" t="str">
        <f t="shared" si="4"/>
        <v>11-07-2024</v>
      </c>
      <c r="AG21" t="str">
        <f t="shared" si="5"/>
        <v/>
      </c>
      <c r="AH21" t="str">
        <f t="shared" si="6"/>
        <v/>
      </c>
      <c r="AI21" t="str">
        <f t="shared" si="7"/>
        <v/>
      </c>
      <c r="AJ21" t="str">
        <f t="shared" si="8"/>
        <v>Not Found</v>
      </c>
      <c r="AK21" t="str">
        <f t="shared" si="9"/>
        <v>Not Found</v>
      </c>
    </row>
    <row r="22" spans="1:37" x14ac:dyDescent="0.35">
      <c r="A22" t="s">
        <v>38</v>
      </c>
      <c r="B22" t="s">
        <v>436</v>
      </c>
      <c r="C22" t="s">
        <v>644</v>
      </c>
      <c r="D22" t="str">
        <f t="shared" si="10"/>
        <v>Amy Carpenter</v>
      </c>
      <c r="E22" t="str">
        <f t="shared" si="11"/>
        <v>Amy</v>
      </c>
      <c r="F22" t="str">
        <f t="shared" si="12"/>
        <v>Carpenter</v>
      </c>
      <c r="G22" t="s">
        <v>1027</v>
      </c>
      <c r="H22" t="str">
        <f t="shared" si="13"/>
        <v>Data Analyst</v>
      </c>
      <c r="I22" t="s">
        <v>1028</v>
      </c>
      <c r="J22" t="str">
        <f t="shared" si="14"/>
        <v>HR</v>
      </c>
      <c r="K22" t="s">
        <v>1040</v>
      </c>
      <c r="L22" t="str">
        <f t="shared" si="15"/>
        <v>North West</v>
      </c>
      <c r="M22" t="s">
        <v>1043</v>
      </c>
      <c r="N22" t="s">
        <v>1050</v>
      </c>
      <c r="O22" t="str">
        <f t="shared" si="16"/>
        <v>Reed</v>
      </c>
      <c r="P22" t="s">
        <v>1073</v>
      </c>
      <c r="Q22" s="9">
        <f t="shared" si="0"/>
        <v>45695</v>
      </c>
      <c r="S22" s="9" t="str">
        <f t="shared" si="1"/>
        <v/>
      </c>
      <c r="U22" s="9" t="str">
        <f t="shared" si="2"/>
        <v/>
      </c>
      <c r="W22" s="9" t="str">
        <f t="shared" si="3"/>
        <v/>
      </c>
      <c r="X22" t="s">
        <v>1616</v>
      </c>
      <c r="Y22" s="15">
        <v>36345</v>
      </c>
      <c r="AA22" t="s">
        <v>1621</v>
      </c>
      <c r="AB22" t="s">
        <v>1628</v>
      </c>
      <c r="AC22" s="17">
        <v>2.4</v>
      </c>
      <c r="AF22" t="str">
        <f t="shared" si="4"/>
        <v>02-07-2025</v>
      </c>
      <c r="AG22" t="str">
        <f t="shared" si="5"/>
        <v/>
      </c>
      <c r="AH22" t="str">
        <f t="shared" si="6"/>
        <v/>
      </c>
      <c r="AI22" t="str">
        <f t="shared" si="7"/>
        <v/>
      </c>
      <c r="AJ22" t="str">
        <f t="shared" si="8"/>
        <v>Not Found</v>
      </c>
      <c r="AK22" t="str">
        <f t="shared" si="9"/>
        <v>Not Found</v>
      </c>
    </row>
    <row r="23" spans="1:37" x14ac:dyDescent="0.35">
      <c r="A23" t="s">
        <v>39</v>
      </c>
      <c r="B23" t="s">
        <v>437</v>
      </c>
      <c r="C23" t="s">
        <v>645</v>
      </c>
      <c r="D23" t="str">
        <f t="shared" si="10"/>
        <v>Joshua Baker</v>
      </c>
      <c r="E23" t="str">
        <f t="shared" si="11"/>
        <v>Joshua</v>
      </c>
      <c r="F23" t="str">
        <f t="shared" si="12"/>
        <v>Baker</v>
      </c>
      <c r="G23" t="s">
        <v>1024</v>
      </c>
      <c r="H23" t="str">
        <f t="shared" si="13"/>
        <v>Business Analyst</v>
      </c>
      <c r="I23" t="s">
        <v>1032</v>
      </c>
      <c r="J23" t="str">
        <f t="shared" si="14"/>
        <v>Operations</v>
      </c>
      <c r="K23" t="s">
        <v>1038</v>
      </c>
      <c r="L23" t="str">
        <f t="shared" si="15"/>
        <v>East Midlands</v>
      </c>
      <c r="M23" t="s">
        <v>1045</v>
      </c>
      <c r="N23" t="s">
        <v>1046</v>
      </c>
      <c r="O23" t="str">
        <f t="shared" si="16"/>
        <v>Linkedln</v>
      </c>
      <c r="P23" t="s">
        <v>1074</v>
      </c>
      <c r="Q23" s="9">
        <f t="shared" si="0"/>
        <v>45742</v>
      </c>
      <c r="S23" s="9" t="str">
        <f t="shared" si="1"/>
        <v/>
      </c>
      <c r="U23" s="9" t="str">
        <f t="shared" si="2"/>
        <v/>
      </c>
      <c r="W23" s="9" t="str">
        <f t="shared" si="3"/>
        <v/>
      </c>
      <c r="X23" t="s">
        <v>1619</v>
      </c>
      <c r="Y23" s="15">
        <v>46206</v>
      </c>
      <c r="AA23" t="s">
        <v>1624</v>
      </c>
      <c r="AB23" t="s">
        <v>1628</v>
      </c>
      <c r="AF23" t="str">
        <f t="shared" si="4"/>
        <v>03-26-2025</v>
      </c>
      <c r="AG23" t="str">
        <f t="shared" si="5"/>
        <v/>
      </c>
      <c r="AH23" t="str">
        <f t="shared" si="6"/>
        <v/>
      </c>
      <c r="AI23" t="str">
        <f t="shared" si="7"/>
        <v/>
      </c>
      <c r="AJ23" t="str">
        <f t="shared" si="8"/>
        <v>Not Found</v>
      </c>
      <c r="AK23" t="str">
        <f t="shared" si="9"/>
        <v>Not Found</v>
      </c>
    </row>
    <row r="24" spans="1:37" x14ac:dyDescent="0.35">
      <c r="A24" t="s">
        <v>40</v>
      </c>
      <c r="B24" t="s">
        <v>438</v>
      </c>
      <c r="C24" t="s">
        <v>646</v>
      </c>
      <c r="D24" t="str">
        <f t="shared" si="10"/>
        <v>Stanley Flynn</v>
      </c>
      <c r="E24" t="str">
        <f t="shared" si="11"/>
        <v>Stanley</v>
      </c>
      <c r="F24" t="str">
        <f t="shared" si="12"/>
        <v>Flynn</v>
      </c>
      <c r="G24" t="s">
        <v>1022</v>
      </c>
      <c r="H24" t="str">
        <f t="shared" si="13"/>
        <v>Reporting Analyst</v>
      </c>
      <c r="I24" t="s">
        <v>1030</v>
      </c>
      <c r="J24" t="str">
        <f t="shared" si="14"/>
        <v>Finance</v>
      </c>
      <c r="K24" t="s">
        <v>1036</v>
      </c>
      <c r="L24" t="str">
        <f t="shared" si="15"/>
        <v>London</v>
      </c>
      <c r="M24" t="s">
        <v>1043</v>
      </c>
      <c r="N24" t="s">
        <v>1050</v>
      </c>
      <c r="O24" t="str">
        <f t="shared" si="16"/>
        <v>Reed</v>
      </c>
      <c r="P24" t="s">
        <v>1075</v>
      </c>
      <c r="Q24" s="9">
        <f t="shared" si="0"/>
        <v>45733</v>
      </c>
      <c r="S24" s="9" t="str">
        <f t="shared" si="1"/>
        <v/>
      </c>
      <c r="U24" s="9" t="str">
        <f t="shared" si="2"/>
        <v/>
      </c>
      <c r="W24" s="9" t="str">
        <f t="shared" si="3"/>
        <v/>
      </c>
      <c r="X24" t="s">
        <v>1616</v>
      </c>
      <c r="Y24" s="15">
        <v>31353</v>
      </c>
      <c r="AA24" t="s">
        <v>1625</v>
      </c>
      <c r="AB24" t="s">
        <v>1628</v>
      </c>
      <c r="AC24" s="17">
        <v>3.2</v>
      </c>
      <c r="AF24" t="str">
        <f t="shared" si="4"/>
        <v>2025/03/17</v>
      </c>
      <c r="AG24" t="str">
        <f t="shared" si="5"/>
        <v/>
      </c>
      <c r="AH24" t="str">
        <f t="shared" si="6"/>
        <v/>
      </c>
      <c r="AI24" t="str">
        <f t="shared" si="7"/>
        <v/>
      </c>
      <c r="AJ24" t="str">
        <f t="shared" si="8"/>
        <v>Not Found</v>
      </c>
      <c r="AK24" t="str">
        <f t="shared" si="9"/>
        <v>Not Found</v>
      </c>
    </row>
    <row r="25" spans="1:37" x14ac:dyDescent="0.35">
      <c r="A25" t="s">
        <v>41</v>
      </c>
      <c r="B25" t="s">
        <v>439</v>
      </c>
      <c r="C25" t="s">
        <v>647</v>
      </c>
      <c r="D25" t="str">
        <f t="shared" si="10"/>
        <v>Katherine Oliver</v>
      </c>
      <c r="E25" t="str">
        <f t="shared" si="11"/>
        <v>Katherine</v>
      </c>
      <c r="F25" t="str">
        <f t="shared" si="12"/>
        <v>Oliver</v>
      </c>
      <c r="G25" t="s">
        <v>1025</v>
      </c>
      <c r="H25" t="str">
        <f t="shared" si="13"/>
        <v>Finance Analyst</v>
      </c>
      <c r="I25" t="s">
        <v>1030</v>
      </c>
      <c r="J25" t="str">
        <f t="shared" si="14"/>
        <v>Finance</v>
      </c>
      <c r="K25" t="s">
        <v>1037</v>
      </c>
      <c r="L25" t="str">
        <f t="shared" si="15"/>
        <v>East Midlands</v>
      </c>
      <c r="M25" t="s">
        <v>1044</v>
      </c>
      <c r="N25" t="s">
        <v>1050</v>
      </c>
      <c r="O25" t="str">
        <f t="shared" si="16"/>
        <v>Reed</v>
      </c>
      <c r="P25" t="s">
        <v>1076</v>
      </c>
      <c r="Q25" s="9">
        <f t="shared" si="0"/>
        <v>45442</v>
      </c>
      <c r="R25" t="s">
        <v>1400</v>
      </c>
      <c r="S25" s="9">
        <f t="shared" si="1"/>
        <v>45467</v>
      </c>
      <c r="T25" t="s">
        <v>1523</v>
      </c>
      <c r="U25" s="9">
        <f t="shared" si="2"/>
        <v>45483</v>
      </c>
      <c r="W25" s="9" t="str">
        <f t="shared" si="3"/>
        <v/>
      </c>
      <c r="X25" t="s">
        <v>1618</v>
      </c>
      <c r="Y25" s="15">
        <v>40729</v>
      </c>
      <c r="Z25" s="15">
        <v>44715</v>
      </c>
      <c r="AA25" t="s">
        <v>1625</v>
      </c>
      <c r="AB25" t="s">
        <v>1628</v>
      </c>
      <c r="AC25" s="17">
        <v>3.3</v>
      </c>
      <c r="AF25" t="str">
        <f t="shared" si="4"/>
        <v>05-30-2024</v>
      </c>
      <c r="AG25" t="str">
        <f t="shared" si="5"/>
        <v>06-24-2024</v>
      </c>
      <c r="AH25" t="str">
        <f t="shared" si="6"/>
        <v>07-10-2024</v>
      </c>
      <c r="AI25" t="str">
        <f t="shared" si="7"/>
        <v/>
      </c>
      <c r="AJ25" t="str">
        <f t="shared" si="8"/>
        <v>Not Found</v>
      </c>
      <c r="AK25" t="str">
        <f t="shared" si="9"/>
        <v>Not Found</v>
      </c>
    </row>
    <row r="26" spans="1:37" x14ac:dyDescent="0.35">
      <c r="A26" t="s">
        <v>42</v>
      </c>
      <c r="B26" t="s">
        <v>440</v>
      </c>
      <c r="C26" t="s">
        <v>648</v>
      </c>
      <c r="D26" t="str">
        <f t="shared" si="10"/>
        <v>Leah Simmons</v>
      </c>
      <c r="E26" t="str">
        <f t="shared" si="11"/>
        <v>Leah</v>
      </c>
      <c r="F26" t="str">
        <f t="shared" si="12"/>
        <v>Simmons</v>
      </c>
      <c r="G26" t="s">
        <v>1025</v>
      </c>
      <c r="H26" t="str">
        <f t="shared" si="13"/>
        <v>Finance Analyst</v>
      </c>
      <c r="I26" t="s">
        <v>1030</v>
      </c>
      <c r="J26" t="str">
        <f t="shared" si="14"/>
        <v>Finance</v>
      </c>
      <c r="K26" t="s">
        <v>1038</v>
      </c>
      <c r="L26" t="str">
        <f t="shared" si="15"/>
        <v>East Midlands</v>
      </c>
      <c r="M26" t="s">
        <v>1042</v>
      </c>
      <c r="N26" t="s">
        <v>1049</v>
      </c>
      <c r="O26" t="str">
        <f t="shared" si="16"/>
        <v>Indeed</v>
      </c>
      <c r="P26" t="s">
        <v>1077</v>
      </c>
      <c r="Q26" s="9">
        <f t="shared" si="0"/>
        <v>45499</v>
      </c>
      <c r="S26" s="9" t="str">
        <f t="shared" si="1"/>
        <v/>
      </c>
      <c r="U26" s="9" t="str">
        <f t="shared" si="2"/>
        <v/>
      </c>
      <c r="W26" s="9" t="str">
        <f t="shared" si="3"/>
        <v/>
      </c>
      <c r="X26" t="s">
        <v>1617</v>
      </c>
      <c r="Y26" s="15">
        <v>40287</v>
      </c>
      <c r="AA26" t="s">
        <v>1623</v>
      </c>
      <c r="AB26" t="s">
        <v>1627</v>
      </c>
      <c r="AC26" s="17">
        <v>4.3</v>
      </c>
      <c r="AF26" t="str">
        <f t="shared" si="4"/>
        <v>26/07/2024</v>
      </c>
      <c r="AG26" t="str">
        <f t="shared" si="5"/>
        <v/>
      </c>
      <c r="AH26" t="str">
        <f t="shared" si="6"/>
        <v/>
      </c>
      <c r="AI26" t="str">
        <f t="shared" si="7"/>
        <v/>
      </c>
      <c r="AJ26" t="str">
        <f t="shared" si="8"/>
        <v>Not Found</v>
      </c>
      <c r="AK26" t="str">
        <f t="shared" si="9"/>
        <v>Not Found</v>
      </c>
    </row>
    <row r="27" spans="1:37" x14ac:dyDescent="0.35">
      <c r="A27" t="s">
        <v>43</v>
      </c>
      <c r="B27" t="s">
        <v>441</v>
      </c>
      <c r="C27" t="s">
        <v>649</v>
      </c>
      <c r="D27" t="str">
        <f t="shared" si="10"/>
        <v>Martin Bowen</v>
      </c>
      <c r="E27" t="str">
        <f t="shared" si="11"/>
        <v>Martin</v>
      </c>
      <c r="F27" t="str">
        <f t="shared" si="12"/>
        <v>Bowen</v>
      </c>
      <c r="G27" t="s">
        <v>1026</v>
      </c>
      <c r="H27" t="str">
        <f t="shared" si="13"/>
        <v>BI Analyst</v>
      </c>
      <c r="I27" t="s">
        <v>1030</v>
      </c>
      <c r="J27" t="str">
        <f t="shared" si="14"/>
        <v>Finance</v>
      </c>
      <c r="K27" t="s">
        <v>1038</v>
      </c>
      <c r="L27" t="str">
        <f t="shared" si="15"/>
        <v>East Midlands</v>
      </c>
      <c r="M27" t="s">
        <v>1041</v>
      </c>
      <c r="N27" t="s">
        <v>1050</v>
      </c>
      <c r="O27" t="str">
        <f t="shared" si="16"/>
        <v>Reed</v>
      </c>
      <c r="P27" t="s">
        <v>1078</v>
      </c>
      <c r="Q27" s="9">
        <f t="shared" si="0"/>
        <v>45769</v>
      </c>
      <c r="S27" s="9" t="str">
        <f t="shared" si="1"/>
        <v/>
      </c>
      <c r="U27" s="9" t="str">
        <f t="shared" si="2"/>
        <v/>
      </c>
      <c r="W27" s="9" t="str">
        <f t="shared" si="3"/>
        <v/>
      </c>
      <c r="X27" t="s">
        <v>1616</v>
      </c>
      <c r="Y27" s="15">
        <v>31708</v>
      </c>
      <c r="AA27" t="s">
        <v>1621</v>
      </c>
      <c r="AB27" t="s">
        <v>1626</v>
      </c>
      <c r="AC27" s="17">
        <v>4.0999999999999996</v>
      </c>
      <c r="AF27" t="str">
        <f t="shared" si="4"/>
        <v>2025/04/22</v>
      </c>
      <c r="AG27" t="str">
        <f t="shared" si="5"/>
        <v/>
      </c>
      <c r="AH27" t="str">
        <f t="shared" si="6"/>
        <v/>
      </c>
      <c r="AI27" t="str">
        <f t="shared" si="7"/>
        <v/>
      </c>
      <c r="AJ27" t="str">
        <f t="shared" si="8"/>
        <v>Not Found</v>
      </c>
      <c r="AK27" t="str">
        <f t="shared" si="9"/>
        <v>Not Found</v>
      </c>
    </row>
    <row r="28" spans="1:37" x14ac:dyDescent="0.35">
      <c r="A28" t="s">
        <v>44</v>
      </c>
      <c r="B28" t="s">
        <v>442</v>
      </c>
      <c r="C28" t="s">
        <v>650</v>
      </c>
      <c r="D28" t="str">
        <f t="shared" si="10"/>
        <v>Charlene Russell</v>
      </c>
      <c r="E28" t="str">
        <f t="shared" si="11"/>
        <v>Charlene</v>
      </c>
      <c r="F28" t="str">
        <f t="shared" si="12"/>
        <v>Russell</v>
      </c>
      <c r="G28" t="s">
        <v>1027</v>
      </c>
      <c r="H28" t="str">
        <f t="shared" si="13"/>
        <v>Data Analyst</v>
      </c>
      <c r="I28" t="s">
        <v>1029</v>
      </c>
      <c r="J28" t="str">
        <f t="shared" si="14"/>
        <v>Commercial</v>
      </c>
      <c r="K28" t="s">
        <v>1035</v>
      </c>
      <c r="L28" t="str">
        <f t="shared" si="15"/>
        <v>Yorkshire</v>
      </c>
      <c r="M28" t="s">
        <v>1042</v>
      </c>
      <c r="N28" t="s">
        <v>1050</v>
      </c>
      <c r="O28" t="str">
        <f t="shared" si="16"/>
        <v>Reed</v>
      </c>
      <c r="P28" t="s">
        <v>1079</v>
      </c>
      <c r="Q28" s="9">
        <f t="shared" si="0"/>
        <v>45679</v>
      </c>
      <c r="R28" t="s">
        <v>1291</v>
      </c>
      <c r="S28" s="9">
        <f t="shared" si="1"/>
        <v>45704</v>
      </c>
      <c r="U28" s="9" t="str">
        <f t="shared" si="2"/>
        <v/>
      </c>
      <c r="W28" s="9" t="str">
        <f t="shared" si="3"/>
        <v/>
      </c>
      <c r="X28" t="s">
        <v>1615</v>
      </c>
      <c r="Y28" s="15">
        <v>45796</v>
      </c>
      <c r="AA28" t="s">
        <v>1624</v>
      </c>
      <c r="AB28" t="s">
        <v>1627</v>
      </c>
      <c r="AC28" s="17">
        <v>4.5</v>
      </c>
      <c r="AF28" t="str">
        <f t="shared" si="4"/>
        <v>01-22-2025</v>
      </c>
      <c r="AG28" t="str">
        <f t="shared" si="5"/>
        <v>02-16-2025</v>
      </c>
      <c r="AH28" t="str">
        <f t="shared" si="6"/>
        <v/>
      </c>
      <c r="AI28" t="str">
        <f t="shared" si="7"/>
        <v/>
      </c>
      <c r="AJ28" t="str">
        <f t="shared" si="8"/>
        <v>Not Found</v>
      </c>
      <c r="AK28" t="str">
        <f t="shared" si="9"/>
        <v>Not Found</v>
      </c>
    </row>
    <row r="29" spans="1:37" x14ac:dyDescent="0.35">
      <c r="A29" t="s">
        <v>45</v>
      </c>
      <c r="B29" t="s">
        <v>443</v>
      </c>
      <c r="C29" t="s">
        <v>651</v>
      </c>
      <c r="D29" t="str">
        <f t="shared" si="10"/>
        <v>Frances Collins</v>
      </c>
      <c r="E29" t="str">
        <f t="shared" si="11"/>
        <v>Frances</v>
      </c>
      <c r="F29" t="str">
        <f t="shared" si="12"/>
        <v>Collins</v>
      </c>
      <c r="G29" t="s">
        <v>1024</v>
      </c>
      <c r="H29" t="str">
        <f t="shared" si="13"/>
        <v>Business Analyst</v>
      </c>
      <c r="I29" t="s">
        <v>1032</v>
      </c>
      <c r="J29" t="str">
        <f t="shared" si="14"/>
        <v>Operations</v>
      </c>
      <c r="K29" t="s">
        <v>1039</v>
      </c>
      <c r="L29" t="str">
        <f t="shared" si="15"/>
        <v>South East</v>
      </c>
      <c r="M29" t="s">
        <v>1044</v>
      </c>
      <c r="N29" t="s">
        <v>1049</v>
      </c>
      <c r="O29" t="str">
        <f t="shared" si="16"/>
        <v>Indeed</v>
      </c>
      <c r="P29" t="s">
        <v>1080</v>
      </c>
      <c r="Q29" s="9">
        <f t="shared" si="0"/>
        <v>45444</v>
      </c>
      <c r="S29" s="9" t="str">
        <f t="shared" si="1"/>
        <v/>
      </c>
      <c r="U29" s="9" t="str">
        <f t="shared" si="2"/>
        <v/>
      </c>
      <c r="W29" s="9" t="str">
        <f t="shared" si="3"/>
        <v/>
      </c>
      <c r="X29" t="s">
        <v>1616</v>
      </c>
      <c r="Y29" s="15">
        <v>43911</v>
      </c>
      <c r="AA29" t="s">
        <v>1625</v>
      </c>
      <c r="AB29" t="s">
        <v>1626</v>
      </c>
      <c r="AC29" s="17">
        <v>3.8</v>
      </c>
      <c r="AF29" t="str">
        <f t="shared" si="4"/>
        <v>06-01-2024</v>
      </c>
      <c r="AG29" t="str">
        <f t="shared" si="5"/>
        <v/>
      </c>
      <c r="AH29" t="str">
        <f t="shared" si="6"/>
        <v/>
      </c>
      <c r="AI29" t="str">
        <f t="shared" si="7"/>
        <v/>
      </c>
      <c r="AJ29" t="str">
        <f t="shared" si="8"/>
        <v>Not Found</v>
      </c>
      <c r="AK29" t="str">
        <f t="shared" si="9"/>
        <v>Not Found</v>
      </c>
    </row>
    <row r="30" spans="1:37" x14ac:dyDescent="0.35">
      <c r="A30" t="s">
        <v>46</v>
      </c>
      <c r="B30" t="s">
        <v>444</v>
      </c>
      <c r="C30" t="s">
        <v>652</v>
      </c>
      <c r="D30" t="str">
        <f t="shared" si="10"/>
        <v>Janice Bird</v>
      </c>
      <c r="E30" t="str">
        <f t="shared" si="11"/>
        <v>Janice</v>
      </c>
      <c r="F30" t="str">
        <f t="shared" si="12"/>
        <v>Bird</v>
      </c>
      <c r="G30" t="s">
        <v>1023</v>
      </c>
      <c r="H30" t="str">
        <f t="shared" si="13"/>
        <v>HR Analyst</v>
      </c>
      <c r="I30" t="s">
        <v>1028</v>
      </c>
      <c r="J30" t="str">
        <f t="shared" si="14"/>
        <v>HR</v>
      </c>
      <c r="K30" t="s">
        <v>1039</v>
      </c>
      <c r="L30" t="str">
        <f t="shared" si="15"/>
        <v>South East</v>
      </c>
      <c r="M30" t="s">
        <v>1043</v>
      </c>
      <c r="N30" t="s">
        <v>1052</v>
      </c>
      <c r="O30" t="str">
        <f t="shared" si="16"/>
        <v>Linkedln</v>
      </c>
      <c r="P30" t="s">
        <v>1081</v>
      </c>
      <c r="Q30" s="9">
        <f t="shared" si="0"/>
        <v>45465</v>
      </c>
      <c r="R30" t="s">
        <v>1308</v>
      </c>
      <c r="S30" s="9">
        <f t="shared" si="1"/>
        <v>45494</v>
      </c>
      <c r="T30" t="s">
        <v>1524</v>
      </c>
      <c r="U30" s="9">
        <f t="shared" si="2"/>
        <v>45507</v>
      </c>
      <c r="V30" t="s">
        <v>1463</v>
      </c>
      <c r="W30" s="9">
        <f t="shared" si="3"/>
        <v>45536</v>
      </c>
      <c r="X30" t="s">
        <v>1620</v>
      </c>
      <c r="Y30" s="15">
        <v>43892</v>
      </c>
      <c r="Z30" s="15">
        <v>43698</v>
      </c>
      <c r="AA30" t="s">
        <v>1625</v>
      </c>
      <c r="AB30" t="s">
        <v>1628</v>
      </c>
      <c r="AC30" s="17">
        <v>2.7</v>
      </c>
      <c r="AF30" t="str">
        <f t="shared" si="4"/>
        <v>2024/06/22</v>
      </c>
      <c r="AG30" t="str">
        <f t="shared" si="5"/>
        <v>2024/07/21</v>
      </c>
      <c r="AH30" t="str">
        <f t="shared" si="6"/>
        <v>03/08/2024</v>
      </c>
      <c r="AI30" t="str">
        <f t="shared" si="7"/>
        <v>2024/09/01</v>
      </c>
      <c r="AJ30" t="str">
        <f t="shared" si="8"/>
        <v>Not Found</v>
      </c>
      <c r="AK30" t="str">
        <f t="shared" si="9"/>
        <v>Not Found</v>
      </c>
    </row>
    <row r="31" spans="1:37" x14ac:dyDescent="0.35">
      <c r="A31" t="s">
        <v>47</v>
      </c>
      <c r="B31" t="s">
        <v>445</v>
      </c>
      <c r="C31" t="s">
        <v>653</v>
      </c>
      <c r="D31" t="str">
        <f t="shared" si="10"/>
        <v>Stanley Reid</v>
      </c>
      <c r="E31" t="str">
        <f t="shared" si="11"/>
        <v>Stanley</v>
      </c>
      <c r="F31" t="str">
        <f t="shared" si="12"/>
        <v>Reid</v>
      </c>
      <c r="G31" t="s">
        <v>1024</v>
      </c>
      <c r="H31" t="str">
        <f t="shared" si="13"/>
        <v>Business Analyst</v>
      </c>
      <c r="I31" t="s">
        <v>1028</v>
      </c>
      <c r="J31" t="str">
        <f t="shared" si="14"/>
        <v>HR</v>
      </c>
      <c r="K31" t="s">
        <v>1037</v>
      </c>
      <c r="L31" t="str">
        <f t="shared" si="15"/>
        <v>East Midlands</v>
      </c>
      <c r="M31" t="s">
        <v>1041</v>
      </c>
      <c r="N31" t="s">
        <v>1048</v>
      </c>
      <c r="O31" t="str">
        <f t="shared" si="16"/>
        <v>Referral</v>
      </c>
      <c r="P31" t="s">
        <v>1082</v>
      </c>
      <c r="Q31" s="9">
        <f t="shared" si="0"/>
        <v>45434</v>
      </c>
      <c r="R31" t="s">
        <v>1401</v>
      </c>
      <c r="S31" s="9">
        <f t="shared" si="1"/>
        <v>45452</v>
      </c>
      <c r="U31" s="9" t="str">
        <f t="shared" si="2"/>
        <v/>
      </c>
      <c r="W31" s="9" t="str">
        <f t="shared" si="3"/>
        <v/>
      </c>
      <c r="X31" t="s">
        <v>1615</v>
      </c>
      <c r="Y31" s="15">
        <v>31353</v>
      </c>
      <c r="AA31" t="s">
        <v>1624</v>
      </c>
      <c r="AB31" t="s">
        <v>1626</v>
      </c>
      <c r="AC31" s="17">
        <v>2.4</v>
      </c>
      <c r="AF31" t="str">
        <f t="shared" si="4"/>
        <v>2024/05/22</v>
      </c>
      <c r="AG31" t="str">
        <f t="shared" si="5"/>
        <v>2024/06/09</v>
      </c>
      <c r="AH31" t="str">
        <f t="shared" si="6"/>
        <v/>
      </c>
      <c r="AI31" t="str">
        <f t="shared" si="7"/>
        <v/>
      </c>
      <c r="AJ31" t="str">
        <f t="shared" si="8"/>
        <v>Not Found</v>
      </c>
      <c r="AK31" t="str">
        <f t="shared" si="9"/>
        <v>Not Found</v>
      </c>
    </row>
    <row r="32" spans="1:37" x14ac:dyDescent="0.35">
      <c r="A32" t="s">
        <v>48</v>
      </c>
      <c r="B32" t="s">
        <v>446</v>
      </c>
      <c r="C32" t="s">
        <v>654</v>
      </c>
      <c r="D32" t="str">
        <f t="shared" si="10"/>
        <v>Carolyn Begum</v>
      </c>
      <c r="E32" t="str">
        <f t="shared" si="11"/>
        <v>Carolyn</v>
      </c>
      <c r="F32" t="str">
        <f t="shared" si="12"/>
        <v>Begum</v>
      </c>
      <c r="G32" t="s">
        <v>1024</v>
      </c>
      <c r="H32" t="str">
        <f t="shared" si="13"/>
        <v>Business Analyst</v>
      </c>
      <c r="I32" t="s">
        <v>1029</v>
      </c>
      <c r="J32" t="str">
        <f t="shared" si="14"/>
        <v>Commercial</v>
      </c>
      <c r="K32" t="s">
        <v>1034</v>
      </c>
      <c r="L32" t="str">
        <f t="shared" si="15"/>
        <v>Scotland</v>
      </c>
      <c r="M32" t="s">
        <v>1043</v>
      </c>
      <c r="N32" t="s">
        <v>1052</v>
      </c>
      <c r="O32" t="str">
        <f t="shared" si="16"/>
        <v>Linkedln</v>
      </c>
      <c r="P32" t="s">
        <v>1083</v>
      </c>
      <c r="Q32" s="9">
        <f t="shared" si="0"/>
        <v>45473</v>
      </c>
      <c r="S32" s="9" t="str">
        <f t="shared" si="1"/>
        <v/>
      </c>
      <c r="U32" s="9" t="str">
        <f t="shared" si="2"/>
        <v/>
      </c>
      <c r="W32" s="9" t="str">
        <f t="shared" si="3"/>
        <v/>
      </c>
      <c r="X32" t="s">
        <v>1619</v>
      </c>
      <c r="Y32" s="15">
        <v>38825</v>
      </c>
      <c r="AA32" t="s">
        <v>1622</v>
      </c>
      <c r="AB32" t="s">
        <v>1626</v>
      </c>
      <c r="AC32" s="17">
        <v>4.8</v>
      </c>
      <c r="AF32" t="str">
        <f t="shared" si="4"/>
        <v>2024/06/30</v>
      </c>
      <c r="AG32" t="str">
        <f t="shared" si="5"/>
        <v/>
      </c>
      <c r="AH32" t="str">
        <f t="shared" si="6"/>
        <v/>
      </c>
      <c r="AI32" t="str">
        <f t="shared" si="7"/>
        <v/>
      </c>
      <c r="AJ32" t="str">
        <f t="shared" si="8"/>
        <v>Not Found</v>
      </c>
      <c r="AK32" t="str">
        <f t="shared" si="9"/>
        <v>Not Found</v>
      </c>
    </row>
    <row r="33" spans="1:37" x14ac:dyDescent="0.35">
      <c r="A33" t="s">
        <v>49</v>
      </c>
      <c r="B33" t="s">
        <v>447</v>
      </c>
      <c r="C33" t="s">
        <v>655</v>
      </c>
      <c r="D33" t="str">
        <f t="shared" si="10"/>
        <v>Barry Price</v>
      </c>
      <c r="E33" t="str">
        <f t="shared" si="11"/>
        <v>Barry</v>
      </c>
      <c r="F33" t="str">
        <f t="shared" si="12"/>
        <v>Price</v>
      </c>
      <c r="G33" t="s">
        <v>1022</v>
      </c>
      <c r="H33" t="str">
        <f t="shared" si="13"/>
        <v>Reporting Analyst</v>
      </c>
      <c r="I33" t="s">
        <v>1030</v>
      </c>
      <c r="J33" t="str">
        <f t="shared" si="14"/>
        <v>Finance</v>
      </c>
      <c r="K33" t="s">
        <v>1035</v>
      </c>
      <c r="L33" t="str">
        <f t="shared" si="15"/>
        <v>Yorkshire</v>
      </c>
      <c r="M33" t="s">
        <v>1041</v>
      </c>
      <c r="N33" t="s">
        <v>1047</v>
      </c>
      <c r="O33" t="str">
        <f t="shared" si="16"/>
        <v>Linkedln</v>
      </c>
      <c r="P33" t="s">
        <v>1084</v>
      </c>
      <c r="Q33" s="9">
        <f t="shared" si="0"/>
        <v>45731</v>
      </c>
      <c r="S33" s="9" t="str">
        <f t="shared" si="1"/>
        <v/>
      </c>
      <c r="U33" s="9" t="str">
        <f t="shared" si="2"/>
        <v/>
      </c>
      <c r="W33" s="9" t="str">
        <f t="shared" si="3"/>
        <v/>
      </c>
      <c r="X33" t="s">
        <v>1617</v>
      </c>
      <c r="Y33" s="15">
        <v>37727</v>
      </c>
      <c r="AA33" t="s">
        <v>1622</v>
      </c>
      <c r="AB33" t="s">
        <v>1627</v>
      </c>
      <c r="AC33" s="17">
        <v>3.1</v>
      </c>
      <c r="AF33" t="str">
        <f t="shared" si="4"/>
        <v>03-15-2025</v>
      </c>
      <c r="AG33" t="str">
        <f t="shared" si="5"/>
        <v/>
      </c>
      <c r="AH33" t="str">
        <f t="shared" si="6"/>
        <v/>
      </c>
      <c r="AI33" t="str">
        <f t="shared" si="7"/>
        <v/>
      </c>
      <c r="AJ33" t="str">
        <f t="shared" si="8"/>
        <v>Not Found</v>
      </c>
      <c r="AK33" t="str">
        <f t="shared" si="9"/>
        <v>Not Found</v>
      </c>
    </row>
    <row r="34" spans="1:37" x14ac:dyDescent="0.35">
      <c r="A34" t="s">
        <v>50</v>
      </c>
      <c r="B34" t="s">
        <v>437</v>
      </c>
      <c r="C34" t="s">
        <v>656</v>
      </c>
      <c r="D34" t="str">
        <f t="shared" si="10"/>
        <v>Ricky Mason</v>
      </c>
      <c r="E34" t="str">
        <f t="shared" si="11"/>
        <v>Ricky</v>
      </c>
      <c r="F34" t="str">
        <f t="shared" si="12"/>
        <v>Mason</v>
      </c>
      <c r="G34" t="s">
        <v>1022</v>
      </c>
      <c r="H34" t="str">
        <f t="shared" si="13"/>
        <v>Reporting Analyst</v>
      </c>
      <c r="I34" t="s">
        <v>1032</v>
      </c>
      <c r="J34" t="str">
        <f t="shared" si="14"/>
        <v>Operations</v>
      </c>
      <c r="K34" t="s">
        <v>1040</v>
      </c>
      <c r="L34" t="str">
        <f t="shared" si="15"/>
        <v>North West</v>
      </c>
      <c r="M34" t="s">
        <v>1042</v>
      </c>
      <c r="N34" t="s">
        <v>1050</v>
      </c>
      <c r="O34" t="str">
        <f t="shared" si="16"/>
        <v>Reed</v>
      </c>
      <c r="P34" t="s">
        <v>1085</v>
      </c>
      <c r="Q34" s="9">
        <f t="shared" si="0"/>
        <v>45735</v>
      </c>
      <c r="R34" t="s">
        <v>1402</v>
      </c>
      <c r="S34" s="9">
        <f t="shared" si="1"/>
        <v>45765</v>
      </c>
      <c r="U34" s="9" t="str">
        <f t="shared" si="2"/>
        <v/>
      </c>
      <c r="W34" s="9" t="str">
        <f t="shared" si="3"/>
        <v/>
      </c>
      <c r="X34" t="s">
        <v>1615</v>
      </c>
      <c r="Y34" s="15">
        <v>43908</v>
      </c>
      <c r="AA34" t="s">
        <v>1624</v>
      </c>
      <c r="AB34" t="s">
        <v>1628</v>
      </c>
      <c r="AC34" s="17">
        <v>5</v>
      </c>
      <c r="AF34" t="str">
        <f t="shared" si="4"/>
        <v>03-19-2025</v>
      </c>
      <c r="AG34" t="str">
        <f t="shared" si="5"/>
        <v>18/04/2025</v>
      </c>
      <c r="AH34" t="str">
        <f t="shared" si="6"/>
        <v/>
      </c>
      <c r="AI34" t="str">
        <f t="shared" si="7"/>
        <v/>
      </c>
      <c r="AJ34" t="str">
        <f t="shared" si="8"/>
        <v>Not Found</v>
      </c>
      <c r="AK34" t="str">
        <f t="shared" si="9"/>
        <v>Not Found</v>
      </c>
    </row>
    <row r="35" spans="1:37" x14ac:dyDescent="0.35">
      <c r="A35" t="s">
        <v>51</v>
      </c>
      <c r="B35" t="s">
        <v>448</v>
      </c>
      <c r="C35" t="s">
        <v>657</v>
      </c>
      <c r="D35" t="str">
        <f t="shared" si="10"/>
        <v>Holly Powell</v>
      </c>
      <c r="E35" t="str">
        <f t="shared" si="11"/>
        <v>Holly</v>
      </c>
      <c r="F35" t="str">
        <f t="shared" si="12"/>
        <v>Powell</v>
      </c>
      <c r="G35" t="s">
        <v>1022</v>
      </c>
      <c r="H35" t="str">
        <f t="shared" si="13"/>
        <v>Reporting Analyst</v>
      </c>
      <c r="I35" t="s">
        <v>1031</v>
      </c>
      <c r="J35" t="str">
        <f t="shared" si="14"/>
        <v>Technology</v>
      </c>
      <c r="K35" t="s">
        <v>1035</v>
      </c>
      <c r="L35" t="str">
        <f t="shared" si="15"/>
        <v>Yorkshire</v>
      </c>
      <c r="M35" t="s">
        <v>1045</v>
      </c>
      <c r="N35" t="s">
        <v>1051</v>
      </c>
      <c r="O35" t="str">
        <f t="shared" si="16"/>
        <v>CV Library</v>
      </c>
      <c r="P35" t="s">
        <v>1086</v>
      </c>
      <c r="Q35" s="9">
        <f t="shared" si="0"/>
        <v>45354</v>
      </c>
      <c r="R35" t="s">
        <v>1403</v>
      </c>
      <c r="S35" s="9">
        <f t="shared" si="1"/>
        <v>45377</v>
      </c>
      <c r="T35" t="s">
        <v>1525</v>
      </c>
      <c r="U35" s="9">
        <f t="shared" si="2"/>
        <v>45374</v>
      </c>
      <c r="V35" t="s">
        <v>1582</v>
      </c>
      <c r="W35" s="9">
        <f t="shared" si="3"/>
        <v>45404</v>
      </c>
      <c r="X35" t="s">
        <v>1620</v>
      </c>
      <c r="Y35" s="15">
        <v>38161</v>
      </c>
      <c r="Z35" s="15">
        <v>38916</v>
      </c>
      <c r="AA35" t="s">
        <v>1625</v>
      </c>
      <c r="AB35" t="s">
        <v>1628</v>
      </c>
      <c r="AC35" s="17">
        <v>2.5</v>
      </c>
      <c r="AF35" t="str">
        <f t="shared" si="4"/>
        <v>03-03-2024</v>
      </c>
      <c r="AG35" t="str">
        <f t="shared" si="5"/>
        <v>26/03/2024</v>
      </c>
      <c r="AH35" t="str">
        <f t="shared" si="6"/>
        <v>2024/03/23</v>
      </c>
      <c r="AI35" t="str">
        <f t="shared" si="7"/>
        <v>04-22-2024</v>
      </c>
      <c r="AJ35" t="str">
        <f t="shared" si="8"/>
        <v>Not Found</v>
      </c>
      <c r="AK35" t="str">
        <f t="shared" si="9"/>
        <v>Not Found</v>
      </c>
    </row>
    <row r="36" spans="1:37" x14ac:dyDescent="0.35">
      <c r="A36" t="s">
        <v>52</v>
      </c>
      <c r="B36" t="s">
        <v>419</v>
      </c>
      <c r="C36" t="s">
        <v>658</v>
      </c>
      <c r="D36" t="str">
        <f t="shared" si="10"/>
        <v>Lesley Bishop</v>
      </c>
      <c r="E36" t="str">
        <f t="shared" si="11"/>
        <v>Lesley</v>
      </c>
      <c r="F36" t="str">
        <f t="shared" si="12"/>
        <v>Bishop</v>
      </c>
      <c r="G36" t="s">
        <v>1026</v>
      </c>
      <c r="H36" t="str">
        <f t="shared" si="13"/>
        <v>BI Analyst</v>
      </c>
      <c r="I36" t="s">
        <v>1028</v>
      </c>
      <c r="J36" t="str">
        <f t="shared" si="14"/>
        <v>HR</v>
      </c>
      <c r="K36" t="s">
        <v>1034</v>
      </c>
      <c r="L36" t="str">
        <f t="shared" si="15"/>
        <v>Scotland</v>
      </c>
      <c r="M36" t="s">
        <v>1045</v>
      </c>
      <c r="N36" t="s">
        <v>1049</v>
      </c>
      <c r="O36" t="str">
        <f t="shared" si="16"/>
        <v>Indeed</v>
      </c>
      <c r="P36" t="s">
        <v>1087</v>
      </c>
      <c r="Q36" s="9">
        <f t="shared" si="0"/>
        <v>45629</v>
      </c>
      <c r="R36" t="s">
        <v>1115</v>
      </c>
      <c r="S36" s="9">
        <f t="shared" si="1"/>
        <v>45653</v>
      </c>
      <c r="T36" t="s">
        <v>1526</v>
      </c>
      <c r="U36" s="9">
        <f t="shared" si="2"/>
        <v>45671</v>
      </c>
      <c r="V36" t="s">
        <v>1583</v>
      </c>
      <c r="W36" s="9">
        <f t="shared" si="3"/>
        <v>45694</v>
      </c>
      <c r="X36" t="s">
        <v>1620</v>
      </c>
      <c r="Y36" s="15">
        <v>39128</v>
      </c>
      <c r="Z36" s="15">
        <v>39038</v>
      </c>
      <c r="AA36" t="s">
        <v>1624</v>
      </c>
      <c r="AB36" t="s">
        <v>1626</v>
      </c>
      <c r="AC36" s="17">
        <v>3.3</v>
      </c>
      <c r="AF36" t="str">
        <f t="shared" si="4"/>
        <v>03/12/2024</v>
      </c>
      <c r="AG36" t="str">
        <f t="shared" si="5"/>
        <v>12-27-2024</v>
      </c>
      <c r="AH36" t="str">
        <f t="shared" si="6"/>
        <v>2025/01/14</v>
      </c>
      <c r="AI36" t="str">
        <f t="shared" si="7"/>
        <v>06/02/2025</v>
      </c>
      <c r="AJ36" t="str">
        <f t="shared" si="8"/>
        <v>Not Found</v>
      </c>
      <c r="AK36" t="str">
        <f t="shared" si="9"/>
        <v>Not Found</v>
      </c>
    </row>
    <row r="37" spans="1:37" x14ac:dyDescent="0.35">
      <c r="A37" t="s">
        <v>53</v>
      </c>
      <c r="B37" t="s">
        <v>449</v>
      </c>
      <c r="C37" t="s">
        <v>659</v>
      </c>
      <c r="D37" t="str">
        <f t="shared" si="10"/>
        <v>Beth Spencer</v>
      </c>
      <c r="E37" t="str">
        <f t="shared" si="11"/>
        <v>Beth</v>
      </c>
      <c r="F37" t="str">
        <f t="shared" si="12"/>
        <v>Spencer</v>
      </c>
      <c r="G37" t="s">
        <v>1024</v>
      </c>
      <c r="H37" t="str">
        <f t="shared" si="13"/>
        <v>Business Analyst</v>
      </c>
      <c r="I37" t="s">
        <v>1032</v>
      </c>
      <c r="J37" t="str">
        <f t="shared" si="14"/>
        <v>Operations</v>
      </c>
      <c r="K37" t="s">
        <v>1038</v>
      </c>
      <c r="L37" t="str">
        <f t="shared" si="15"/>
        <v>East Midlands</v>
      </c>
      <c r="M37" t="s">
        <v>1042</v>
      </c>
      <c r="N37" t="s">
        <v>1050</v>
      </c>
      <c r="O37" t="str">
        <f t="shared" si="16"/>
        <v>Reed</v>
      </c>
      <c r="P37" t="s">
        <v>1088</v>
      </c>
      <c r="Q37" s="9">
        <f t="shared" si="0"/>
        <v>45503</v>
      </c>
      <c r="S37" s="9" t="str">
        <f t="shared" si="1"/>
        <v/>
      </c>
      <c r="U37" s="9" t="str">
        <f t="shared" si="2"/>
        <v/>
      </c>
      <c r="W37" s="9" t="str">
        <f t="shared" si="3"/>
        <v/>
      </c>
      <c r="X37" t="s">
        <v>1619</v>
      </c>
      <c r="Y37" s="15">
        <v>32659</v>
      </c>
      <c r="AA37" t="s">
        <v>1625</v>
      </c>
      <c r="AB37" t="s">
        <v>1628</v>
      </c>
      <c r="AC37" s="17">
        <v>2.2000000000000002</v>
      </c>
      <c r="AF37" t="str">
        <f t="shared" si="4"/>
        <v>07-30-2024</v>
      </c>
      <c r="AG37" t="str">
        <f t="shared" si="5"/>
        <v/>
      </c>
      <c r="AH37" t="str">
        <f t="shared" si="6"/>
        <v/>
      </c>
      <c r="AI37" t="str">
        <f t="shared" si="7"/>
        <v/>
      </c>
      <c r="AJ37" t="str">
        <f t="shared" si="8"/>
        <v>Not Found</v>
      </c>
      <c r="AK37" t="str">
        <f t="shared" si="9"/>
        <v>Not Found</v>
      </c>
    </row>
    <row r="38" spans="1:37" x14ac:dyDescent="0.35">
      <c r="A38" t="s">
        <v>54</v>
      </c>
      <c r="B38" t="s">
        <v>450</v>
      </c>
      <c r="C38" t="s">
        <v>660</v>
      </c>
      <c r="D38" t="str">
        <f t="shared" si="10"/>
        <v>Bryan Cunningham</v>
      </c>
      <c r="E38" t="str">
        <f t="shared" si="11"/>
        <v>Bryan</v>
      </c>
      <c r="F38" t="str">
        <f t="shared" si="12"/>
        <v>Cunningham</v>
      </c>
      <c r="G38" t="s">
        <v>1023</v>
      </c>
      <c r="H38" t="str">
        <f t="shared" si="13"/>
        <v>HR Analyst</v>
      </c>
      <c r="I38" t="s">
        <v>1028</v>
      </c>
      <c r="J38" t="str">
        <f t="shared" si="14"/>
        <v>HR</v>
      </c>
      <c r="K38" t="s">
        <v>1035</v>
      </c>
      <c r="L38" t="str">
        <f t="shared" si="15"/>
        <v>Yorkshire</v>
      </c>
      <c r="M38" t="s">
        <v>1043</v>
      </c>
      <c r="N38" t="s">
        <v>1046</v>
      </c>
      <c r="O38" t="str">
        <f t="shared" si="16"/>
        <v>Linkedln</v>
      </c>
      <c r="P38" t="s">
        <v>1089</v>
      </c>
      <c r="Q38" s="9">
        <f t="shared" si="0"/>
        <v>45543</v>
      </c>
      <c r="R38" t="s">
        <v>1404</v>
      </c>
      <c r="S38" s="9">
        <f t="shared" si="1"/>
        <v>45550</v>
      </c>
      <c r="U38" s="9" t="str">
        <f t="shared" si="2"/>
        <v/>
      </c>
      <c r="W38" s="9" t="str">
        <f t="shared" si="3"/>
        <v/>
      </c>
      <c r="X38" t="s">
        <v>1615</v>
      </c>
      <c r="Y38" s="15">
        <v>34309</v>
      </c>
      <c r="AA38" t="s">
        <v>1622</v>
      </c>
      <c r="AB38" t="s">
        <v>1627</v>
      </c>
      <c r="AC38" s="17">
        <v>2.5</v>
      </c>
      <c r="AF38" t="str">
        <f t="shared" si="4"/>
        <v>09-08-2024</v>
      </c>
      <c r="AG38" t="str">
        <f t="shared" si="5"/>
        <v>09-15-2024</v>
      </c>
      <c r="AH38" t="str">
        <f t="shared" si="6"/>
        <v/>
      </c>
      <c r="AI38" t="str">
        <f t="shared" si="7"/>
        <v/>
      </c>
      <c r="AJ38" t="str">
        <f t="shared" si="8"/>
        <v>Not Found</v>
      </c>
      <c r="AK38" t="str">
        <f t="shared" si="9"/>
        <v>Not Found</v>
      </c>
    </row>
    <row r="39" spans="1:37" x14ac:dyDescent="0.35">
      <c r="A39" t="s">
        <v>55</v>
      </c>
      <c r="B39" t="s">
        <v>451</v>
      </c>
      <c r="C39" t="s">
        <v>661</v>
      </c>
      <c r="D39" t="str">
        <f t="shared" si="10"/>
        <v>Jacqueline Bailey</v>
      </c>
      <c r="E39" t="str">
        <f t="shared" si="11"/>
        <v>Jacqueline</v>
      </c>
      <c r="F39" t="str">
        <f t="shared" si="12"/>
        <v>Bailey</v>
      </c>
      <c r="G39" t="s">
        <v>1022</v>
      </c>
      <c r="H39" t="str">
        <f t="shared" si="13"/>
        <v>Reporting Analyst</v>
      </c>
      <c r="I39" t="s">
        <v>1029</v>
      </c>
      <c r="J39" t="str">
        <f t="shared" si="14"/>
        <v>Commercial</v>
      </c>
      <c r="K39" t="s">
        <v>1037</v>
      </c>
      <c r="L39" t="str">
        <f t="shared" si="15"/>
        <v>East Midlands</v>
      </c>
      <c r="M39" t="s">
        <v>1041</v>
      </c>
      <c r="N39" t="s">
        <v>1050</v>
      </c>
      <c r="O39" t="str">
        <f t="shared" si="16"/>
        <v>Reed</v>
      </c>
      <c r="P39" t="s">
        <v>1090</v>
      </c>
      <c r="Q39" s="9">
        <f t="shared" si="0"/>
        <v>45697</v>
      </c>
      <c r="S39" s="9" t="str">
        <f t="shared" si="1"/>
        <v/>
      </c>
      <c r="U39" s="9" t="str">
        <f t="shared" si="2"/>
        <v/>
      </c>
      <c r="W39" s="9" t="str">
        <f t="shared" si="3"/>
        <v/>
      </c>
      <c r="X39" t="s">
        <v>1616</v>
      </c>
      <c r="Y39" s="15">
        <v>29123</v>
      </c>
      <c r="AA39" t="s">
        <v>1623</v>
      </c>
      <c r="AB39" t="s">
        <v>1626</v>
      </c>
      <c r="AC39" s="17">
        <v>3.6</v>
      </c>
      <c r="AF39" t="str">
        <f t="shared" si="4"/>
        <v>02-09-2025</v>
      </c>
      <c r="AG39" t="str">
        <f t="shared" si="5"/>
        <v/>
      </c>
      <c r="AH39" t="str">
        <f t="shared" si="6"/>
        <v/>
      </c>
      <c r="AI39" t="str">
        <f t="shared" si="7"/>
        <v/>
      </c>
      <c r="AJ39" t="str">
        <f t="shared" si="8"/>
        <v>Not Found</v>
      </c>
      <c r="AK39" t="str">
        <f t="shared" si="9"/>
        <v>Not Found</v>
      </c>
    </row>
    <row r="40" spans="1:37" x14ac:dyDescent="0.35">
      <c r="A40" t="s">
        <v>56</v>
      </c>
      <c r="B40" t="s">
        <v>452</v>
      </c>
      <c r="C40" t="s">
        <v>662</v>
      </c>
      <c r="D40" t="str">
        <f t="shared" si="10"/>
        <v>Rosie Lane</v>
      </c>
      <c r="E40" t="str">
        <f t="shared" si="11"/>
        <v>Rosie</v>
      </c>
      <c r="F40" t="str">
        <f t="shared" si="12"/>
        <v>Lane</v>
      </c>
      <c r="G40" t="s">
        <v>1027</v>
      </c>
      <c r="H40" t="str">
        <f t="shared" si="13"/>
        <v>Data Analyst</v>
      </c>
      <c r="I40" t="s">
        <v>1029</v>
      </c>
      <c r="J40" t="str">
        <f t="shared" si="14"/>
        <v>Commercial</v>
      </c>
      <c r="K40" t="s">
        <v>1033</v>
      </c>
      <c r="L40" t="str">
        <f t="shared" si="15"/>
        <v>Midlands</v>
      </c>
      <c r="M40" t="s">
        <v>1041</v>
      </c>
      <c r="N40" t="s">
        <v>1050</v>
      </c>
      <c r="O40" t="str">
        <f t="shared" si="16"/>
        <v>Reed</v>
      </c>
      <c r="P40" t="s">
        <v>1091</v>
      </c>
      <c r="Q40" s="9">
        <f t="shared" si="0"/>
        <v>45446</v>
      </c>
      <c r="S40" s="9" t="str">
        <f t="shared" si="1"/>
        <v/>
      </c>
      <c r="U40" s="9" t="str">
        <f t="shared" si="2"/>
        <v/>
      </c>
      <c r="W40" s="9" t="str">
        <f t="shared" si="3"/>
        <v/>
      </c>
      <c r="X40" t="s">
        <v>1616</v>
      </c>
      <c r="Y40" s="15">
        <v>44189</v>
      </c>
      <c r="AA40" t="s">
        <v>1622</v>
      </c>
      <c r="AB40" t="s">
        <v>1626</v>
      </c>
      <c r="AC40" s="17">
        <v>3.2</v>
      </c>
      <c r="AF40" t="str">
        <f t="shared" si="4"/>
        <v>06-03-2024</v>
      </c>
      <c r="AG40" t="str">
        <f t="shared" si="5"/>
        <v/>
      </c>
      <c r="AH40" t="str">
        <f t="shared" si="6"/>
        <v/>
      </c>
      <c r="AI40" t="str">
        <f t="shared" si="7"/>
        <v/>
      </c>
      <c r="AJ40" t="str">
        <f t="shared" si="8"/>
        <v>Not Found</v>
      </c>
      <c r="AK40" t="str">
        <f t="shared" si="9"/>
        <v>Not Found</v>
      </c>
    </row>
    <row r="41" spans="1:37" x14ac:dyDescent="0.35">
      <c r="A41" t="s">
        <v>57</v>
      </c>
      <c r="B41" t="s">
        <v>453</v>
      </c>
      <c r="C41" t="s">
        <v>663</v>
      </c>
      <c r="D41" t="str">
        <f t="shared" si="10"/>
        <v>Roy Jones</v>
      </c>
      <c r="E41" t="str">
        <f t="shared" si="11"/>
        <v>Roy</v>
      </c>
      <c r="F41" t="str">
        <f t="shared" si="12"/>
        <v>Jones</v>
      </c>
      <c r="G41" t="s">
        <v>1025</v>
      </c>
      <c r="H41" t="str">
        <f t="shared" si="13"/>
        <v>Finance Analyst</v>
      </c>
      <c r="I41" t="s">
        <v>1030</v>
      </c>
      <c r="J41" t="str">
        <f t="shared" si="14"/>
        <v>Finance</v>
      </c>
      <c r="K41" t="s">
        <v>1040</v>
      </c>
      <c r="L41" t="str">
        <f t="shared" si="15"/>
        <v>North West</v>
      </c>
      <c r="M41" t="s">
        <v>1045</v>
      </c>
      <c r="N41" t="s">
        <v>1046</v>
      </c>
      <c r="O41" t="str">
        <f t="shared" si="16"/>
        <v>Linkedln</v>
      </c>
      <c r="P41" t="s">
        <v>1092</v>
      </c>
      <c r="Q41" s="9">
        <f t="shared" si="0"/>
        <v>45570</v>
      </c>
      <c r="S41" s="9" t="str">
        <f t="shared" si="1"/>
        <v/>
      </c>
      <c r="U41" s="9" t="str">
        <f t="shared" si="2"/>
        <v/>
      </c>
      <c r="W41" s="9" t="str">
        <f t="shared" si="3"/>
        <v/>
      </c>
      <c r="X41" t="s">
        <v>1616</v>
      </c>
      <c r="Y41" s="15">
        <v>44526</v>
      </c>
      <c r="AA41" t="s">
        <v>1624</v>
      </c>
      <c r="AB41" t="s">
        <v>1628</v>
      </c>
      <c r="AC41" s="17">
        <v>3.2</v>
      </c>
      <c r="AF41" t="str">
        <f t="shared" si="4"/>
        <v>05/10/2024</v>
      </c>
      <c r="AG41" t="str">
        <f t="shared" si="5"/>
        <v/>
      </c>
      <c r="AH41" t="str">
        <f t="shared" si="6"/>
        <v/>
      </c>
      <c r="AI41" t="str">
        <f t="shared" si="7"/>
        <v/>
      </c>
      <c r="AJ41" t="str">
        <f t="shared" si="8"/>
        <v>Not Found</v>
      </c>
      <c r="AK41" t="str">
        <f t="shared" si="9"/>
        <v>Not Found</v>
      </c>
    </row>
    <row r="42" spans="1:37" x14ac:dyDescent="0.35">
      <c r="A42" t="s">
        <v>58</v>
      </c>
      <c r="B42" t="s">
        <v>454</v>
      </c>
      <c r="C42" t="s">
        <v>664</v>
      </c>
      <c r="D42" t="str">
        <f t="shared" si="10"/>
        <v>Lesley Hudson</v>
      </c>
      <c r="E42" t="str">
        <f t="shared" si="11"/>
        <v>Lesley</v>
      </c>
      <c r="F42" t="str">
        <f t="shared" si="12"/>
        <v>Hudson</v>
      </c>
      <c r="G42" t="s">
        <v>1025</v>
      </c>
      <c r="H42" t="str">
        <f t="shared" si="13"/>
        <v>Finance Analyst</v>
      </c>
      <c r="I42" t="s">
        <v>1028</v>
      </c>
      <c r="J42" t="str">
        <f t="shared" si="14"/>
        <v>HR</v>
      </c>
      <c r="K42" t="s">
        <v>1035</v>
      </c>
      <c r="L42" t="str">
        <f t="shared" si="15"/>
        <v>Yorkshire</v>
      </c>
      <c r="M42" t="s">
        <v>1042</v>
      </c>
      <c r="N42" t="s">
        <v>1051</v>
      </c>
      <c r="O42" t="str">
        <f t="shared" si="16"/>
        <v>CV Library</v>
      </c>
      <c r="P42" t="s">
        <v>1093</v>
      </c>
      <c r="Q42" s="9">
        <f t="shared" si="0"/>
        <v>45674</v>
      </c>
      <c r="R42" t="s">
        <v>1405</v>
      </c>
      <c r="S42" s="9">
        <f t="shared" si="1"/>
        <v>45681</v>
      </c>
      <c r="U42" s="9" t="str">
        <f t="shared" si="2"/>
        <v/>
      </c>
      <c r="W42" s="9" t="str">
        <f t="shared" si="3"/>
        <v/>
      </c>
      <c r="X42" t="s">
        <v>1615</v>
      </c>
      <c r="Y42" s="15">
        <v>50270</v>
      </c>
      <c r="AA42" t="s">
        <v>1621</v>
      </c>
      <c r="AB42" t="s">
        <v>1627</v>
      </c>
      <c r="AC42" s="17">
        <v>4.0999999999999996</v>
      </c>
      <c r="AF42" t="str">
        <f t="shared" si="4"/>
        <v>17/01/2025</v>
      </c>
      <c r="AG42" t="str">
        <f t="shared" si="5"/>
        <v>24/01/2025</v>
      </c>
      <c r="AH42" t="str">
        <f t="shared" si="6"/>
        <v/>
      </c>
      <c r="AI42" t="str">
        <f t="shared" si="7"/>
        <v/>
      </c>
      <c r="AJ42" t="str">
        <f t="shared" si="8"/>
        <v>Not Found</v>
      </c>
      <c r="AK42" t="str">
        <f t="shared" si="9"/>
        <v>Not Found</v>
      </c>
    </row>
    <row r="43" spans="1:37" x14ac:dyDescent="0.35">
      <c r="A43" t="s">
        <v>59</v>
      </c>
      <c r="B43" t="s">
        <v>455</v>
      </c>
      <c r="C43" t="s">
        <v>665</v>
      </c>
      <c r="D43" t="str">
        <f t="shared" si="10"/>
        <v>Karen Sutton</v>
      </c>
      <c r="E43" t="str">
        <f t="shared" si="11"/>
        <v>Karen</v>
      </c>
      <c r="F43" t="str">
        <f t="shared" si="12"/>
        <v>Sutton</v>
      </c>
      <c r="G43" t="s">
        <v>1025</v>
      </c>
      <c r="H43" t="str">
        <f t="shared" si="13"/>
        <v>Finance Analyst</v>
      </c>
      <c r="I43" t="s">
        <v>1032</v>
      </c>
      <c r="J43" t="str">
        <f t="shared" si="14"/>
        <v>Operations</v>
      </c>
      <c r="K43" t="s">
        <v>1034</v>
      </c>
      <c r="L43" t="str">
        <f t="shared" si="15"/>
        <v>Scotland</v>
      </c>
      <c r="M43" t="s">
        <v>1042</v>
      </c>
      <c r="N43" t="s">
        <v>1051</v>
      </c>
      <c r="O43" t="str">
        <f t="shared" si="16"/>
        <v>CV Library</v>
      </c>
      <c r="P43" t="s">
        <v>1094</v>
      </c>
      <c r="Q43" s="9">
        <f t="shared" si="0"/>
        <v>45600</v>
      </c>
      <c r="S43" s="9" t="str">
        <f t="shared" si="1"/>
        <v/>
      </c>
      <c r="U43" s="9" t="str">
        <f t="shared" si="2"/>
        <v/>
      </c>
      <c r="W43" s="9" t="str">
        <f t="shared" si="3"/>
        <v/>
      </c>
      <c r="X43" t="s">
        <v>1616</v>
      </c>
      <c r="Y43" s="15">
        <v>44498</v>
      </c>
      <c r="AA43" t="s">
        <v>1625</v>
      </c>
      <c r="AB43" t="s">
        <v>1628</v>
      </c>
      <c r="AC43" s="17">
        <v>3.6</v>
      </c>
      <c r="AF43" t="str">
        <f t="shared" si="4"/>
        <v>04/11/2024</v>
      </c>
      <c r="AG43" t="str">
        <f t="shared" si="5"/>
        <v/>
      </c>
      <c r="AH43" t="str">
        <f t="shared" si="6"/>
        <v/>
      </c>
      <c r="AI43" t="str">
        <f t="shared" si="7"/>
        <v/>
      </c>
      <c r="AJ43" t="str">
        <f t="shared" si="8"/>
        <v>Not Found</v>
      </c>
      <c r="AK43" t="str">
        <f t="shared" si="9"/>
        <v>Not Found</v>
      </c>
    </row>
    <row r="44" spans="1:37" x14ac:dyDescent="0.35">
      <c r="A44" t="s">
        <v>60</v>
      </c>
      <c r="B44" t="s">
        <v>456</v>
      </c>
      <c r="C44" t="s">
        <v>666</v>
      </c>
      <c r="D44" t="str">
        <f t="shared" si="10"/>
        <v>Rebecca Andrews</v>
      </c>
      <c r="E44" t="str">
        <f t="shared" si="11"/>
        <v>Rebecca</v>
      </c>
      <c r="F44" t="str">
        <f t="shared" si="12"/>
        <v>Andrews</v>
      </c>
      <c r="G44" t="s">
        <v>1022</v>
      </c>
      <c r="H44" t="str">
        <f t="shared" si="13"/>
        <v>Reporting Analyst</v>
      </c>
      <c r="I44" t="s">
        <v>1031</v>
      </c>
      <c r="J44" t="str">
        <f t="shared" si="14"/>
        <v>Technology</v>
      </c>
      <c r="K44" t="s">
        <v>1038</v>
      </c>
      <c r="L44" t="str">
        <f t="shared" si="15"/>
        <v>East Midlands</v>
      </c>
      <c r="M44" t="s">
        <v>1043</v>
      </c>
      <c r="N44" t="s">
        <v>1047</v>
      </c>
      <c r="O44" t="str">
        <f t="shared" si="16"/>
        <v>Linkedln</v>
      </c>
      <c r="P44" t="s">
        <v>1095</v>
      </c>
      <c r="Q44" s="9">
        <f t="shared" si="0"/>
        <v>45525</v>
      </c>
      <c r="S44" s="9" t="str">
        <f t="shared" si="1"/>
        <v/>
      </c>
      <c r="U44" s="9" t="str">
        <f t="shared" si="2"/>
        <v/>
      </c>
      <c r="W44" s="9" t="str">
        <f t="shared" si="3"/>
        <v/>
      </c>
      <c r="X44" t="s">
        <v>1619</v>
      </c>
      <c r="Y44" s="15">
        <v>33498</v>
      </c>
      <c r="AA44" t="s">
        <v>1624</v>
      </c>
      <c r="AB44" t="s">
        <v>1626</v>
      </c>
      <c r="AC44" s="17">
        <v>4.5</v>
      </c>
      <c r="AF44" t="str">
        <f t="shared" si="4"/>
        <v>08-21-2024</v>
      </c>
      <c r="AG44" t="str">
        <f t="shared" si="5"/>
        <v/>
      </c>
      <c r="AH44" t="str">
        <f t="shared" si="6"/>
        <v/>
      </c>
      <c r="AI44" t="str">
        <f t="shared" si="7"/>
        <v/>
      </c>
      <c r="AJ44" t="str">
        <f t="shared" si="8"/>
        <v>Not Found</v>
      </c>
      <c r="AK44" t="str">
        <f t="shared" si="9"/>
        <v>Not Found</v>
      </c>
    </row>
    <row r="45" spans="1:37" x14ac:dyDescent="0.35">
      <c r="A45" t="s">
        <v>61</v>
      </c>
      <c r="B45" t="s">
        <v>457</v>
      </c>
      <c r="C45" t="s">
        <v>667</v>
      </c>
      <c r="D45" t="str">
        <f t="shared" si="10"/>
        <v>Lewis Reynolds</v>
      </c>
      <c r="E45" t="str">
        <f t="shared" si="11"/>
        <v>Lewis</v>
      </c>
      <c r="F45" t="str">
        <f t="shared" si="12"/>
        <v>Reynolds</v>
      </c>
      <c r="G45" t="s">
        <v>1023</v>
      </c>
      <c r="H45" t="str">
        <f t="shared" si="13"/>
        <v>HR Analyst</v>
      </c>
      <c r="I45" t="s">
        <v>1028</v>
      </c>
      <c r="J45" t="str">
        <f t="shared" si="14"/>
        <v>HR</v>
      </c>
      <c r="K45" t="s">
        <v>1036</v>
      </c>
      <c r="L45" t="str">
        <f t="shared" si="15"/>
        <v>London</v>
      </c>
      <c r="M45" t="s">
        <v>1045</v>
      </c>
      <c r="N45" t="s">
        <v>1048</v>
      </c>
      <c r="O45" t="str">
        <f t="shared" si="16"/>
        <v>Referral</v>
      </c>
      <c r="P45" t="s">
        <v>1096</v>
      </c>
      <c r="Q45" s="9">
        <f t="shared" si="0"/>
        <v>45441</v>
      </c>
      <c r="S45" s="9" t="str">
        <f t="shared" si="1"/>
        <v/>
      </c>
      <c r="U45" s="9" t="str">
        <f t="shared" si="2"/>
        <v/>
      </c>
      <c r="W45" s="9" t="str">
        <f t="shared" si="3"/>
        <v/>
      </c>
      <c r="X45" t="s">
        <v>1616</v>
      </c>
      <c r="Y45" s="15">
        <v>44058</v>
      </c>
      <c r="AA45" t="s">
        <v>1624</v>
      </c>
      <c r="AB45" t="s">
        <v>1627</v>
      </c>
      <c r="AC45" s="17">
        <v>3.2</v>
      </c>
      <c r="AF45" t="str">
        <f t="shared" si="4"/>
        <v>05-29-2024</v>
      </c>
      <c r="AG45" t="str">
        <f t="shared" si="5"/>
        <v/>
      </c>
      <c r="AH45" t="str">
        <f t="shared" si="6"/>
        <v/>
      </c>
      <c r="AI45" t="str">
        <f t="shared" si="7"/>
        <v/>
      </c>
      <c r="AJ45" t="str">
        <f t="shared" si="8"/>
        <v>Not Found</v>
      </c>
      <c r="AK45" t="str">
        <f t="shared" si="9"/>
        <v>Not Found</v>
      </c>
    </row>
    <row r="46" spans="1:37" x14ac:dyDescent="0.35">
      <c r="A46" t="s">
        <v>62</v>
      </c>
      <c r="B46" t="s">
        <v>458</v>
      </c>
      <c r="C46" t="s">
        <v>668</v>
      </c>
      <c r="D46" t="str">
        <f t="shared" si="10"/>
        <v>Rachel Ellis</v>
      </c>
      <c r="E46" t="str">
        <f t="shared" si="11"/>
        <v>Rachel</v>
      </c>
      <c r="F46" t="str">
        <f t="shared" si="12"/>
        <v>Ellis</v>
      </c>
      <c r="G46" t="s">
        <v>1026</v>
      </c>
      <c r="H46" t="str">
        <f t="shared" si="13"/>
        <v>BI Analyst</v>
      </c>
      <c r="I46" t="s">
        <v>1032</v>
      </c>
      <c r="J46" t="str">
        <f t="shared" si="14"/>
        <v>Operations</v>
      </c>
      <c r="K46" t="s">
        <v>1039</v>
      </c>
      <c r="L46" t="str">
        <f t="shared" si="15"/>
        <v>South East</v>
      </c>
      <c r="M46" t="s">
        <v>1042</v>
      </c>
      <c r="N46" t="s">
        <v>1047</v>
      </c>
      <c r="O46" t="str">
        <f t="shared" si="16"/>
        <v>Linkedln</v>
      </c>
      <c r="P46" t="s">
        <v>1097</v>
      </c>
      <c r="Q46" s="9">
        <f t="shared" si="0"/>
        <v>45771</v>
      </c>
      <c r="S46" s="9" t="str">
        <f t="shared" si="1"/>
        <v/>
      </c>
      <c r="U46" s="9" t="str">
        <f t="shared" si="2"/>
        <v/>
      </c>
      <c r="W46" s="9" t="str">
        <f t="shared" si="3"/>
        <v/>
      </c>
      <c r="X46" t="s">
        <v>1619</v>
      </c>
      <c r="Y46" s="15">
        <v>38421</v>
      </c>
      <c r="AA46" t="s">
        <v>1625</v>
      </c>
      <c r="AB46" t="s">
        <v>1628</v>
      </c>
      <c r="AC46" s="17">
        <v>2.8</v>
      </c>
      <c r="AF46" t="str">
        <f t="shared" si="4"/>
        <v>2025/04/24</v>
      </c>
      <c r="AG46" t="str">
        <f t="shared" si="5"/>
        <v/>
      </c>
      <c r="AH46" t="str">
        <f t="shared" si="6"/>
        <v/>
      </c>
      <c r="AI46" t="str">
        <f t="shared" si="7"/>
        <v/>
      </c>
      <c r="AJ46" t="str">
        <f t="shared" si="8"/>
        <v>Not Found</v>
      </c>
      <c r="AK46" t="str">
        <f t="shared" si="9"/>
        <v>Not Found</v>
      </c>
    </row>
    <row r="47" spans="1:37" x14ac:dyDescent="0.35">
      <c r="A47" t="s">
        <v>63</v>
      </c>
      <c r="B47" t="s">
        <v>459</v>
      </c>
      <c r="C47" t="s">
        <v>669</v>
      </c>
      <c r="D47" t="str">
        <f t="shared" si="10"/>
        <v>Anthony Whittaker Griffiths</v>
      </c>
      <c r="E47" t="str">
        <f t="shared" si="11"/>
        <v>Anthony</v>
      </c>
      <c r="F47" t="str">
        <f t="shared" si="12"/>
        <v>Griffiths</v>
      </c>
      <c r="G47" t="s">
        <v>1025</v>
      </c>
      <c r="H47" t="str">
        <f t="shared" si="13"/>
        <v>Finance Analyst</v>
      </c>
      <c r="I47" t="s">
        <v>1030</v>
      </c>
      <c r="J47" t="str">
        <f t="shared" si="14"/>
        <v>Finance</v>
      </c>
      <c r="K47" t="s">
        <v>1035</v>
      </c>
      <c r="L47" t="str">
        <f t="shared" si="15"/>
        <v>Yorkshire</v>
      </c>
      <c r="M47" t="s">
        <v>1044</v>
      </c>
      <c r="N47" t="s">
        <v>1046</v>
      </c>
      <c r="O47" t="str">
        <f t="shared" si="16"/>
        <v>Linkedln</v>
      </c>
      <c r="P47" t="s">
        <v>1098</v>
      </c>
      <c r="Q47" s="9">
        <f t="shared" si="0"/>
        <v>45466</v>
      </c>
      <c r="S47" s="9" t="str">
        <f t="shared" si="1"/>
        <v/>
      </c>
      <c r="U47" s="9" t="str">
        <f t="shared" si="2"/>
        <v/>
      </c>
      <c r="W47" s="9" t="str">
        <f t="shared" si="3"/>
        <v/>
      </c>
      <c r="X47" t="s">
        <v>1617</v>
      </c>
      <c r="Y47" s="15">
        <v>29475</v>
      </c>
      <c r="AA47" t="s">
        <v>1622</v>
      </c>
      <c r="AB47" t="s">
        <v>1627</v>
      </c>
      <c r="AC47" s="17">
        <v>3.4</v>
      </c>
      <c r="AF47" t="str">
        <f t="shared" si="4"/>
        <v>06-23-2024</v>
      </c>
      <c r="AG47" t="str">
        <f t="shared" si="5"/>
        <v/>
      </c>
      <c r="AH47" t="str">
        <f t="shared" si="6"/>
        <v/>
      </c>
      <c r="AI47" t="str">
        <f t="shared" si="7"/>
        <v/>
      </c>
      <c r="AJ47" t="str">
        <f t="shared" si="8"/>
        <v>Not Found</v>
      </c>
      <c r="AK47" t="str">
        <f t="shared" si="9"/>
        <v>Not Found</v>
      </c>
    </row>
    <row r="48" spans="1:37" x14ac:dyDescent="0.35">
      <c r="A48" t="s">
        <v>64</v>
      </c>
      <c r="B48" t="s">
        <v>460</v>
      </c>
      <c r="C48" t="s">
        <v>670</v>
      </c>
      <c r="D48" t="str">
        <f t="shared" si="10"/>
        <v>Lynne Daniels</v>
      </c>
      <c r="E48" t="str">
        <f t="shared" si="11"/>
        <v>Lynne</v>
      </c>
      <c r="F48" t="str">
        <f t="shared" si="12"/>
        <v>Daniels</v>
      </c>
      <c r="G48" t="s">
        <v>1023</v>
      </c>
      <c r="H48" t="str">
        <f t="shared" si="13"/>
        <v>HR Analyst</v>
      </c>
      <c r="I48" t="s">
        <v>1032</v>
      </c>
      <c r="J48" t="str">
        <f t="shared" si="14"/>
        <v>Operations</v>
      </c>
      <c r="K48" t="s">
        <v>1033</v>
      </c>
      <c r="L48" t="str">
        <f t="shared" si="15"/>
        <v>Midlands</v>
      </c>
      <c r="M48" t="s">
        <v>1041</v>
      </c>
      <c r="N48" t="s">
        <v>1050</v>
      </c>
      <c r="O48" t="str">
        <f t="shared" si="16"/>
        <v>Reed</v>
      </c>
      <c r="P48" t="s">
        <v>1099</v>
      </c>
      <c r="Q48" s="9">
        <f t="shared" si="0"/>
        <v>45714</v>
      </c>
      <c r="S48" s="9" t="str">
        <f t="shared" si="1"/>
        <v/>
      </c>
      <c r="U48" s="9" t="str">
        <f t="shared" si="2"/>
        <v/>
      </c>
      <c r="W48" s="9" t="str">
        <f t="shared" si="3"/>
        <v/>
      </c>
      <c r="X48" t="s">
        <v>1616</v>
      </c>
      <c r="Y48" s="15">
        <v>43698</v>
      </c>
      <c r="AA48" t="s">
        <v>1624</v>
      </c>
      <c r="AB48" t="s">
        <v>1627</v>
      </c>
      <c r="AC48" s="17">
        <v>3.5</v>
      </c>
      <c r="AF48" t="str">
        <f t="shared" si="4"/>
        <v>2025/02/26</v>
      </c>
      <c r="AG48" t="str">
        <f t="shared" si="5"/>
        <v/>
      </c>
      <c r="AH48" t="str">
        <f t="shared" si="6"/>
        <v/>
      </c>
      <c r="AI48" t="str">
        <f t="shared" si="7"/>
        <v/>
      </c>
      <c r="AJ48" t="str">
        <f t="shared" si="8"/>
        <v>Not Found</v>
      </c>
      <c r="AK48" t="str">
        <f t="shared" si="9"/>
        <v>Not Found</v>
      </c>
    </row>
    <row r="49" spans="1:37" x14ac:dyDescent="0.35">
      <c r="A49" t="s">
        <v>65</v>
      </c>
      <c r="B49" t="s">
        <v>461</v>
      </c>
      <c r="C49" t="s">
        <v>671</v>
      </c>
      <c r="D49" t="str">
        <f t="shared" si="10"/>
        <v>Claire Cox</v>
      </c>
      <c r="E49" t="str">
        <f t="shared" si="11"/>
        <v>Claire</v>
      </c>
      <c r="F49" t="str">
        <f t="shared" si="12"/>
        <v>Cox</v>
      </c>
      <c r="G49" t="s">
        <v>1026</v>
      </c>
      <c r="H49" t="str">
        <f t="shared" si="13"/>
        <v>BI Analyst</v>
      </c>
      <c r="I49" t="s">
        <v>1031</v>
      </c>
      <c r="J49" t="str">
        <f t="shared" si="14"/>
        <v>Technology</v>
      </c>
      <c r="K49" t="s">
        <v>1037</v>
      </c>
      <c r="L49" t="str">
        <f t="shared" si="15"/>
        <v>East Midlands</v>
      </c>
      <c r="M49" t="s">
        <v>1042</v>
      </c>
      <c r="N49" t="s">
        <v>1046</v>
      </c>
      <c r="O49" t="str">
        <f t="shared" si="16"/>
        <v>Linkedln</v>
      </c>
      <c r="P49" t="s">
        <v>1100</v>
      </c>
      <c r="Q49" s="9">
        <f t="shared" si="0"/>
        <v>45724</v>
      </c>
      <c r="S49" s="9" t="str">
        <f t="shared" si="1"/>
        <v/>
      </c>
      <c r="U49" s="9" t="str">
        <f t="shared" si="2"/>
        <v/>
      </c>
      <c r="W49" s="9" t="str">
        <f t="shared" si="3"/>
        <v/>
      </c>
      <c r="X49" t="s">
        <v>1619</v>
      </c>
      <c r="Y49" s="15">
        <v>32416</v>
      </c>
      <c r="AA49" t="s">
        <v>1621</v>
      </c>
      <c r="AB49" t="s">
        <v>1627</v>
      </c>
      <c r="AC49" s="17">
        <v>3.8</v>
      </c>
      <c r="AF49" t="str">
        <f t="shared" si="4"/>
        <v>2025/03/08</v>
      </c>
      <c r="AG49" t="str">
        <f t="shared" si="5"/>
        <v/>
      </c>
      <c r="AH49" t="str">
        <f t="shared" si="6"/>
        <v/>
      </c>
      <c r="AI49" t="str">
        <f t="shared" si="7"/>
        <v/>
      </c>
      <c r="AJ49" t="str">
        <f t="shared" si="8"/>
        <v>Not Found</v>
      </c>
      <c r="AK49" t="str">
        <f t="shared" si="9"/>
        <v>Not Found</v>
      </c>
    </row>
    <row r="50" spans="1:37" x14ac:dyDescent="0.35">
      <c r="A50" t="s">
        <v>66</v>
      </c>
      <c r="B50" t="s">
        <v>462</v>
      </c>
      <c r="C50" t="s">
        <v>672</v>
      </c>
      <c r="D50" t="str">
        <f t="shared" si="10"/>
        <v>Hugh Pearson</v>
      </c>
      <c r="E50" t="str">
        <f t="shared" si="11"/>
        <v>Hugh</v>
      </c>
      <c r="F50" t="str">
        <f t="shared" si="12"/>
        <v>Pearson</v>
      </c>
      <c r="G50" t="s">
        <v>1024</v>
      </c>
      <c r="H50" t="str">
        <f t="shared" si="13"/>
        <v>Business Analyst</v>
      </c>
      <c r="I50" t="s">
        <v>1032</v>
      </c>
      <c r="J50" t="str">
        <f t="shared" si="14"/>
        <v>Operations</v>
      </c>
      <c r="K50" t="s">
        <v>1037</v>
      </c>
      <c r="L50" t="str">
        <f t="shared" si="15"/>
        <v>East Midlands</v>
      </c>
      <c r="M50" t="s">
        <v>1041</v>
      </c>
      <c r="N50" t="s">
        <v>1046</v>
      </c>
      <c r="O50" t="str">
        <f t="shared" si="16"/>
        <v>Linkedln</v>
      </c>
      <c r="P50" t="s">
        <v>1101</v>
      </c>
      <c r="Q50" s="9">
        <f t="shared" si="0"/>
        <v>45423</v>
      </c>
      <c r="R50" t="s">
        <v>1406</v>
      </c>
      <c r="S50" s="9">
        <f t="shared" si="1"/>
        <v>45438</v>
      </c>
      <c r="T50" t="s">
        <v>1527</v>
      </c>
      <c r="U50" s="9">
        <f t="shared" si="2"/>
        <v>45453</v>
      </c>
      <c r="V50" t="s">
        <v>1584</v>
      </c>
      <c r="W50" s="9">
        <f t="shared" si="3"/>
        <v>45486</v>
      </c>
      <c r="X50" t="s">
        <v>1620</v>
      </c>
      <c r="Y50" s="15">
        <v>42769</v>
      </c>
      <c r="Z50" s="15">
        <v>44001</v>
      </c>
      <c r="AA50" t="s">
        <v>1621</v>
      </c>
      <c r="AB50" t="s">
        <v>1627</v>
      </c>
      <c r="AC50" s="17">
        <v>2.4</v>
      </c>
      <c r="AF50" t="str">
        <f t="shared" si="4"/>
        <v>11/05/2024</v>
      </c>
      <c r="AG50" t="str">
        <f t="shared" si="5"/>
        <v>05-26-2024</v>
      </c>
      <c r="AH50" t="str">
        <f t="shared" si="6"/>
        <v>06-10-2024</v>
      </c>
      <c r="AI50" t="str">
        <f t="shared" si="7"/>
        <v>2024/07/13</v>
      </c>
      <c r="AJ50" t="str">
        <f t="shared" si="8"/>
        <v>Not Found</v>
      </c>
      <c r="AK50" t="str">
        <f t="shared" si="9"/>
        <v>Not Found</v>
      </c>
    </row>
    <row r="51" spans="1:37" x14ac:dyDescent="0.35">
      <c r="A51" t="s">
        <v>67</v>
      </c>
      <c r="B51" t="s">
        <v>463</v>
      </c>
      <c r="C51" t="s">
        <v>673</v>
      </c>
      <c r="D51" t="str">
        <f t="shared" si="10"/>
        <v>Victoria Smith</v>
      </c>
      <c r="E51" t="str">
        <f t="shared" si="11"/>
        <v>Victoria</v>
      </c>
      <c r="F51" t="str">
        <f t="shared" si="12"/>
        <v>Smith</v>
      </c>
      <c r="G51" t="s">
        <v>1023</v>
      </c>
      <c r="H51" t="str">
        <f t="shared" si="13"/>
        <v>HR Analyst</v>
      </c>
      <c r="I51" t="s">
        <v>1029</v>
      </c>
      <c r="J51" t="str">
        <f t="shared" si="14"/>
        <v>Commercial</v>
      </c>
      <c r="K51" t="s">
        <v>1038</v>
      </c>
      <c r="L51" t="str">
        <f t="shared" si="15"/>
        <v>East Midlands</v>
      </c>
      <c r="M51" t="s">
        <v>1043</v>
      </c>
      <c r="N51" t="s">
        <v>1049</v>
      </c>
      <c r="O51" t="str">
        <f t="shared" si="16"/>
        <v>Indeed</v>
      </c>
      <c r="P51" t="s">
        <v>1102</v>
      </c>
      <c r="Q51" s="9">
        <f t="shared" si="0"/>
        <v>45411</v>
      </c>
      <c r="R51" t="s">
        <v>1407</v>
      </c>
      <c r="S51" s="9">
        <f t="shared" si="1"/>
        <v>45431</v>
      </c>
      <c r="T51" t="s">
        <v>1528</v>
      </c>
      <c r="U51" s="9">
        <f t="shared" si="2"/>
        <v>45449</v>
      </c>
      <c r="W51" s="9" t="str">
        <f t="shared" si="3"/>
        <v/>
      </c>
      <c r="X51" t="s">
        <v>1618</v>
      </c>
      <c r="Y51" s="15">
        <v>32582</v>
      </c>
      <c r="Z51" s="15">
        <v>30886</v>
      </c>
      <c r="AA51" t="s">
        <v>1622</v>
      </c>
      <c r="AB51" t="s">
        <v>1628</v>
      </c>
      <c r="AC51" s="17">
        <v>4.7</v>
      </c>
      <c r="AF51" t="str">
        <f t="shared" si="4"/>
        <v>04-29-2024</v>
      </c>
      <c r="AG51" t="str">
        <f t="shared" si="5"/>
        <v>05-19-2024</v>
      </c>
      <c r="AH51" t="str">
        <f t="shared" si="6"/>
        <v>06-06-2024</v>
      </c>
      <c r="AI51" t="str">
        <f t="shared" si="7"/>
        <v/>
      </c>
      <c r="AJ51" t="str">
        <f t="shared" si="8"/>
        <v>Not Found</v>
      </c>
      <c r="AK51" t="str">
        <f t="shared" si="9"/>
        <v>Not Found</v>
      </c>
    </row>
    <row r="52" spans="1:37" x14ac:dyDescent="0.35">
      <c r="A52" t="s">
        <v>68</v>
      </c>
      <c r="B52" t="s">
        <v>460</v>
      </c>
      <c r="C52" t="s">
        <v>674</v>
      </c>
      <c r="D52" t="str">
        <f t="shared" si="10"/>
        <v>Max Johnson</v>
      </c>
      <c r="E52" t="str">
        <f t="shared" si="11"/>
        <v>Max</v>
      </c>
      <c r="F52" t="str">
        <f t="shared" si="12"/>
        <v>Johnson</v>
      </c>
      <c r="G52" t="s">
        <v>1023</v>
      </c>
      <c r="H52" t="str">
        <f t="shared" si="13"/>
        <v>HR Analyst</v>
      </c>
      <c r="I52" t="s">
        <v>1028</v>
      </c>
      <c r="J52" t="str">
        <f t="shared" si="14"/>
        <v>HR</v>
      </c>
      <c r="K52" t="s">
        <v>1036</v>
      </c>
      <c r="L52" t="str">
        <f t="shared" si="15"/>
        <v>London</v>
      </c>
      <c r="M52" t="s">
        <v>1044</v>
      </c>
      <c r="N52" t="s">
        <v>1048</v>
      </c>
      <c r="O52" t="str">
        <f t="shared" si="16"/>
        <v>Referral</v>
      </c>
      <c r="P52" t="s">
        <v>1103</v>
      </c>
      <c r="Q52" s="9">
        <f t="shared" si="0"/>
        <v>45596</v>
      </c>
      <c r="S52" s="9" t="str">
        <f t="shared" si="1"/>
        <v/>
      </c>
      <c r="U52" s="9" t="str">
        <f t="shared" si="2"/>
        <v/>
      </c>
      <c r="W52" s="9" t="str">
        <f t="shared" si="3"/>
        <v/>
      </c>
      <c r="X52" t="s">
        <v>1616</v>
      </c>
      <c r="Y52" s="15">
        <v>48670</v>
      </c>
      <c r="AA52" t="s">
        <v>1622</v>
      </c>
      <c r="AB52" t="s">
        <v>1627</v>
      </c>
      <c r="AF52" t="str">
        <f t="shared" si="4"/>
        <v>31/10/2024</v>
      </c>
      <c r="AG52" t="str">
        <f t="shared" si="5"/>
        <v/>
      </c>
      <c r="AH52" t="str">
        <f t="shared" si="6"/>
        <v/>
      </c>
      <c r="AI52" t="str">
        <f t="shared" si="7"/>
        <v/>
      </c>
      <c r="AJ52" t="str">
        <f t="shared" si="8"/>
        <v>Not Found</v>
      </c>
      <c r="AK52" t="str">
        <f t="shared" si="9"/>
        <v>Not Found</v>
      </c>
    </row>
    <row r="53" spans="1:37" x14ac:dyDescent="0.35">
      <c r="A53" t="s">
        <v>69</v>
      </c>
      <c r="B53" t="s">
        <v>464</v>
      </c>
      <c r="C53" t="s">
        <v>675</v>
      </c>
      <c r="D53" t="str">
        <f t="shared" si="10"/>
        <v>Kerry Pugh</v>
      </c>
      <c r="E53" t="str">
        <f t="shared" si="11"/>
        <v>Kerry</v>
      </c>
      <c r="F53" t="str">
        <f t="shared" si="12"/>
        <v>Pugh</v>
      </c>
      <c r="G53" t="s">
        <v>1027</v>
      </c>
      <c r="H53" t="str">
        <f t="shared" si="13"/>
        <v>Data Analyst</v>
      </c>
      <c r="I53" t="s">
        <v>1030</v>
      </c>
      <c r="J53" t="str">
        <f t="shared" si="14"/>
        <v>Finance</v>
      </c>
      <c r="K53" t="s">
        <v>1036</v>
      </c>
      <c r="L53" t="str">
        <f t="shared" si="15"/>
        <v>London</v>
      </c>
      <c r="M53" t="s">
        <v>1042</v>
      </c>
      <c r="N53" t="s">
        <v>1051</v>
      </c>
      <c r="O53" t="str">
        <f t="shared" si="16"/>
        <v>CV Library</v>
      </c>
      <c r="P53" t="s">
        <v>1104</v>
      </c>
      <c r="Q53" s="9">
        <f t="shared" si="0"/>
        <v>45785</v>
      </c>
      <c r="S53" s="9" t="str">
        <f t="shared" si="1"/>
        <v/>
      </c>
      <c r="U53" s="9" t="str">
        <f t="shared" si="2"/>
        <v/>
      </c>
      <c r="W53" s="9" t="str">
        <f t="shared" si="3"/>
        <v/>
      </c>
      <c r="X53" t="s">
        <v>1616</v>
      </c>
      <c r="Y53" s="15">
        <v>42256</v>
      </c>
      <c r="AA53" t="s">
        <v>1625</v>
      </c>
      <c r="AB53" t="s">
        <v>1626</v>
      </c>
      <c r="AC53" s="17">
        <v>4.3</v>
      </c>
      <c r="AF53" t="str">
        <f t="shared" si="4"/>
        <v>2025/05/08</v>
      </c>
      <c r="AG53" t="str">
        <f t="shared" si="5"/>
        <v/>
      </c>
      <c r="AH53" t="str">
        <f t="shared" si="6"/>
        <v/>
      </c>
      <c r="AI53" t="str">
        <f t="shared" si="7"/>
        <v/>
      </c>
      <c r="AJ53" t="str">
        <f t="shared" si="8"/>
        <v>Not Found</v>
      </c>
      <c r="AK53" t="str">
        <f t="shared" si="9"/>
        <v>Not Found</v>
      </c>
    </row>
    <row r="54" spans="1:37" x14ac:dyDescent="0.35">
      <c r="A54" t="s">
        <v>70</v>
      </c>
      <c r="B54" t="s">
        <v>465</v>
      </c>
      <c r="C54" t="s">
        <v>676</v>
      </c>
      <c r="D54" t="str">
        <f t="shared" si="10"/>
        <v>Kathryn Houghton</v>
      </c>
      <c r="E54" t="str">
        <f t="shared" si="11"/>
        <v>Kathryn</v>
      </c>
      <c r="F54" t="str">
        <f t="shared" si="12"/>
        <v>Houghton</v>
      </c>
      <c r="G54" t="s">
        <v>1023</v>
      </c>
      <c r="H54" t="str">
        <f t="shared" si="13"/>
        <v>HR Analyst</v>
      </c>
      <c r="I54" t="s">
        <v>1030</v>
      </c>
      <c r="J54" t="str">
        <f t="shared" si="14"/>
        <v>Finance</v>
      </c>
      <c r="K54" t="s">
        <v>1037</v>
      </c>
      <c r="L54" t="str">
        <f t="shared" si="15"/>
        <v>East Midlands</v>
      </c>
      <c r="M54" t="s">
        <v>1045</v>
      </c>
      <c r="N54" t="s">
        <v>1047</v>
      </c>
      <c r="O54" t="str">
        <f t="shared" si="16"/>
        <v>Linkedln</v>
      </c>
      <c r="P54" t="s">
        <v>1105</v>
      </c>
      <c r="Q54" s="9">
        <f t="shared" si="0"/>
        <v>45577</v>
      </c>
      <c r="S54" s="9" t="str">
        <f t="shared" si="1"/>
        <v/>
      </c>
      <c r="U54" s="9" t="str">
        <f t="shared" si="2"/>
        <v/>
      </c>
      <c r="W54" s="9" t="str">
        <f t="shared" si="3"/>
        <v/>
      </c>
      <c r="X54" t="s">
        <v>1616</v>
      </c>
      <c r="Y54" s="15">
        <v>42381</v>
      </c>
      <c r="AA54" t="s">
        <v>1625</v>
      </c>
      <c r="AB54" t="s">
        <v>1627</v>
      </c>
      <c r="AC54" s="17">
        <v>4</v>
      </c>
      <c r="AF54" t="str">
        <f t="shared" si="4"/>
        <v>10-12-2024</v>
      </c>
      <c r="AG54" t="str">
        <f t="shared" si="5"/>
        <v/>
      </c>
      <c r="AH54" t="str">
        <f t="shared" si="6"/>
        <v/>
      </c>
      <c r="AI54" t="str">
        <f t="shared" si="7"/>
        <v/>
      </c>
      <c r="AJ54" t="str">
        <f t="shared" si="8"/>
        <v>Not Found</v>
      </c>
      <c r="AK54" t="str">
        <f t="shared" si="9"/>
        <v>Not Found</v>
      </c>
    </row>
    <row r="55" spans="1:37" x14ac:dyDescent="0.35">
      <c r="A55" t="s">
        <v>71</v>
      </c>
      <c r="B55" t="s">
        <v>466</v>
      </c>
      <c r="C55" t="s">
        <v>677</v>
      </c>
      <c r="D55" t="str">
        <f t="shared" si="10"/>
        <v>Charlie Bennett</v>
      </c>
      <c r="E55" t="str">
        <f t="shared" si="11"/>
        <v>Charlie</v>
      </c>
      <c r="F55" t="str">
        <f t="shared" si="12"/>
        <v>Bennett</v>
      </c>
      <c r="G55" t="s">
        <v>1025</v>
      </c>
      <c r="H55" t="str">
        <f t="shared" si="13"/>
        <v>Finance Analyst</v>
      </c>
      <c r="I55" t="s">
        <v>1028</v>
      </c>
      <c r="J55" t="str">
        <f t="shared" si="14"/>
        <v>HR</v>
      </c>
      <c r="K55" t="s">
        <v>1040</v>
      </c>
      <c r="L55" t="str">
        <f t="shared" si="15"/>
        <v>North West</v>
      </c>
      <c r="M55" t="s">
        <v>1045</v>
      </c>
      <c r="N55" t="s">
        <v>1047</v>
      </c>
      <c r="O55" t="str">
        <f t="shared" si="16"/>
        <v>Linkedln</v>
      </c>
      <c r="P55" t="s">
        <v>1106</v>
      </c>
      <c r="Q55" s="9">
        <f t="shared" si="0"/>
        <v>45723</v>
      </c>
      <c r="R55" t="s">
        <v>1408</v>
      </c>
      <c r="S55" s="9">
        <f t="shared" si="1"/>
        <v>45728</v>
      </c>
      <c r="U55" s="9" t="str">
        <f t="shared" si="2"/>
        <v/>
      </c>
      <c r="W55" s="9" t="str">
        <f t="shared" si="3"/>
        <v/>
      </c>
      <c r="X55" t="s">
        <v>1615</v>
      </c>
      <c r="Y55" s="15">
        <v>32945</v>
      </c>
      <c r="AA55" t="s">
        <v>1625</v>
      </c>
      <c r="AB55" t="s">
        <v>1628</v>
      </c>
      <c r="AF55" t="str">
        <f t="shared" si="4"/>
        <v>03-07-2025</v>
      </c>
      <c r="AG55" t="str">
        <f t="shared" si="5"/>
        <v>2025/03/12</v>
      </c>
      <c r="AH55" t="str">
        <f t="shared" si="6"/>
        <v/>
      </c>
      <c r="AI55" t="str">
        <f t="shared" si="7"/>
        <v/>
      </c>
      <c r="AJ55" t="str">
        <f t="shared" si="8"/>
        <v>Not Found</v>
      </c>
      <c r="AK55" t="str">
        <f t="shared" si="9"/>
        <v>Not Found</v>
      </c>
    </row>
    <row r="56" spans="1:37" x14ac:dyDescent="0.35">
      <c r="A56" t="s">
        <v>72</v>
      </c>
      <c r="B56" t="s">
        <v>467</v>
      </c>
      <c r="C56" t="s">
        <v>678</v>
      </c>
      <c r="D56" t="str">
        <f t="shared" si="10"/>
        <v>Declan Phillips</v>
      </c>
      <c r="E56" t="str">
        <f t="shared" si="11"/>
        <v>Declan</v>
      </c>
      <c r="F56" t="str">
        <f t="shared" si="12"/>
        <v>Phillips</v>
      </c>
      <c r="G56" t="s">
        <v>1025</v>
      </c>
      <c r="H56" t="str">
        <f t="shared" si="13"/>
        <v>Finance Analyst</v>
      </c>
      <c r="I56" t="s">
        <v>1028</v>
      </c>
      <c r="J56" t="str">
        <f t="shared" si="14"/>
        <v>HR</v>
      </c>
      <c r="K56" t="s">
        <v>1035</v>
      </c>
      <c r="L56" t="str">
        <f t="shared" si="15"/>
        <v>Yorkshire</v>
      </c>
      <c r="M56" t="s">
        <v>1042</v>
      </c>
      <c r="N56" t="s">
        <v>1047</v>
      </c>
      <c r="O56" t="str">
        <f t="shared" si="16"/>
        <v>Linkedln</v>
      </c>
      <c r="P56" t="s">
        <v>1107</v>
      </c>
      <c r="Q56" s="9">
        <f t="shared" si="0"/>
        <v>45700</v>
      </c>
      <c r="S56" s="9" t="str">
        <f t="shared" si="1"/>
        <v/>
      </c>
      <c r="U56" s="9" t="str">
        <f t="shared" si="2"/>
        <v/>
      </c>
      <c r="W56" s="9" t="str">
        <f t="shared" si="3"/>
        <v/>
      </c>
      <c r="X56" t="s">
        <v>1619</v>
      </c>
      <c r="Y56" s="15">
        <v>50972</v>
      </c>
      <c r="AA56" t="s">
        <v>1621</v>
      </c>
      <c r="AB56" t="s">
        <v>1628</v>
      </c>
      <c r="AC56" s="17">
        <v>3.4</v>
      </c>
      <c r="AF56" t="str">
        <f t="shared" si="4"/>
        <v>12/02/2025</v>
      </c>
      <c r="AG56" t="str">
        <f t="shared" si="5"/>
        <v/>
      </c>
      <c r="AH56" t="str">
        <f t="shared" si="6"/>
        <v/>
      </c>
      <c r="AI56" t="str">
        <f t="shared" si="7"/>
        <v/>
      </c>
      <c r="AJ56" t="str">
        <f t="shared" si="8"/>
        <v>Not Found</v>
      </c>
      <c r="AK56" t="str">
        <f t="shared" si="9"/>
        <v>Not Found</v>
      </c>
    </row>
    <row r="57" spans="1:37" x14ac:dyDescent="0.35">
      <c r="A57" t="s">
        <v>73</v>
      </c>
      <c r="B57" t="s">
        <v>468</v>
      </c>
      <c r="C57" t="s">
        <v>679</v>
      </c>
      <c r="D57" t="str">
        <f t="shared" si="10"/>
        <v>Frances Ryan</v>
      </c>
      <c r="E57" t="str">
        <f t="shared" si="11"/>
        <v>Frances</v>
      </c>
      <c r="F57" t="str">
        <f t="shared" si="12"/>
        <v>Ryan</v>
      </c>
      <c r="G57" t="s">
        <v>1027</v>
      </c>
      <c r="H57" t="str">
        <f t="shared" si="13"/>
        <v>Data Analyst</v>
      </c>
      <c r="I57" t="s">
        <v>1030</v>
      </c>
      <c r="J57" t="str">
        <f t="shared" si="14"/>
        <v>Finance</v>
      </c>
      <c r="K57" t="s">
        <v>1039</v>
      </c>
      <c r="L57" t="str">
        <f t="shared" si="15"/>
        <v>South East</v>
      </c>
      <c r="M57" t="s">
        <v>1044</v>
      </c>
      <c r="N57" t="s">
        <v>1047</v>
      </c>
      <c r="O57" t="str">
        <f t="shared" si="16"/>
        <v>Linkedln</v>
      </c>
      <c r="P57" t="s">
        <v>1108</v>
      </c>
      <c r="Q57" s="9">
        <f t="shared" si="0"/>
        <v>45458</v>
      </c>
      <c r="S57" s="9" t="str">
        <f t="shared" si="1"/>
        <v/>
      </c>
      <c r="U57" s="9" t="str">
        <f t="shared" si="2"/>
        <v/>
      </c>
      <c r="W57" s="9" t="str">
        <f t="shared" si="3"/>
        <v/>
      </c>
      <c r="X57" t="s">
        <v>1619</v>
      </c>
      <c r="Y57" s="15">
        <v>36413</v>
      </c>
      <c r="AA57" t="s">
        <v>1625</v>
      </c>
      <c r="AB57" t="s">
        <v>1626</v>
      </c>
      <c r="AC57" s="17">
        <v>4.4000000000000004</v>
      </c>
      <c r="AF57" t="str">
        <f t="shared" si="4"/>
        <v>15/06/2024</v>
      </c>
      <c r="AG57" t="str">
        <f t="shared" si="5"/>
        <v/>
      </c>
      <c r="AH57" t="str">
        <f t="shared" si="6"/>
        <v/>
      </c>
      <c r="AI57" t="str">
        <f t="shared" si="7"/>
        <v/>
      </c>
      <c r="AJ57" t="str">
        <f t="shared" si="8"/>
        <v>Not Found</v>
      </c>
      <c r="AK57" t="str">
        <f t="shared" si="9"/>
        <v>Not Found</v>
      </c>
    </row>
    <row r="58" spans="1:37" x14ac:dyDescent="0.35">
      <c r="A58" t="s">
        <v>74</v>
      </c>
      <c r="B58" t="s">
        <v>469</v>
      </c>
      <c r="C58" t="s">
        <v>680</v>
      </c>
      <c r="D58" t="str">
        <f t="shared" si="10"/>
        <v>Shirley Russell Gill</v>
      </c>
      <c r="E58" t="str">
        <f t="shared" si="11"/>
        <v>Shirley</v>
      </c>
      <c r="F58" t="str">
        <f t="shared" si="12"/>
        <v>Gill</v>
      </c>
      <c r="G58" t="s">
        <v>1024</v>
      </c>
      <c r="H58" t="str">
        <f t="shared" si="13"/>
        <v>Business Analyst</v>
      </c>
      <c r="I58" t="s">
        <v>1029</v>
      </c>
      <c r="J58" t="str">
        <f t="shared" si="14"/>
        <v>Commercial</v>
      </c>
      <c r="K58" t="s">
        <v>1033</v>
      </c>
      <c r="L58" t="str">
        <f t="shared" si="15"/>
        <v>Midlands</v>
      </c>
      <c r="M58" t="s">
        <v>1043</v>
      </c>
      <c r="N58" t="s">
        <v>1051</v>
      </c>
      <c r="O58" t="str">
        <f t="shared" si="16"/>
        <v>CV Library</v>
      </c>
      <c r="P58" t="s">
        <v>1109</v>
      </c>
      <c r="Q58" s="9">
        <f t="shared" si="0"/>
        <v>45639</v>
      </c>
      <c r="R58" t="s">
        <v>1409</v>
      </c>
      <c r="S58" s="9">
        <f t="shared" si="1"/>
        <v>45669</v>
      </c>
      <c r="T58" t="s">
        <v>1529</v>
      </c>
      <c r="U58" s="9">
        <f t="shared" si="2"/>
        <v>45666</v>
      </c>
      <c r="W58" s="9" t="str">
        <f t="shared" si="3"/>
        <v/>
      </c>
      <c r="X58" t="s">
        <v>1618</v>
      </c>
      <c r="Y58" s="15">
        <v>50813</v>
      </c>
      <c r="Z58" s="15">
        <v>54082</v>
      </c>
      <c r="AA58" t="s">
        <v>1622</v>
      </c>
      <c r="AB58" t="s">
        <v>1626</v>
      </c>
      <c r="AC58" s="17">
        <v>4</v>
      </c>
      <c r="AF58" t="str">
        <f t="shared" si="4"/>
        <v>12-13-2024</v>
      </c>
      <c r="AG58" t="str">
        <f t="shared" si="5"/>
        <v>01-12-2025</v>
      </c>
      <c r="AH58" t="str">
        <f t="shared" si="6"/>
        <v>2025/01/09</v>
      </c>
      <c r="AI58" t="str">
        <f t="shared" si="7"/>
        <v/>
      </c>
      <c r="AJ58" t="str">
        <f t="shared" si="8"/>
        <v>Not Found</v>
      </c>
      <c r="AK58" t="str">
        <f t="shared" si="9"/>
        <v>Not Found</v>
      </c>
    </row>
    <row r="59" spans="1:37" x14ac:dyDescent="0.35">
      <c r="A59" t="s">
        <v>75</v>
      </c>
      <c r="B59" t="s">
        <v>445</v>
      </c>
      <c r="C59" t="s">
        <v>681</v>
      </c>
      <c r="D59" t="str">
        <f t="shared" si="10"/>
        <v>Donna John</v>
      </c>
      <c r="E59" t="str">
        <f t="shared" si="11"/>
        <v>Donna</v>
      </c>
      <c r="F59" t="str">
        <f t="shared" si="12"/>
        <v>John</v>
      </c>
      <c r="G59" t="s">
        <v>1022</v>
      </c>
      <c r="H59" t="str">
        <f t="shared" si="13"/>
        <v>Reporting Analyst</v>
      </c>
      <c r="I59" t="s">
        <v>1029</v>
      </c>
      <c r="J59" t="str">
        <f t="shared" si="14"/>
        <v>Commercial</v>
      </c>
      <c r="K59" t="s">
        <v>1035</v>
      </c>
      <c r="L59" t="str">
        <f t="shared" si="15"/>
        <v>Yorkshire</v>
      </c>
      <c r="M59" t="s">
        <v>1043</v>
      </c>
      <c r="N59" t="s">
        <v>1046</v>
      </c>
      <c r="O59" t="str">
        <f t="shared" si="16"/>
        <v>Linkedln</v>
      </c>
      <c r="P59" t="s">
        <v>1110</v>
      </c>
      <c r="Q59" s="9">
        <f t="shared" si="0"/>
        <v>45784</v>
      </c>
      <c r="S59" s="9" t="str">
        <f t="shared" si="1"/>
        <v/>
      </c>
      <c r="U59" s="9" t="str">
        <f t="shared" si="2"/>
        <v/>
      </c>
      <c r="W59" s="9" t="str">
        <f t="shared" si="3"/>
        <v/>
      </c>
      <c r="X59" t="s">
        <v>1619</v>
      </c>
      <c r="Y59" s="15">
        <v>29541</v>
      </c>
      <c r="AA59" t="s">
        <v>1625</v>
      </c>
      <c r="AB59" t="s">
        <v>1627</v>
      </c>
      <c r="AC59" s="17">
        <v>2.1</v>
      </c>
      <c r="AF59" t="str">
        <f t="shared" si="4"/>
        <v>05-07-2025</v>
      </c>
      <c r="AG59" t="str">
        <f t="shared" si="5"/>
        <v/>
      </c>
      <c r="AH59" t="str">
        <f t="shared" si="6"/>
        <v/>
      </c>
      <c r="AI59" t="str">
        <f t="shared" si="7"/>
        <v/>
      </c>
      <c r="AJ59" t="str">
        <f t="shared" si="8"/>
        <v>Not Found</v>
      </c>
      <c r="AK59" t="str">
        <f t="shared" si="9"/>
        <v>Not Found</v>
      </c>
    </row>
    <row r="60" spans="1:37" x14ac:dyDescent="0.35">
      <c r="A60" t="s">
        <v>76</v>
      </c>
      <c r="B60" t="s">
        <v>468</v>
      </c>
      <c r="C60" t="s">
        <v>682</v>
      </c>
      <c r="D60" t="str">
        <f t="shared" si="10"/>
        <v>Rita Burke</v>
      </c>
      <c r="E60" t="str">
        <f t="shared" si="11"/>
        <v>Rita</v>
      </c>
      <c r="F60" t="str">
        <f t="shared" si="12"/>
        <v>Burke</v>
      </c>
      <c r="G60" t="s">
        <v>1027</v>
      </c>
      <c r="H60" t="str">
        <f t="shared" si="13"/>
        <v>Data Analyst</v>
      </c>
      <c r="I60" t="s">
        <v>1030</v>
      </c>
      <c r="J60" t="str">
        <f t="shared" si="14"/>
        <v>Finance</v>
      </c>
      <c r="K60" t="s">
        <v>1035</v>
      </c>
      <c r="L60" t="str">
        <f t="shared" si="15"/>
        <v>Yorkshire</v>
      </c>
      <c r="M60" t="s">
        <v>1044</v>
      </c>
      <c r="N60" t="s">
        <v>1046</v>
      </c>
      <c r="O60" t="str">
        <f t="shared" si="16"/>
        <v>Linkedln</v>
      </c>
      <c r="P60" t="s">
        <v>1111</v>
      </c>
      <c r="Q60" s="9">
        <f t="shared" si="0"/>
        <v>45332</v>
      </c>
      <c r="R60" t="s">
        <v>1274</v>
      </c>
      <c r="S60" s="9">
        <f t="shared" si="1"/>
        <v>45349</v>
      </c>
      <c r="T60" t="s">
        <v>1530</v>
      </c>
      <c r="U60" s="9">
        <f t="shared" si="2"/>
        <v>45347</v>
      </c>
      <c r="V60" t="s">
        <v>1585</v>
      </c>
      <c r="W60" s="9">
        <f t="shared" si="3"/>
        <v>45372</v>
      </c>
      <c r="X60" t="s">
        <v>1620</v>
      </c>
      <c r="Y60" s="15">
        <v>43147</v>
      </c>
      <c r="Z60" s="15">
        <v>42406</v>
      </c>
      <c r="AA60" t="s">
        <v>1622</v>
      </c>
      <c r="AB60" t="s">
        <v>1627</v>
      </c>
      <c r="AC60" s="17">
        <v>3.1</v>
      </c>
      <c r="AF60" t="str">
        <f t="shared" si="4"/>
        <v>10/02/2024</v>
      </c>
      <c r="AG60" t="str">
        <f t="shared" si="5"/>
        <v>27/02/2024</v>
      </c>
      <c r="AH60" t="str">
        <f t="shared" si="6"/>
        <v>25/02/2024</v>
      </c>
      <c r="AI60" t="str">
        <f t="shared" si="7"/>
        <v>03-21-2024</v>
      </c>
      <c r="AJ60" t="str">
        <f t="shared" si="8"/>
        <v>Not Found</v>
      </c>
      <c r="AK60" t="str">
        <f t="shared" si="9"/>
        <v>Not Found</v>
      </c>
    </row>
    <row r="61" spans="1:37" x14ac:dyDescent="0.35">
      <c r="A61" t="s">
        <v>77</v>
      </c>
      <c r="B61" t="s">
        <v>470</v>
      </c>
      <c r="C61" t="s">
        <v>683</v>
      </c>
      <c r="D61" t="str">
        <f t="shared" si="10"/>
        <v>Barbara Tucker</v>
      </c>
      <c r="E61" t="str">
        <f t="shared" si="11"/>
        <v>Barbara</v>
      </c>
      <c r="F61" t="str">
        <f t="shared" si="12"/>
        <v>Tucker</v>
      </c>
      <c r="G61" t="s">
        <v>1026</v>
      </c>
      <c r="H61" t="str">
        <f t="shared" si="13"/>
        <v>BI Analyst</v>
      </c>
      <c r="I61" t="s">
        <v>1032</v>
      </c>
      <c r="J61" t="str">
        <f t="shared" si="14"/>
        <v>Operations</v>
      </c>
      <c r="K61" t="s">
        <v>1036</v>
      </c>
      <c r="L61" t="str">
        <f t="shared" si="15"/>
        <v>London</v>
      </c>
      <c r="M61" t="s">
        <v>1045</v>
      </c>
      <c r="N61" t="s">
        <v>1048</v>
      </c>
      <c r="O61" t="str">
        <f t="shared" si="16"/>
        <v>Referral</v>
      </c>
      <c r="P61" t="s">
        <v>1112</v>
      </c>
      <c r="Q61" s="9">
        <f t="shared" si="0"/>
        <v>45670</v>
      </c>
      <c r="S61" s="9" t="str">
        <f t="shared" si="1"/>
        <v/>
      </c>
      <c r="U61" s="9" t="str">
        <f t="shared" si="2"/>
        <v/>
      </c>
      <c r="W61" s="9" t="str">
        <f t="shared" si="3"/>
        <v/>
      </c>
      <c r="X61" t="s">
        <v>1619</v>
      </c>
      <c r="Y61" s="15">
        <v>37498</v>
      </c>
      <c r="AA61" t="s">
        <v>1624</v>
      </c>
      <c r="AB61" t="s">
        <v>1627</v>
      </c>
      <c r="AC61" s="17">
        <v>2.4</v>
      </c>
      <c r="AF61" t="str">
        <f t="shared" si="4"/>
        <v>01-13-2025</v>
      </c>
      <c r="AG61" t="str">
        <f t="shared" si="5"/>
        <v/>
      </c>
      <c r="AH61" t="str">
        <f t="shared" si="6"/>
        <v/>
      </c>
      <c r="AI61" t="str">
        <f t="shared" si="7"/>
        <v/>
      </c>
      <c r="AJ61" t="str">
        <f t="shared" si="8"/>
        <v>Not Found</v>
      </c>
      <c r="AK61" t="str">
        <f t="shared" si="9"/>
        <v>Not Found</v>
      </c>
    </row>
    <row r="62" spans="1:37" x14ac:dyDescent="0.35">
      <c r="A62" t="s">
        <v>78</v>
      </c>
      <c r="B62" t="s">
        <v>441</v>
      </c>
      <c r="C62" t="s">
        <v>684</v>
      </c>
      <c r="D62" t="str">
        <f t="shared" si="10"/>
        <v>Susan Browne Jackson</v>
      </c>
      <c r="E62" t="str">
        <f t="shared" si="11"/>
        <v>Susan</v>
      </c>
      <c r="F62" t="str">
        <f t="shared" si="12"/>
        <v>Jackson</v>
      </c>
      <c r="G62" t="s">
        <v>1023</v>
      </c>
      <c r="H62" t="str">
        <f t="shared" si="13"/>
        <v>HR Analyst</v>
      </c>
      <c r="I62" t="s">
        <v>1028</v>
      </c>
      <c r="J62" t="str">
        <f t="shared" si="14"/>
        <v>HR</v>
      </c>
      <c r="K62" t="s">
        <v>1033</v>
      </c>
      <c r="L62" t="str">
        <f t="shared" si="15"/>
        <v>Midlands</v>
      </c>
      <c r="M62" t="s">
        <v>1043</v>
      </c>
      <c r="N62" t="s">
        <v>1046</v>
      </c>
      <c r="O62" t="str">
        <f t="shared" si="16"/>
        <v>Linkedln</v>
      </c>
      <c r="P62" t="s">
        <v>1113</v>
      </c>
      <c r="Q62" s="9">
        <f t="shared" si="0"/>
        <v>45380</v>
      </c>
      <c r="S62" s="9" t="str">
        <f t="shared" si="1"/>
        <v/>
      </c>
      <c r="U62" s="9" t="str">
        <f t="shared" si="2"/>
        <v/>
      </c>
      <c r="W62" s="9" t="str">
        <f t="shared" si="3"/>
        <v/>
      </c>
      <c r="X62" t="s">
        <v>1617</v>
      </c>
      <c r="Y62" s="15">
        <v>48404</v>
      </c>
      <c r="AA62" t="s">
        <v>1625</v>
      </c>
      <c r="AB62" t="s">
        <v>1626</v>
      </c>
      <c r="AC62" s="17">
        <v>2.4</v>
      </c>
      <c r="AF62" t="str">
        <f t="shared" si="4"/>
        <v>2024/03/29</v>
      </c>
      <c r="AG62" t="str">
        <f t="shared" si="5"/>
        <v/>
      </c>
      <c r="AH62" t="str">
        <f t="shared" si="6"/>
        <v/>
      </c>
      <c r="AI62" t="str">
        <f t="shared" si="7"/>
        <v/>
      </c>
      <c r="AJ62" t="str">
        <f t="shared" si="8"/>
        <v>Not Found</v>
      </c>
      <c r="AK62" t="str">
        <f t="shared" si="9"/>
        <v>Not Found</v>
      </c>
    </row>
    <row r="63" spans="1:37" x14ac:dyDescent="0.35">
      <c r="A63" t="s">
        <v>79</v>
      </c>
      <c r="B63" t="s">
        <v>471</v>
      </c>
      <c r="C63" t="s">
        <v>685</v>
      </c>
      <c r="D63" t="str">
        <f t="shared" si="10"/>
        <v>Jeffrey Patterson</v>
      </c>
      <c r="E63" t="str">
        <f t="shared" si="11"/>
        <v>Jeffrey</v>
      </c>
      <c r="F63" t="str">
        <f t="shared" si="12"/>
        <v>Patterson</v>
      </c>
      <c r="G63" t="s">
        <v>1027</v>
      </c>
      <c r="H63" t="str">
        <f t="shared" si="13"/>
        <v>Data Analyst</v>
      </c>
      <c r="I63" t="s">
        <v>1030</v>
      </c>
      <c r="J63" t="str">
        <f t="shared" si="14"/>
        <v>Finance</v>
      </c>
      <c r="K63" t="s">
        <v>1033</v>
      </c>
      <c r="L63" t="str">
        <f t="shared" si="15"/>
        <v>Midlands</v>
      </c>
      <c r="M63" t="s">
        <v>1042</v>
      </c>
      <c r="N63" t="s">
        <v>1047</v>
      </c>
      <c r="O63" t="str">
        <f t="shared" si="16"/>
        <v>Linkedln</v>
      </c>
      <c r="P63" t="s">
        <v>1114</v>
      </c>
      <c r="Q63" s="9">
        <f t="shared" si="0"/>
        <v>45510</v>
      </c>
      <c r="S63" s="9" t="str">
        <f t="shared" si="1"/>
        <v/>
      </c>
      <c r="U63" s="9" t="str">
        <f t="shared" si="2"/>
        <v/>
      </c>
      <c r="W63" s="9" t="str">
        <f t="shared" si="3"/>
        <v/>
      </c>
      <c r="X63" t="s">
        <v>1616</v>
      </c>
      <c r="Y63" s="15">
        <v>32933</v>
      </c>
      <c r="AA63" t="s">
        <v>1621</v>
      </c>
      <c r="AB63" t="s">
        <v>1626</v>
      </c>
      <c r="AC63" s="17">
        <v>3</v>
      </c>
      <c r="AF63" t="str">
        <f t="shared" si="4"/>
        <v>2024/08/06</v>
      </c>
      <c r="AG63" t="str">
        <f t="shared" si="5"/>
        <v/>
      </c>
      <c r="AH63" t="str">
        <f t="shared" si="6"/>
        <v/>
      </c>
      <c r="AI63" t="str">
        <f t="shared" si="7"/>
        <v/>
      </c>
      <c r="AJ63" t="str">
        <f t="shared" si="8"/>
        <v>Not Found</v>
      </c>
      <c r="AK63" t="str">
        <f t="shared" si="9"/>
        <v>Not Found</v>
      </c>
    </row>
    <row r="64" spans="1:37" x14ac:dyDescent="0.35">
      <c r="A64" t="s">
        <v>80</v>
      </c>
      <c r="B64" t="s">
        <v>472</v>
      </c>
      <c r="C64" t="s">
        <v>686</v>
      </c>
      <c r="D64" t="str">
        <f t="shared" si="10"/>
        <v>Andrew Williams</v>
      </c>
      <c r="E64" t="str">
        <f t="shared" si="11"/>
        <v>Andrew</v>
      </c>
      <c r="F64" t="str">
        <f t="shared" si="12"/>
        <v>Williams</v>
      </c>
      <c r="G64" t="s">
        <v>1027</v>
      </c>
      <c r="H64" t="str">
        <f t="shared" si="13"/>
        <v>Data Analyst</v>
      </c>
      <c r="I64" t="s">
        <v>1028</v>
      </c>
      <c r="J64" t="str">
        <f t="shared" si="14"/>
        <v>HR</v>
      </c>
      <c r="K64" t="s">
        <v>1039</v>
      </c>
      <c r="L64" t="str">
        <f t="shared" si="15"/>
        <v>South East</v>
      </c>
      <c r="M64" t="s">
        <v>1042</v>
      </c>
      <c r="N64" t="s">
        <v>1049</v>
      </c>
      <c r="O64" t="str">
        <f t="shared" si="16"/>
        <v>Indeed</v>
      </c>
      <c r="P64" t="s">
        <v>1115</v>
      </c>
      <c r="Q64" s="9">
        <f t="shared" si="0"/>
        <v>45653</v>
      </c>
      <c r="S64" s="9" t="str">
        <f t="shared" si="1"/>
        <v/>
      </c>
      <c r="U64" s="9" t="str">
        <f t="shared" si="2"/>
        <v/>
      </c>
      <c r="W64" s="9" t="str">
        <f t="shared" si="3"/>
        <v/>
      </c>
      <c r="X64" t="s">
        <v>1616</v>
      </c>
      <c r="Y64" s="15">
        <v>38199</v>
      </c>
      <c r="AA64" t="s">
        <v>1623</v>
      </c>
      <c r="AB64" t="s">
        <v>1627</v>
      </c>
      <c r="AC64" s="17">
        <v>2.6</v>
      </c>
      <c r="AF64" t="str">
        <f t="shared" si="4"/>
        <v>12-27-2024</v>
      </c>
      <c r="AG64" t="str">
        <f t="shared" si="5"/>
        <v/>
      </c>
      <c r="AH64" t="str">
        <f t="shared" si="6"/>
        <v/>
      </c>
      <c r="AI64" t="str">
        <f t="shared" si="7"/>
        <v/>
      </c>
      <c r="AJ64" t="str">
        <f t="shared" si="8"/>
        <v>Not Found</v>
      </c>
      <c r="AK64" t="str">
        <f t="shared" si="9"/>
        <v>Not Found</v>
      </c>
    </row>
    <row r="65" spans="1:37" x14ac:dyDescent="0.35">
      <c r="A65" t="s">
        <v>81</v>
      </c>
      <c r="B65" t="s">
        <v>473</v>
      </c>
      <c r="C65" t="s">
        <v>687</v>
      </c>
      <c r="D65" t="str">
        <f t="shared" si="10"/>
        <v>Jamie Carey</v>
      </c>
      <c r="E65" t="str">
        <f t="shared" si="11"/>
        <v>Jamie</v>
      </c>
      <c r="F65" t="str">
        <f t="shared" si="12"/>
        <v>Carey</v>
      </c>
      <c r="G65" t="s">
        <v>1023</v>
      </c>
      <c r="H65" t="str">
        <f t="shared" si="13"/>
        <v>HR Analyst</v>
      </c>
      <c r="I65" t="s">
        <v>1031</v>
      </c>
      <c r="J65" t="str">
        <f t="shared" si="14"/>
        <v>Technology</v>
      </c>
      <c r="K65" t="s">
        <v>1033</v>
      </c>
      <c r="L65" t="str">
        <f t="shared" si="15"/>
        <v>Midlands</v>
      </c>
      <c r="M65" t="s">
        <v>1044</v>
      </c>
      <c r="N65" t="s">
        <v>1048</v>
      </c>
      <c r="O65" t="str">
        <f t="shared" si="16"/>
        <v>Referral</v>
      </c>
      <c r="P65" t="s">
        <v>1116</v>
      </c>
      <c r="Q65" s="9">
        <f t="shared" si="0"/>
        <v>45533</v>
      </c>
      <c r="S65" s="9" t="str">
        <f t="shared" si="1"/>
        <v/>
      </c>
      <c r="U65" s="9" t="str">
        <f t="shared" si="2"/>
        <v/>
      </c>
      <c r="W65" s="9" t="str">
        <f t="shared" si="3"/>
        <v/>
      </c>
      <c r="X65" t="s">
        <v>1619</v>
      </c>
      <c r="Y65" s="15">
        <v>41832</v>
      </c>
      <c r="AA65" t="s">
        <v>1625</v>
      </c>
      <c r="AB65" t="s">
        <v>1626</v>
      </c>
      <c r="AC65" s="17">
        <v>4.4000000000000004</v>
      </c>
      <c r="AF65" t="str">
        <f t="shared" si="4"/>
        <v>29/08/2024</v>
      </c>
      <c r="AG65" t="str">
        <f t="shared" si="5"/>
        <v/>
      </c>
      <c r="AH65" t="str">
        <f t="shared" si="6"/>
        <v/>
      </c>
      <c r="AI65" t="str">
        <f t="shared" si="7"/>
        <v/>
      </c>
      <c r="AJ65" t="str">
        <f t="shared" si="8"/>
        <v>Not Found</v>
      </c>
      <c r="AK65" t="str">
        <f t="shared" si="9"/>
        <v>Not Found</v>
      </c>
    </row>
    <row r="66" spans="1:37" x14ac:dyDescent="0.35">
      <c r="A66" t="s">
        <v>82</v>
      </c>
      <c r="B66" t="s">
        <v>474</v>
      </c>
      <c r="C66" t="s">
        <v>688</v>
      </c>
      <c r="D66" t="str">
        <f t="shared" si="10"/>
        <v>Leonard Lloyd</v>
      </c>
      <c r="E66" t="str">
        <f t="shared" si="11"/>
        <v>Leonard</v>
      </c>
      <c r="F66" t="str">
        <f t="shared" si="12"/>
        <v>Lloyd</v>
      </c>
      <c r="G66" t="s">
        <v>1025</v>
      </c>
      <c r="H66" t="str">
        <f t="shared" si="13"/>
        <v>Finance Analyst</v>
      </c>
      <c r="I66" t="s">
        <v>1029</v>
      </c>
      <c r="J66" t="str">
        <f t="shared" si="14"/>
        <v>Commercial</v>
      </c>
      <c r="K66" t="s">
        <v>1039</v>
      </c>
      <c r="L66" t="str">
        <f t="shared" si="15"/>
        <v>South East</v>
      </c>
      <c r="M66" t="s">
        <v>1043</v>
      </c>
      <c r="N66" t="s">
        <v>1046</v>
      </c>
      <c r="O66" t="str">
        <f t="shared" si="16"/>
        <v>Linkedln</v>
      </c>
      <c r="P66" t="s">
        <v>1117</v>
      </c>
      <c r="Q66" s="9">
        <f t="shared" ref="Q66:Q129" si="17">IF(IFERROR(FIND("-",AF66),0)=3,DATE(RIGHT(AF66,4),LEFT(AF66,2),MID(AF66,4,2)), IF(IFERROR(FIND("/",AF66)=5,0), DATE(LEFT(AF66,4),MID(AF66,6,2),RIGHT(AF66,2)), DATE(RIGHT(AF66,4), MID(AF66,4,2), LEFT(AF66,2))))</f>
        <v>45359</v>
      </c>
      <c r="R66" t="s">
        <v>1067</v>
      </c>
      <c r="S66" s="9">
        <f t="shared" ref="S66:S129" si="18">IFERROR( IF(IFERROR(FIND("-",AG66),0)=3, DATE(RIGHT(AG66,4),LEFT(AG66,2),MID(AG66,4,2)),  IF(IFERROR(FIND("/",AG66)=5,0), DATE(LEFT(AG66,4),MID(AG66,6,2),RIGHT(AG66,2)), DATE(RIGHT(AG66,4), MID(AG66,4,2), LEFT(AG66,2)))),"")</f>
        <v>45382</v>
      </c>
      <c r="T66" t="s">
        <v>1531</v>
      </c>
      <c r="U66" s="9">
        <f t="shared" ref="U66:U129" si="19">IFERROR( IF(IFERROR(FIND("-",AH66),0)=3, DATE(RIGHT(AH66,4),LEFT(AH66,2),MID(AH66,4,2)),  IF(IFERROR(FIND("/",AH66)=5,0), DATE(LEFT(AH66,4),MID(AH66,6,2),RIGHT(AH66,2)), DATE(RIGHT(AH66,4), MID(AH66,4,2), LEFT(AH66,2)))),"")</f>
        <v>45374</v>
      </c>
      <c r="V66" t="s">
        <v>1586</v>
      </c>
      <c r="W66" s="9">
        <f t="shared" ref="W66:W129" si="20">IFERROR( IF(IFERROR(FIND("-",AI66),0)=3, DATE(RIGHT(AI66,4),LEFT(AI66,2),MID(AI66,4,2)),  IF(IFERROR(FIND("/",AI66)=5,0), DATE(LEFT(AI66,4),MID(AI66,6,2),RIGHT(AI66,2)), DATE(RIGHT(AI66,4), MID(AI66,4,2), LEFT(AI66,2)))),"")</f>
        <v>45408</v>
      </c>
      <c r="X66" t="s">
        <v>1620</v>
      </c>
      <c r="Y66" s="15">
        <v>38809</v>
      </c>
      <c r="Z66" s="15">
        <v>37212</v>
      </c>
      <c r="AA66" t="s">
        <v>1625</v>
      </c>
      <c r="AB66" t="s">
        <v>1627</v>
      </c>
      <c r="AC66" s="17">
        <v>4.2</v>
      </c>
      <c r="AF66" t="str">
        <f t="shared" ref="AF66:AF129" si="21">IF(IFERROR(FIND("-",P66),0) = 5, SUBSTITUTE(P66,"-","/"), P66)</f>
        <v>03-08-2024</v>
      </c>
      <c r="AG66" t="str">
        <f t="shared" ref="AG66:AG129" si="22">IF(R66 = "", "", IF(IFERROR(FIND("-",R66),0) = 5, SUBSTITUTE(R66,"-","/"), R66))</f>
        <v>03-31-2024</v>
      </c>
      <c r="AH66" t="str">
        <f t="shared" ref="AH66:AH129" si="23">IF(T66 = "", "", IF(IFERROR(FIND("-",T66),0) = 5, SUBSTITUTE(T66,"-","/"), T66))</f>
        <v>23/03/2024</v>
      </c>
      <c r="AI66" t="str">
        <f t="shared" ref="AI66:AI129" si="24">IF(V66 = "", "", IF(IFERROR(FIND("-",V66),0) = 5, SUBSTITUTE(V66,"-","/"), V66))</f>
        <v>2024/04/26</v>
      </c>
      <c r="AJ66" t="str">
        <f t="shared" ref="AJ66:AJ129" si="25">IFERROR(FIND(" ",X66),"Not Found")</f>
        <v>Not Found</v>
      </c>
      <c r="AK66" t="str">
        <f t="shared" ref="AK66:AK129" si="26">IFERROR(FIND(" ",AA66), "Not Found")</f>
        <v>Not Found</v>
      </c>
    </row>
    <row r="67" spans="1:37" x14ac:dyDescent="0.35">
      <c r="A67" t="s">
        <v>83</v>
      </c>
      <c r="B67" t="s">
        <v>475</v>
      </c>
      <c r="C67" t="s">
        <v>689</v>
      </c>
      <c r="D67" t="str">
        <f t="shared" ref="D67:D130" si="27">PROPER(TRIM(SUBSTITUTE(SUBSTITUTE(SUBSTITUTE(SUBSTITUTE(SUBSTITUTE(SUBSTITUTE(C67,"Mr "," "),"Dr "," "),"-"," "),"Miss "," "),"Mrs "," "),"Ms ", " ")))</f>
        <v>Lynne Morris</v>
      </c>
      <c r="E67" t="str">
        <f t="shared" ref="E67:E130" si="28">_xlfn.TEXTBEFORE(D67," ",1,,,)</f>
        <v>Lynne</v>
      </c>
      <c r="F67" t="str">
        <f t="shared" ref="F67:F130" si="29">_xlfn.TEXTAFTER(D67," ",-1,,,)</f>
        <v>Morris</v>
      </c>
      <c r="G67" t="s">
        <v>1025</v>
      </c>
      <c r="H67" t="str">
        <f t="shared" ref="H67:H130" si="30">TRIM(G67)</f>
        <v>Finance Analyst</v>
      </c>
      <c r="I67" t="s">
        <v>1029</v>
      </c>
      <c r="J67" t="str">
        <f t="shared" ref="J67:J130" si="31">TRIM(I67)</f>
        <v>Commercial</v>
      </c>
      <c r="K67" t="s">
        <v>1033</v>
      </c>
      <c r="L67" t="str">
        <f t="shared" ref="L67:L130" si="32">PROPER(TRIM(K67))</f>
        <v>Midlands</v>
      </c>
      <c r="M67" t="s">
        <v>1045</v>
      </c>
      <c r="N67" t="s">
        <v>1051</v>
      </c>
      <c r="O67" t="str">
        <f t="shared" ref="O67:O130" si="33">IF(OR(TRIM(N67) = "linkedin", TRIM(N67) = "LI"),"Linkedln",TRIM(N67))</f>
        <v>CV Library</v>
      </c>
      <c r="P67" t="s">
        <v>1118</v>
      </c>
      <c r="Q67" s="9">
        <f t="shared" si="17"/>
        <v>45597</v>
      </c>
      <c r="S67" s="9" t="str">
        <f t="shared" si="18"/>
        <v/>
      </c>
      <c r="U67" s="9" t="str">
        <f t="shared" si="19"/>
        <v/>
      </c>
      <c r="W67" s="9" t="str">
        <f t="shared" si="20"/>
        <v/>
      </c>
      <c r="X67" t="s">
        <v>1619</v>
      </c>
      <c r="Y67" s="15">
        <v>49724</v>
      </c>
      <c r="AA67" t="s">
        <v>1625</v>
      </c>
      <c r="AB67" t="s">
        <v>1627</v>
      </c>
      <c r="AC67" s="17">
        <v>3.4</v>
      </c>
      <c r="AF67" t="str">
        <f t="shared" si="21"/>
        <v>01/11/2024</v>
      </c>
      <c r="AG67" t="str">
        <f t="shared" si="22"/>
        <v/>
      </c>
      <c r="AH67" t="str">
        <f t="shared" si="23"/>
        <v/>
      </c>
      <c r="AI67" t="str">
        <f t="shared" si="24"/>
        <v/>
      </c>
      <c r="AJ67" t="str">
        <f t="shared" si="25"/>
        <v>Not Found</v>
      </c>
      <c r="AK67" t="str">
        <f t="shared" si="26"/>
        <v>Not Found</v>
      </c>
    </row>
    <row r="68" spans="1:37" x14ac:dyDescent="0.35">
      <c r="A68" t="s">
        <v>84</v>
      </c>
      <c r="B68" t="s">
        <v>476</v>
      </c>
      <c r="C68" t="s">
        <v>690</v>
      </c>
      <c r="D68" t="str">
        <f t="shared" si="27"/>
        <v>Ann Barker</v>
      </c>
      <c r="E68" t="str">
        <f t="shared" si="28"/>
        <v>Ann</v>
      </c>
      <c r="F68" t="str">
        <f t="shared" si="29"/>
        <v>Barker</v>
      </c>
      <c r="G68" t="s">
        <v>1023</v>
      </c>
      <c r="H68" t="str">
        <f t="shared" si="30"/>
        <v>HR Analyst</v>
      </c>
      <c r="I68" t="s">
        <v>1028</v>
      </c>
      <c r="J68" t="str">
        <f t="shared" si="31"/>
        <v>HR</v>
      </c>
      <c r="K68" t="s">
        <v>1034</v>
      </c>
      <c r="L68" t="str">
        <f t="shared" si="32"/>
        <v>Scotland</v>
      </c>
      <c r="M68" t="s">
        <v>1041</v>
      </c>
      <c r="N68" t="s">
        <v>1052</v>
      </c>
      <c r="O68" t="str">
        <f t="shared" si="33"/>
        <v>Linkedln</v>
      </c>
      <c r="P68" t="s">
        <v>1119</v>
      </c>
      <c r="Q68" s="9">
        <f t="shared" si="17"/>
        <v>45302</v>
      </c>
      <c r="S68" s="9" t="str">
        <f t="shared" si="18"/>
        <v/>
      </c>
      <c r="U68" s="9" t="str">
        <f t="shared" si="19"/>
        <v/>
      </c>
      <c r="W68" s="9" t="str">
        <f t="shared" si="20"/>
        <v/>
      </c>
      <c r="X68" t="s">
        <v>1617</v>
      </c>
      <c r="Y68" s="15">
        <v>45671</v>
      </c>
      <c r="AA68" t="s">
        <v>1625</v>
      </c>
      <c r="AB68" t="s">
        <v>1626</v>
      </c>
      <c r="AC68" s="17">
        <v>2.4</v>
      </c>
      <c r="AF68" t="str">
        <f t="shared" si="21"/>
        <v>2024/01/11</v>
      </c>
      <c r="AG68" t="str">
        <f t="shared" si="22"/>
        <v/>
      </c>
      <c r="AH68" t="str">
        <f t="shared" si="23"/>
        <v/>
      </c>
      <c r="AI68" t="str">
        <f t="shared" si="24"/>
        <v/>
      </c>
      <c r="AJ68" t="str">
        <f t="shared" si="25"/>
        <v>Not Found</v>
      </c>
      <c r="AK68" t="str">
        <f t="shared" si="26"/>
        <v>Not Found</v>
      </c>
    </row>
    <row r="69" spans="1:37" x14ac:dyDescent="0.35">
      <c r="A69" t="s">
        <v>85</v>
      </c>
      <c r="B69" t="s">
        <v>477</v>
      </c>
      <c r="C69" t="s">
        <v>691</v>
      </c>
      <c r="D69" t="str">
        <f t="shared" si="27"/>
        <v>Amy Coleman</v>
      </c>
      <c r="E69" t="str">
        <f t="shared" si="28"/>
        <v>Amy</v>
      </c>
      <c r="F69" t="str">
        <f t="shared" si="29"/>
        <v>Coleman</v>
      </c>
      <c r="G69" t="s">
        <v>1023</v>
      </c>
      <c r="H69" t="str">
        <f t="shared" si="30"/>
        <v>HR Analyst</v>
      </c>
      <c r="I69" t="s">
        <v>1030</v>
      </c>
      <c r="J69" t="str">
        <f t="shared" si="31"/>
        <v>Finance</v>
      </c>
      <c r="K69" t="s">
        <v>1036</v>
      </c>
      <c r="L69" t="str">
        <f t="shared" si="32"/>
        <v>London</v>
      </c>
      <c r="M69" t="s">
        <v>1043</v>
      </c>
      <c r="N69" t="s">
        <v>1050</v>
      </c>
      <c r="O69" t="str">
        <f t="shared" si="33"/>
        <v>Reed</v>
      </c>
      <c r="P69" t="s">
        <v>1120</v>
      </c>
      <c r="Q69" s="9">
        <f t="shared" si="17"/>
        <v>45628</v>
      </c>
      <c r="S69" s="9" t="str">
        <f t="shared" si="18"/>
        <v/>
      </c>
      <c r="U69" s="9" t="str">
        <f t="shared" si="19"/>
        <v/>
      </c>
      <c r="W69" s="9" t="str">
        <f t="shared" si="20"/>
        <v/>
      </c>
      <c r="X69" t="s">
        <v>1616</v>
      </c>
      <c r="Y69" s="15">
        <v>48447</v>
      </c>
      <c r="AA69" t="s">
        <v>1623</v>
      </c>
      <c r="AB69" t="s">
        <v>1627</v>
      </c>
      <c r="AC69" s="17">
        <v>2.1</v>
      </c>
      <c r="AF69" t="str">
        <f t="shared" si="21"/>
        <v>02/12/2024</v>
      </c>
      <c r="AG69" t="str">
        <f t="shared" si="22"/>
        <v/>
      </c>
      <c r="AH69" t="str">
        <f t="shared" si="23"/>
        <v/>
      </c>
      <c r="AI69" t="str">
        <f t="shared" si="24"/>
        <v/>
      </c>
      <c r="AJ69" t="str">
        <f t="shared" si="25"/>
        <v>Not Found</v>
      </c>
      <c r="AK69" t="str">
        <f t="shared" si="26"/>
        <v>Not Found</v>
      </c>
    </row>
    <row r="70" spans="1:37" x14ac:dyDescent="0.35">
      <c r="A70" t="s">
        <v>86</v>
      </c>
      <c r="B70" t="s">
        <v>478</v>
      </c>
      <c r="C70" t="s">
        <v>692</v>
      </c>
      <c r="D70" t="str">
        <f t="shared" si="27"/>
        <v>Rachael George</v>
      </c>
      <c r="E70" t="str">
        <f t="shared" si="28"/>
        <v>Rachael</v>
      </c>
      <c r="F70" t="str">
        <f t="shared" si="29"/>
        <v>George</v>
      </c>
      <c r="G70" t="s">
        <v>1023</v>
      </c>
      <c r="H70" t="str">
        <f t="shared" si="30"/>
        <v>HR Analyst</v>
      </c>
      <c r="I70" t="s">
        <v>1031</v>
      </c>
      <c r="J70" t="str">
        <f t="shared" si="31"/>
        <v>Technology</v>
      </c>
      <c r="K70" t="s">
        <v>1034</v>
      </c>
      <c r="L70" t="str">
        <f t="shared" si="32"/>
        <v>Scotland</v>
      </c>
      <c r="M70" t="s">
        <v>1042</v>
      </c>
      <c r="N70" t="s">
        <v>1046</v>
      </c>
      <c r="O70" t="str">
        <f t="shared" si="33"/>
        <v>Linkedln</v>
      </c>
      <c r="P70" t="s">
        <v>1121</v>
      </c>
      <c r="Q70" s="9">
        <f t="shared" si="17"/>
        <v>45753</v>
      </c>
      <c r="S70" s="9" t="str">
        <f t="shared" si="18"/>
        <v/>
      </c>
      <c r="U70" s="9" t="str">
        <f t="shared" si="19"/>
        <v/>
      </c>
      <c r="W70" s="9" t="str">
        <f t="shared" si="20"/>
        <v/>
      </c>
      <c r="X70" t="s">
        <v>1619</v>
      </c>
      <c r="Y70" s="15">
        <v>42167</v>
      </c>
      <c r="AA70" t="s">
        <v>1621</v>
      </c>
      <c r="AB70" t="s">
        <v>1626</v>
      </c>
      <c r="AC70" s="17">
        <v>3.2</v>
      </c>
      <c r="AF70" t="str">
        <f t="shared" si="21"/>
        <v>2025/04/06</v>
      </c>
      <c r="AG70" t="str">
        <f t="shared" si="22"/>
        <v/>
      </c>
      <c r="AH70" t="str">
        <f t="shared" si="23"/>
        <v/>
      </c>
      <c r="AI70" t="str">
        <f t="shared" si="24"/>
        <v/>
      </c>
      <c r="AJ70" t="str">
        <f t="shared" si="25"/>
        <v>Not Found</v>
      </c>
      <c r="AK70" t="str">
        <f t="shared" si="26"/>
        <v>Not Found</v>
      </c>
    </row>
    <row r="71" spans="1:37" x14ac:dyDescent="0.35">
      <c r="A71" t="s">
        <v>87</v>
      </c>
      <c r="B71" t="s">
        <v>470</v>
      </c>
      <c r="C71" t="s">
        <v>693</v>
      </c>
      <c r="D71" t="str">
        <f t="shared" si="27"/>
        <v>Barbara Bishop Green</v>
      </c>
      <c r="E71" t="str">
        <f t="shared" si="28"/>
        <v>Barbara</v>
      </c>
      <c r="F71" t="str">
        <f t="shared" si="29"/>
        <v>Green</v>
      </c>
      <c r="G71" t="s">
        <v>1022</v>
      </c>
      <c r="H71" t="str">
        <f t="shared" si="30"/>
        <v>Reporting Analyst</v>
      </c>
      <c r="I71" t="s">
        <v>1032</v>
      </c>
      <c r="J71" t="str">
        <f t="shared" si="31"/>
        <v>Operations</v>
      </c>
      <c r="K71" t="s">
        <v>1035</v>
      </c>
      <c r="L71" t="str">
        <f t="shared" si="32"/>
        <v>Yorkshire</v>
      </c>
      <c r="M71" t="s">
        <v>1043</v>
      </c>
      <c r="N71" t="s">
        <v>1047</v>
      </c>
      <c r="O71" t="str">
        <f t="shared" si="33"/>
        <v>Linkedln</v>
      </c>
      <c r="P71" t="s">
        <v>1122</v>
      </c>
      <c r="Q71" s="9">
        <f t="shared" si="17"/>
        <v>45345</v>
      </c>
      <c r="R71" t="s">
        <v>1410</v>
      </c>
      <c r="S71" s="9">
        <f t="shared" si="18"/>
        <v>45370</v>
      </c>
      <c r="U71" s="9" t="str">
        <f t="shared" si="19"/>
        <v/>
      </c>
      <c r="W71" s="9" t="str">
        <f t="shared" si="20"/>
        <v/>
      </c>
      <c r="X71" t="s">
        <v>1615</v>
      </c>
      <c r="Y71" s="15">
        <v>46045</v>
      </c>
      <c r="AA71" t="s">
        <v>1625</v>
      </c>
      <c r="AB71" t="s">
        <v>1628</v>
      </c>
      <c r="AC71" s="17">
        <v>2.9</v>
      </c>
      <c r="AF71" t="str">
        <f t="shared" si="21"/>
        <v>02-23-2024</v>
      </c>
      <c r="AG71" t="str">
        <f t="shared" si="22"/>
        <v>19/03/2024</v>
      </c>
      <c r="AH71" t="str">
        <f t="shared" si="23"/>
        <v/>
      </c>
      <c r="AI71" t="str">
        <f t="shared" si="24"/>
        <v/>
      </c>
      <c r="AJ71" t="str">
        <f t="shared" si="25"/>
        <v>Not Found</v>
      </c>
      <c r="AK71" t="str">
        <f t="shared" si="26"/>
        <v>Not Found</v>
      </c>
    </row>
    <row r="72" spans="1:37" x14ac:dyDescent="0.35">
      <c r="A72" t="s">
        <v>88</v>
      </c>
      <c r="B72" t="s">
        <v>479</v>
      </c>
      <c r="C72" t="s">
        <v>673</v>
      </c>
      <c r="D72" t="str">
        <f t="shared" si="27"/>
        <v>Victoria Smith</v>
      </c>
      <c r="E72" t="str">
        <f t="shared" si="28"/>
        <v>Victoria</v>
      </c>
      <c r="F72" t="str">
        <f t="shared" si="29"/>
        <v>Smith</v>
      </c>
      <c r="G72" t="s">
        <v>1027</v>
      </c>
      <c r="H72" t="str">
        <f t="shared" si="30"/>
        <v>Data Analyst</v>
      </c>
      <c r="I72" t="s">
        <v>1030</v>
      </c>
      <c r="J72" t="str">
        <f t="shared" si="31"/>
        <v>Finance</v>
      </c>
      <c r="K72" t="s">
        <v>1037</v>
      </c>
      <c r="L72" t="str">
        <f t="shared" si="32"/>
        <v>East Midlands</v>
      </c>
      <c r="M72" t="s">
        <v>1044</v>
      </c>
      <c r="N72" t="s">
        <v>1050</v>
      </c>
      <c r="O72" t="str">
        <f t="shared" si="33"/>
        <v>Reed</v>
      </c>
      <c r="P72" t="s">
        <v>1123</v>
      </c>
      <c r="Q72" s="9">
        <f t="shared" si="17"/>
        <v>45524</v>
      </c>
      <c r="S72" s="9" t="str">
        <f t="shared" si="18"/>
        <v/>
      </c>
      <c r="U72" s="9" t="str">
        <f t="shared" si="19"/>
        <v/>
      </c>
      <c r="W72" s="9" t="str">
        <f t="shared" si="20"/>
        <v/>
      </c>
      <c r="X72" t="s">
        <v>1619</v>
      </c>
      <c r="Y72" s="15">
        <v>34310</v>
      </c>
      <c r="AA72" t="s">
        <v>1625</v>
      </c>
      <c r="AB72" t="s">
        <v>1626</v>
      </c>
      <c r="AC72" s="17">
        <v>4.3</v>
      </c>
      <c r="AF72" t="str">
        <f t="shared" si="21"/>
        <v>08-20-2024</v>
      </c>
      <c r="AG72" t="str">
        <f t="shared" si="22"/>
        <v/>
      </c>
      <c r="AH72" t="str">
        <f t="shared" si="23"/>
        <v/>
      </c>
      <c r="AI72" t="str">
        <f t="shared" si="24"/>
        <v/>
      </c>
      <c r="AJ72" t="str">
        <f t="shared" si="25"/>
        <v>Not Found</v>
      </c>
      <c r="AK72" t="str">
        <f t="shared" si="26"/>
        <v>Not Found</v>
      </c>
    </row>
    <row r="73" spans="1:37" x14ac:dyDescent="0.35">
      <c r="A73" t="s">
        <v>89</v>
      </c>
      <c r="B73" t="s">
        <v>480</v>
      </c>
      <c r="C73" t="s">
        <v>694</v>
      </c>
      <c r="D73" t="str">
        <f t="shared" si="27"/>
        <v>Nicole Murray</v>
      </c>
      <c r="E73" t="str">
        <f t="shared" si="28"/>
        <v>Nicole</v>
      </c>
      <c r="F73" t="str">
        <f t="shared" si="29"/>
        <v>Murray</v>
      </c>
      <c r="G73" t="s">
        <v>1024</v>
      </c>
      <c r="H73" t="str">
        <f t="shared" si="30"/>
        <v>Business Analyst</v>
      </c>
      <c r="I73" t="s">
        <v>1032</v>
      </c>
      <c r="J73" t="str">
        <f t="shared" si="31"/>
        <v>Operations</v>
      </c>
      <c r="K73" t="s">
        <v>1040</v>
      </c>
      <c r="L73" t="str">
        <f t="shared" si="32"/>
        <v>North West</v>
      </c>
      <c r="M73" t="s">
        <v>1044</v>
      </c>
      <c r="N73" t="s">
        <v>1049</v>
      </c>
      <c r="O73" t="str">
        <f t="shared" si="33"/>
        <v>Indeed</v>
      </c>
      <c r="P73" t="s">
        <v>1124</v>
      </c>
      <c r="Q73" s="9">
        <f t="shared" si="17"/>
        <v>45354</v>
      </c>
      <c r="R73" t="s">
        <v>1342</v>
      </c>
      <c r="S73" s="9">
        <f t="shared" si="18"/>
        <v>45378</v>
      </c>
      <c r="T73" t="s">
        <v>1532</v>
      </c>
      <c r="U73" s="9">
        <f t="shared" si="19"/>
        <v>45395</v>
      </c>
      <c r="W73" s="9" t="str">
        <f t="shared" si="20"/>
        <v/>
      </c>
      <c r="X73" t="s">
        <v>1618</v>
      </c>
      <c r="Y73" s="15">
        <v>46030</v>
      </c>
      <c r="Z73" s="15">
        <v>47097</v>
      </c>
      <c r="AA73" t="s">
        <v>1623</v>
      </c>
      <c r="AB73" t="s">
        <v>1627</v>
      </c>
      <c r="AC73" s="17">
        <v>3.9</v>
      </c>
      <c r="AF73" t="str">
        <f t="shared" si="21"/>
        <v>03/03/2024</v>
      </c>
      <c r="AG73" t="str">
        <f t="shared" si="22"/>
        <v>03-27-2024</v>
      </c>
      <c r="AH73" t="str">
        <f t="shared" si="23"/>
        <v>2024/04/13</v>
      </c>
      <c r="AI73" t="str">
        <f t="shared" si="24"/>
        <v/>
      </c>
      <c r="AJ73" t="str">
        <f t="shared" si="25"/>
        <v>Not Found</v>
      </c>
      <c r="AK73" t="str">
        <f t="shared" si="26"/>
        <v>Not Found</v>
      </c>
    </row>
    <row r="74" spans="1:37" x14ac:dyDescent="0.35">
      <c r="A74" t="s">
        <v>90</v>
      </c>
      <c r="B74" t="s">
        <v>481</v>
      </c>
      <c r="C74" t="s">
        <v>695</v>
      </c>
      <c r="D74" t="str">
        <f t="shared" si="27"/>
        <v>Andrea Richardson Dobson</v>
      </c>
      <c r="E74" t="str">
        <f t="shared" si="28"/>
        <v>Andrea</v>
      </c>
      <c r="F74" t="str">
        <f t="shared" si="29"/>
        <v>Dobson</v>
      </c>
      <c r="G74" t="s">
        <v>1027</v>
      </c>
      <c r="H74" t="str">
        <f t="shared" si="30"/>
        <v>Data Analyst</v>
      </c>
      <c r="I74" t="s">
        <v>1031</v>
      </c>
      <c r="J74" t="str">
        <f t="shared" si="31"/>
        <v>Technology</v>
      </c>
      <c r="K74" t="s">
        <v>1036</v>
      </c>
      <c r="L74" t="str">
        <f t="shared" si="32"/>
        <v>London</v>
      </c>
      <c r="M74" t="s">
        <v>1041</v>
      </c>
      <c r="N74" t="s">
        <v>1051</v>
      </c>
      <c r="O74" t="str">
        <f t="shared" si="33"/>
        <v>CV Library</v>
      </c>
      <c r="P74" t="s">
        <v>1125</v>
      </c>
      <c r="Q74" s="9">
        <f t="shared" si="17"/>
        <v>45414</v>
      </c>
      <c r="S74" s="9" t="str">
        <f t="shared" si="18"/>
        <v/>
      </c>
      <c r="U74" s="9" t="str">
        <f t="shared" si="19"/>
        <v/>
      </c>
      <c r="W74" s="9" t="str">
        <f t="shared" si="20"/>
        <v/>
      </c>
      <c r="X74" t="s">
        <v>1619</v>
      </c>
      <c r="Y74" s="15">
        <v>41765</v>
      </c>
      <c r="AA74" t="s">
        <v>1621</v>
      </c>
      <c r="AB74" t="s">
        <v>1627</v>
      </c>
      <c r="AC74" s="17">
        <v>3.9</v>
      </c>
      <c r="AF74" t="str">
        <f t="shared" si="21"/>
        <v>02/05/2024</v>
      </c>
      <c r="AG74" t="str">
        <f t="shared" si="22"/>
        <v/>
      </c>
      <c r="AH74" t="str">
        <f t="shared" si="23"/>
        <v/>
      </c>
      <c r="AI74" t="str">
        <f t="shared" si="24"/>
        <v/>
      </c>
      <c r="AJ74" t="str">
        <f t="shared" si="25"/>
        <v>Not Found</v>
      </c>
      <c r="AK74" t="str">
        <f t="shared" si="26"/>
        <v>Not Found</v>
      </c>
    </row>
    <row r="75" spans="1:37" x14ac:dyDescent="0.35">
      <c r="A75" t="s">
        <v>91</v>
      </c>
      <c r="B75" t="s">
        <v>482</v>
      </c>
      <c r="C75" t="s">
        <v>696</v>
      </c>
      <c r="D75" t="str">
        <f t="shared" si="27"/>
        <v>Michelle King</v>
      </c>
      <c r="E75" t="str">
        <f t="shared" si="28"/>
        <v>Michelle</v>
      </c>
      <c r="F75" t="str">
        <f t="shared" si="29"/>
        <v>King</v>
      </c>
      <c r="G75" t="s">
        <v>1027</v>
      </c>
      <c r="H75" t="str">
        <f t="shared" si="30"/>
        <v>Data Analyst</v>
      </c>
      <c r="I75" t="s">
        <v>1028</v>
      </c>
      <c r="J75" t="str">
        <f t="shared" si="31"/>
        <v>HR</v>
      </c>
      <c r="K75" t="s">
        <v>1039</v>
      </c>
      <c r="L75" t="str">
        <f t="shared" si="32"/>
        <v>South East</v>
      </c>
      <c r="M75" t="s">
        <v>1042</v>
      </c>
      <c r="N75" t="s">
        <v>1046</v>
      </c>
      <c r="O75" t="str">
        <f t="shared" si="33"/>
        <v>Linkedln</v>
      </c>
      <c r="P75" t="s">
        <v>1126</v>
      </c>
      <c r="Q75" s="9">
        <f t="shared" si="17"/>
        <v>45314</v>
      </c>
      <c r="S75" s="9" t="str">
        <f t="shared" si="18"/>
        <v/>
      </c>
      <c r="U75" s="9" t="str">
        <f t="shared" si="19"/>
        <v/>
      </c>
      <c r="W75" s="9" t="str">
        <f t="shared" si="20"/>
        <v/>
      </c>
      <c r="X75" t="s">
        <v>1616</v>
      </c>
      <c r="Y75" s="15">
        <v>51338</v>
      </c>
      <c r="AA75" t="s">
        <v>1622</v>
      </c>
      <c r="AB75" t="s">
        <v>1628</v>
      </c>
      <c r="AC75" s="17">
        <v>3.4</v>
      </c>
      <c r="AF75" t="str">
        <f t="shared" si="21"/>
        <v>23/01/2024</v>
      </c>
      <c r="AG75" t="str">
        <f t="shared" si="22"/>
        <v/>
      </c>
      <c r="AH75" t="str">
        <f t="shared" si="23"/>
        <v/>
      </c>
      <c r="AI75" t="str">
        <f t="shared" si="24"/>
        <v/>
      </c>
      <c r="AJ75" t="str">
        <f t="shared" si="25"/>
        <v>Not Found</v>
      </c>
      <c r="AK75" t="str">
        <f t="shared" si="26"/>
        <v>Not Found</v>
      </c>
    </row>
    <row r="76" spans="1:37" x14ac:dyDescent="0.35">
      <c r="A76" t="s">
        <v>92</v>
      </c>
      <c r="B76" t="s">
        <v>483</v>
      </c>
      <c r="C76" t="s">
        <v>697</v>
      </c>
      <c r="D76" t="str">
        <f t="shared" si="27"/>
        <v>Lorraine Woods</v>
      </c>
      <c r="E76" t="str">
        <f t="shared" si="28"/>
        <v>Lorraine</v>
      </c>
      <c r="F76" t="str">
        <f t="shared" si="29"/>
        <v>Woods</v>
      </c>
      <c r="G76" t="s">
        <v>1027</v>
      </c>
      <c r="H76" t="str">
        <f t="shared" si="30"/>
        <v>Data Analyst</v>
      </c>
      <c r="I76" t="s">
        <v>1030</v>
      </c>
      <c r="J76" t="str">
        <f t="shared" si="31"/>
        <v>Finance</v>
      </c>
      <c r="K76" t="s">
        <v>1033</v>
      </c>
      <c r="L76" t="str">
        <f t="shared" si="32"/>
        <v>Midlands</v>
      </c>
      <c r="M76" t="s">
        <v>1045</v>
      </c>
      <c r="N76" t="s">
        <v>1052</v>
      </c>
      <c r="O76" t="str">
        <f t="shared" si="33"/>
        <v>Linkedln</v>
      </c>
      <c r="P76" t="s">
        <v>1089</v>
      </c>
      <c r="Q76" s="9">
        <f t="shared" si="17"/>
        <v>45543</v>
      </c>
      <c r="S76" s="9" t="str">
        <f t="shared" si="18"/>
        <v/>
      </c>
      <c r="U76" s="9" t="str">
        <f t="shared" si="19"/>
        <v/>
      </c>
      <c r="W76" s="9" t="str">
        <f t="shared" si="20"/>
        <v/>
      </c>
      <c r="X76" t="s">
        <v>1616</v>
      </c>
      <c r="Y76" s="15">
        <v>44062</v>
      </c>
      <c r="AA76" t="s">
        <v>1625</v>
      </c>
      <c r="AB76" t="s">
        <v>1627</v>
      </c>
      <c r="AC76" s="17">
        <v>3.2</v>
      </c>
      <c r="AF76" t="str">
        <f t="shared" si="21"/>
        <v>09-08-2024</v>
      </c>
      <c r="AG76" t="str">
        <f t="shared" si="22"/>
        <v/>
      </c>
      <c r="AH76" t="str">
        <f t="shared" si="23"/>
        <v/>
      </c>
      <c r="AI76" t="str">
        <f t="shared" si="24"/>
        <v/>
      </c>
      <c r="AJ76" t="str">
        <f t="shared" si="25"/>
        <v>Not Found</v>
      </c>
      <c r="AK76" t="str">
        <f t="shared" si="26"/>
        <v>Not Found</v>
      </c>
    </row>
    <row r="77" spans="1:37" x14ac:dyDescent="0.35">
      <c r="A77" t="s">
        <v>93</v>
      </c>
      <c r="B77" t="s">
        <v>480</v>
      </c>
      <c r="C77" t="s">
        <v>698</v>
      </c>
      <c r="D77" t="str">
        <f t="shared" si="27"/>
        <v>Katy Godfrey</v>
      </c>
      <c r="E77" t="str">
        <f t="shared" si="28"/>
        <v>Katy</v>
      </c>
      <c r="F77" t="str">
        <f t="shared" si="29"/>
        <v>Godfrey</v>
      </c>
      <c r="G77" t="s">
        <v>1025</v>
      </c>
      <c r="H77" t="str">
        <f t="shared" si="30"/>
        <v>Finance Analyst</v>
      </c>
      <c r="I77" t="s">
        <v>1030</v>
      </c>
      <c r="J77" t="str">
        <f t="shared" si="31"/>
        <v>Finance</v>
      </c>
      <c r="K77" t="s">
        <v>1038</v>
      </c>
      <c r="L77" t="str">
        <f t="shared" si="32"/>
        <v>East Midlands</v>
      </c>
      <c r="M77" t="s">
        <v>1045</v>
      </c>
      <c r="N77" t="s">
        <v>1049</v>
      </c>
      <c r="O77" t="str">
        <f t="shared" si="33"/>
        <v>Indeed</v>
      </c>
      <c r="P77" t="s">
        <v>1065</v>
      </c>
      <c r="Q77" s="9">
        <f t="shared" si="17"/>
        <v>45758</v>
      </c>
      <c r="S77" s="9" t="str">
        <f t="shared" si="18"/>
        <v/>
      </c>
      <c r="U77" s="9" t="str">
        <f t="shared" si="19"/>
        <v/>
      </c>
      <c r="W77" s="9" t="str">
        <f t="shared" si="20"/>
        <v/>
      </c>
      <c r="X77" t="s">
        <v>1617</v>
      </c>
      <c r="Y77" s="15">
        <v>46574</v>
      </c>
      <c r="AA77" t="s">
        <v>1625</v>
      </c>
      <c r="AB77" t="s">
        <v>1626</v>
      </c>
      <c r="AC77" s="17">
        <v>3.3</v>
      </c>
      <c r="AF77" t="str">
        <f t="shared" si="21"/>
        <v>11/04/2025</v>
      </c>
      <c r="AG77" t="str">
        <f t="shared" si="22"/>
        <v/>
      </c>
      <c r="AH77" t="str">
        <f t="shared" si="23"/>
        <v/>
      </c>
      <c r="AI77" t="str">
        <f t="shared" si="24"/>
        <v/>
      </c>
      <c r="AJ77" t="str">
        <f t="shared" si="25"/>
        <v>Not Found</v>
      </c>
      <c r="AK77" t="str">
        <f t="shared" si="26"/>
        <v>Not Found</v>
      </c>
    </row>
    <row r="78" spans="1:37" x14ac:dyDescent="0.35">
      <c r="A78" t="s">
        <v>94</v>
      </c>
      <c r="B78" t="s">
        <v>484</v>
      </c>
      <c r="C78" t="s">
        <v>699</v>
      </c>
      <c r="D78" t="str">
        <f t="shared" si="27"/>
        <v>Elliot Smith Wilkinson</v>
      </c>
      <c r="E78" t="str">
        <f t="shared" si="28"/>
        <v>Elliot</v>
      </c>
      <c r="F78" t="str">
        <f t="shared" si="29"/>
        <v>Wilkinson</v>
      </c>
      <c r="G78" t="s">
        <v>1024</v>
      </c>
      <c r="H78" t="str">
        <f t="shared" si="30"/>
        <v>Business Analyst</v>
      </c>
      <c r="I78" t="s">
        <v>1032</v>
      </c>
      <c r="J78" t="str">
        <f t="shared" si="31"/>
        <v>Operations</v>
      </c>
      <c r="K78" t="s">
        <v>1034</v>
      </c>
      <c r="L78" t="str">
        <f t="shared" si="32"/>
        <v>Scotland</v>
      </c>
      <c r="M78" t="s">
        <v>1042</v>
      </c>
      <c r="N78" t="s">
        <v>1052</v>
      </c>
      <c r="O78" t="str">
        <f t="shared" si="33"/>
        <v>Linkedln</v>
      </c>
      <c r="P78" t="s">
        <v>1127</v>
      </c>
      <c r="Q78" s="9">
        <f t="shared" si="17"/>
        <v>45613</v>
      </c>
      <c r="S78" s="9" t="str">
        <f t="shared" si="18"/>
        <v/>
      </c>
      <c r="U78" s="9" t="str">
        <f t="shared" si="19"/>
        <v/>
      </c>
      <c r="W78" s="9" t="str">
        <f t="shared" si="20"/>
        <v/>
      </c>
      <c r="X78" t="s">
        <v>1619</v>
      </c>
      <c r="Y78" s="15">
        <v>32625</v>
      </c>
      <c r="AA78" t="s">
        <v>1623</v>
      </c>
      <c r="AB78" t="s">
        <v>1628</v>
      </c>
      <c r="AC78" s="17">
        <v>2.2999999999999998</v>
      </c>
      <c r="AF78" t="str">
        <f t="shared" si="21"/>
        <v>11-17-2024</v>
      </c>
      <c r="AG78" t="str">
        <f t="shared" si="22"/>
        <v/>
      </c>
      <c r="AH78" t="str">
        <f t="shared" si="23"/>
        <v/>
      </c>
      <c r="AI78" t="str">
        <f t="shared" si="24"/>
        <v/>
      </c>
      <c r="AJ78" t="str">
        <f t="shared" si="25"/>
        <v>Not Found</v>
      </c>
      <c r="AK78" t="str">
        <f t="shared" si="26"/>
        <v>Not Found</v>
      </c>
    </row>
    <row r="79" spans="1:37" x14ac:dyDescent="0.35">
      <c r="A79" t="s">
        <v>95</v>
      </c>
      <c r="B79" t="s">
        <v>480</v>
      </c>
      <c r="C79" t="s">
        <v>700</v>
      </c>
      <c r="D79" t="str">
        <f t="shared" si="27"/>
        <v>Raymond Young</v>
      </c>
      <c r="E79" t="str">
        <f t="shared" si="28"/>
        <v>Raymond</v>
      </c>
      <c r="F79" t="str">
        <f t="shared" si="29"/>
        <v>Young</v>
      </c>
      <c r="G79" t="s">
        <v>1024</v>
      </c>
      <c r="H79" t="str">
        <f t="shared" si="30"/>
        <v>Business Analyst</v>
      </c>
      <c r="I79" t="s">
        <v>1032</v>
      </c>
      <c r="J79" t="str">
        <f t="shared" si="31"/>
        <v>Operations</v>
      </c>
      <c r="K79" t="s">
        <v>1035</v>
      </c>
      <c r="L79" t="str">
        <f t="shared" si="32"/>
        <v>Yorkshire</v>
      </c>
      <c r="M79" t="s">
        <v>1044</v>
      </c>
      <c r="N79" t="s">
        <v>1046</v>
      </c>
      <c r="O79" t="str">
        <f t="shared" si="33"/>
        <v>Linkedln</v>
      </c>
      <c r="P79" t="s">
        <v>1128</v>
      </c>
      <c r="Q79" s="9">
        <f t="shared" si="17"/>
        <v>45589</v>
      </c>
      <c r="S79" s="9" t="str">
        <f t="shared" si="18"/>
        <v/>
      </c>
      <c r="U79" s="9" t="str">
        <f t="shared" si="19"/>
        <v/>
      </c>
      <c r="W79" s="9" t="str">
        <f t="shared" si="20"/>
        <v/>
      </c>
      <c r="X79" t="s">
        <v>1619</v>
      </c>
      <c r="Y79" s="15">
        <v>31162</v>
      </c>
      <c r="AA79" t="s">
        <v>1625</v>
      </c>
      <c r="AB79" t="s">
        <v>1627</v>
      </c>
      <c r="AC79" s="17">
        <v>2.9</v>
      </c>
      <c r="AF79" t="str">
        <f t="shared" si="21"/>
        <v>10-24-2024</v>
      </c>
      <c r="AG79" t="str">
        <f t="shared" si="22"/>
        <v/>
      </c>
      <c r="AH79" t="str">
        <f t="shared" si="23"/>
        <v/>
      </c>
      <c r="AI79" t="str">
        <f t="shared" si="24"/>
        <v/>
      </c>
      <c r="AJ79" t="str">
        <f t="shared" si="25"/>
        <v>Not Found</v>
      </c>
      <c r="AK79" t="str">
        <f t="shared" si="26"/>
        <v>Not Found</v>
      </c>
    </row>
    <row r="80" spans="1:37" x14ac:dyDescent="0.35">
      <c r="A80" t="s">
        <v>96</v>
      </c>
      <c r="B80" t="s">
        <v>435</v>
      </c>
      <c r="C80" t="s">
        <v>701</v>
      </c>
      <c r="D80" t="str">
        <f t="shared" si="27"/>
        <v>Lauren Payne</v>
      </c>
      <c r="E80" t="str">
        <f t="shared" si="28"/>
        <v>Lauren</v>
      </c>
      <c r="F80" t="str">
        <f t="shared" si="29"/>
        <v>Payne</v>
      </c>
      <c r="G80" t="s">
        <v>1025</v>
      </c>
      <c r="H80" t="str">
        <f t="shared" si="30"/>
        <v>Finance Analyst</v>
      </c>
      <c r="I80" t="s">
        <v>1028</v>
      </c>
      <c r="J80" t="str">
        <f t="shared" si="31"/>
        <v>HR</v>
      </c>
      <c r="K80" t="s">
        <v>1033</v>
      </c>
      <c r="L80" t="str">
        <f t="shared" si="32"/>
        <v>Midlands</v>
      </c>
      <c r="M80" t="s">
        <v>1045</v>
      </c>
      <c r="N80" t="s">
        <v>1049</v>
      </c>
      <c r="O80" t="str">
        <f t="shared" si="33"/>
        <v>Indeed</v>
      </c>
      <c r="P80" t="s">
        <v>1129</v>
      </c>
      <c r="Q80" s="9">
        <f t="shared" si="17"/>
        <v>45642</v>
      </c>
      <c r="S80" s="9" t="str">
        <f t="shared" si="18"/>
        <v/>
      </c>
      <c r="U80" s="9" t="str">
        <f t="shared" si="19"/>
        <v/>
      </c>
      <c r="W80" s="9" t="str">
        <f t="shared" si="20"/>
        <v/>
      </c>
      <c r="X80" t="s">
        <v>1619</v>
      </c>
      <c r="Y80" s="15">
        <v>45762</v>
      </c>
      <c r="AA80" t="s">
        <v>1621</v>
      </c>
      <c r="AB80" t="s">
        <v>1628</v>
      </c>
      <c r="AC80" s="17">
        <v>3.8</v>
      </c>
      <c r="AF80" t="str">
        <f t="shared" si="21"/>
        <v>16/12/2024</v>
      </c>
      <c r="AG80" t="str">
        <f t="shared" si="22"/>
        <v/>
      </c>
      <c r="AH80" t="str">
        <f t="shared" si="23"/>
        <v/>
      </c>
      <c r="AI80" t="str">
        <f t="shared" si="24"/>
        <v/>
      </c>
      <c r="AJ80" t="str">
        <f t="shared" si="25"/>
        <v>Not Found</v>
      </c>
      <c r="AK80" t="str">
        <f t="shared" si="26"/>
        <v>Not Found</v>
      </c>
    </row>
    <row r="81" spans="1:37" x14ac:dyDescent="0.35">
      <c r="A81" t="s">
        <v>97</v>
      </c>
      <c r="B81" t="s">
        <v>485</v>
      </c>
      <c r="C81" t="s">
        <v>702</v>
      </c>
      <c r="D81" t="str">
        <f t="shared" si="27"/>
        <v>Geoffrey Wilson Kay</v>
      </c>
      <c r="E81" t="str">
        <f t="shared" si="28"/>
        <v>Geoffrey</v>
      </c>
      <c r="F81" t="str">
        <f t="shared" si="29"/>
        <v>Kay</v>
      </c>
      <c r="G81" t="s">
        <v>1023</v>
      </c>
      <c r="H81" t="str">
        <f t="shared" si="30"/>
        <v>HR Analyst</v>
      </c>
      <c r="I81" t="s">
        <v>1029</v>
      </c>
      <c r="J81" t="str">
        <f t="shared" si="31"/>
        <v>Commercial</v>
      </c>
      <c r="K81" t="s">
        <v>1039</v>
      </c>
      <c r="L81" t="str">
        <f t="shared" si="32"/>
        <v>South East</v>
      </c>
      <c r="M81" t="s">
        <v>1044</v>
      </c>
      <c r="N81" t="s">
        <v>1049</v>
      </c>
      <c r="O81" t="str">
        <f t="shared" si="33"/>
        <v>Indeed</v>
      </c>
      <c r="P81" t="s">
        <v>1130</v>
      </c>
      <c r="Q81" s="9">
        <f t="shared" si="17"/>
        <v>45393</v>
      </c>
      <c r="R81" t="s">
        <v>1411</v>
      </c>
      <c r="S81" s="9">
        <f t="shared" si="18"/>
        <v>45405</v>
      </c>
      <c r="T81" t="s">
        <v>1245</v>
      </c>
      <c r="U81" s="9">
        <f t="shared" si="19"/>
        <v>45414</v>
      </c>
      <c r="W81" s="9" t="str">
        <f t="shared" si="20"/>
        <v/>
      </c>
      <c r="X81" t="s">
        <v>1618</v>
      </c>
      <c r="Y81" s="15">
        <v>47874</v>
      </c>
      <c r="Z81" s="15">
        <v>49964</v>
      </c>
      <c r="AA81" t="s">
        <v>1622</v>
      </c>
      <c r="AB81" t="s">
        <v>1628</v>
      </c>
      <c r="AF81" t="str">
        <f t="shared" si="21"/>
        <v>04-11-2024</v>
      </c>
      <c r="AG81" t="str">
        <f t="shared" si="22"/>
        <v>23/04/2024</v>
      </c>
      <c r="AH81" t="str">
        <f t="shared" si="23"/>
        <v>2024/05/02</v>
      </c>
      <c r="AI81" t="str">
        <f t="shared" si="24"/>
        <v/>
      </c>
      <c r="AJ81" t="str">
        <f t="shared" si="25"/>
        <v>Not Found</v>
      </c>
      <c r="AK81" t="str">
        <f t="shared" si="26"/>
        <v>Not Found</v>
      </c>
    </row>
    <row r="82" spans="1:37" x14ac:dyDescent="0.35">
      <c r="A82" t="s">
        <v>98</v>
      </c>
      <c r="B82" t="s">
        <v>486</v>
      </c>
      <c r="C82" t="s">
        <v>703</v>
      </c>
      <c r="D82" t="str">
        <f t="shared" si="27"/>
        <v>Conor Barnes</v>
      </c>
      <c r="E82" t="str">
        <f t="shared" si="28"/>
        <v>Conor</v>
      </c>
      <c r="F82" t="str">
        <f t="shared" si="29"/>
        <v>Barnes</v>
      </c>
      <c r="G82" t="s">
        <v>1023</v>
      </c>
      <c r="H82" t="str">
        <f t="shared" si="30"/>
        <v>HR Analyst</v>
      </c>
      <c r="I82" t="s">
        <v>1031</v>
      </c>
      <c r="J82" t="str">
        <f t="shared" si="31"/>
        <v>Technology</v>
      </c>
      <c r="K82" t="s">
        <v>1034</v>
      </c>
      <c r="L82" t="str">
        <f t="shared" si="32"/>
        <v>Scotland</v>
      </c>
      <c r="M82" t="s">
        <v>1044</v>
      </c>
      <c r="N82" t="s">
        <v>1049</v>
      </c>
      <c r="O82" t="str">
        <f t="shared" si="33"/>
        <v>Indeed</v>
      </c>
      <c r="P82" t="s">
        <v>1131</v>
      </c>
      <c r="Q82" s="9">
        <f t="shared" si="17"/>
        <v>45626</v>
      </c>
      <c r="S82" s="9" t="str">
        <f t="shared" si="18"/>
        <v/>
      </c>
      <c r="U82" s="9" t="str">
        <f t="shared" si="19"/>
        <v/>
      </c>
      <c r="W82" s="9" t="str">
        <f t="shared" si="20"/>
        <v/>
      </c>
      <c r="X82" t="s">
        <v>1619</v>
      </c>
      <c r="Y82" s="15">
        <v>31908</v>
      </c>
      <c r="AA82" t="s">
        <v>1624</v>
      </c>
      <c r="AB82" t="s">
        <v>1626</v>
      </c>
      <c r="AC82" s="17">
        <v>3</v>
      </c>
      <c r="AF82" t="str">
        <f t="shared" si="21"/>
        <v>2024/11/30</v>
      </c>
      <c r="AG82" t="str">
        <f t="shared" si="22"/>
        <v/>
      </c>
      <c r="AH82" t="str">
        <f t="shared" si="23"/>
        <v/>
      </c>
      <c r="AI82" t="str">
        <f t="shared" si="24"/>
        <v/>
      </c>
      <c r="AJ82" t="str">
        <f t="shared" si="25"/>
        <v>Not Found</v>
      </c>
      <c r="AK82" t="str">
        <f t="shared" si="26"/>
        <v>Not Found</v>
      </c>
    </row>
    <row r="83" spans="1:37" x14ac:dyDescent="0.35">
      <c r="A83" t="s">
        <v>99</v>
      </c>
      <c r="B83" t="s">
        <v>487</v>
      </c>
      <c r="C83" t="s">
        <v>704</v>
      </c>
      <c r="D83" t="str">
        <f t="shared" si="27"/>
        <v>Janet Turner</v>
      </c>
      <c r="E83" t="str">
        <f t="shared" si="28"/>
        <v>Janet</v>
      </c>
      <c r="F83" t="str">
        <f t="shared" si="29"/>
        <v>Turner</v>
      </c>
      <c r="G83" t="s">
        <v>1023</v>
      </c>
      <c r="H83" t="str">
        <f t="shared" si="30"/>
        <v>HR Analyst</v>
      </c>
      <c r="I83" t="s">
        <v>1030</v>
      </c>
      <c r="J83" t="str">
        <f t="shared" si="31"/>
        <v>Finance</v>
      </c>
      <c r="K83" t="s">
        <v>1033</v>
      </c>
      <c r="L83" t="str">
        <f t="shared" si="32"/>
        <v>Midlands</v>
      </c>
      <c r="M83" t="s">
        <v>1043</v>
      </c>
      <c r="N83" t="s">
        <v>1048</v>
      </c>
      <c r="O83" t="str">
        <f t="shared" si="33"/>
        <v>Referral</v>
      </c>
      <c r="P83" t="s">
        <v>1132</v>
      </c>
      <c r="Q83" s="9">
        <f t="shared" si="17"/>
        <v>45528</v>
      </c>
      <c r="S83" s="9" t="str">
        <f t="shared" si="18"/>
        <v/>
      </c>
      <c r="U83" s="9" t="str">
        <f t="shared" si="19"/>
        <v/>
      </c>
      <c r="W83" s="9" t="str">
        <f t="shared" si="20"/>
        <v/>
      </c>
      <c r="X83" t="s">
        <v>1619</v>
      </c>
      <c r="Y83" s="15">
        <v>49458</v>
      </c>
      <c r="AA83" t="s">
        <v>1625</v>
      </c>
      <c r="AB83" t="s">
        <v>1627</v>
      </c>
      <c r="AC83" s="17">
        <v>4.7</v>
      </c>
      <c r="AF83" t="str">
        <f t="shared" si="21"/>
        <v>2024/08/24</v>
      </c>
      <c r="AG83" t="str">
        <f t="shared" si="22"/>
        <v/>
      </c>
      <c r="AH83" t="str">
        <f t="shared" si="23"/>
        <v/>
      </c>
      <c r="AI83" t="str">
        <f t="shared" si="24"/>
        <v/>
      </c>
      <c r="AJ83" t="str">
        <f t="shared" si="25"/>
        <v>Not Found</v>
      </c>
      <c r="AK83" t="str">
        <f t="shared" si="26"/>
        <v>Not Found</v>
      </c>
    </row>
    <row r="84" spans="1:37" x14ac:dyDescent="0.35">
      <c r="A84" t="s">
        <v>100</v>
      </c>
      <c r="B84" t="s">
        <v>488</v>
      </c>
      <c r="C84" t="s">
        <v>705</v>
      </c>
      <c r="D84" t="str">
        <f t="shared" si="27"/>
        <v>Fiona Savage</v>
      </c>
      <c r="E84" t="str">
        <f t="shared" si="28"/>
        <v>Fiona</v>
      </c>
      <c r="F84" t="str">
        <f t="shared" si="29"/>
        <v>Savage</v>
      </c>
      <c r="G84" t="s">
        <v>1024</v>
      </c>
      <c r="H84" t="str">
        <f t="shared" si="30"/>
        <v>Business Analyst</v>
      </c>
      <c r="I84" t="s">
        <v>1032</v>
      </c>
      <c r="J84" t="str">
        <f t="shared" si="31"/>
        <v>Operations</v>
      </c>
      <c r="K84" t="s">
        <v>1035</v>
      </c>
      <c r="L84" t="str">
        <f t="shared" si="32"/>
        <v>Yorkshire</v>
      </c>
      <c r="M84" t="s">
        <v>1042</v>
      </c>
      <c r="N84" t="s">
        <v>1048</v>
      </c>
      <c r="O84" t="str">
        <f t="shared" si="33"/>
        <v>Referral</v>
      </c>
      <c r="P84" t="s">
        <v>1133</v>
      </c>
      <c r="Q84" s="9">
        <f t="shared" si="17"/>
        <v>45468</v>
      </c>
      <c r="R84" t="s">
        <v>1412</v>
      </c>
      <c r="S84" s="9">
        <f t="shared" si="18"/>
        <v>45496</v>
      </c>
      <c r="T84" t="s">
        <v>1533</v>
      </c>
      <c r="U84" s="9">
        <f t="shared" si="19"/>
        <v>45487</v>
      </c>
      <c r="W84" s="9" t="str">
        <f t="shared" si="20"/>
        <v/>
      </c>
      <c r="X84" t="s">
        <v>1618</v>
      </c>
      <c r="Y84" s="15">
        <v>41675</v>
      </c>
      <c r="Z84" s="15">
        <v>43986</v>
      </c>
      <c r="AA84" t="s">
        <v>1622</v>
      </c>
      <c r="AB84" t="s">
        <v>1626</v>
      </c>
      <c r="AC84" s="17">
        <v>3.7</v>
      </c>
      <c r="AF84" t="str">
        <f t="shared" si="21"/>
        <v>2024/06/25</v>
      </c>
      <c r="AG84" t="str">
        <f t="shared" si="22"/>
        <v>23/07/2024</v>
      </c>
      <c r="AH84" t="str">
        <f t="shared" si="23"/>
        <v>07-14-2024</v>
      </c>
      <c r="AI84" t="str">
        <f t="shared" si="24"/>
        <v/>
      </c>
      <c r="AJ84" t="str">
        <f t="shared" si="25"/>
        <v>Not Found</v>
      </c>
      <c r="AK84" t="str">
        <f t="shared" si="26"/>
        <v>Not Found</v>
      </c>
    </row>
    <row r="85" spans="1:37" x14ac:dyDescent="0.35">
      <c r="A85" t="s">
        <v>101</v>
      </c>
      <c r="B85" t="s">
        <v>489</v>
      </c>
      <c r="C85" t="s">
        <v>706</v>
      </c>
      <c r="D85" t="str">
        <f t="shared" si="27"/>
        <v>Marian Cook</v>
      </c>
      <c r="E85" t="str">
        <f t="shared" si="28"/>
        <v>Marian</v>
      </c>
      <c r="F85" t="str">
        <f t="shared" si="29"/>
        <v>Cook</v>
      </c>
      <c r="G85" t="s">
        <v>1022</v>
      </c>
      <c r="H85" t="str">
        <f t="shared" si="30"/>
        <v>Reporting Analyst</v>
      </c>
      <c r="I85" t="s">
        <v>1031</v>
      </c>
      <c r="J85" t="str">
        <f t="shared" si="31"/>
        <v>Technology</v>
      </c>
      <c r="K85" t="s">
        <v>1040</v>
      </c>
      <c r="L85" t="str">
        <f t="shared" si="32"/>
        <v>North West</v>
      </c>
      <c r="M85" t="s">
        <v>1042</v>
      </c>
      <c r="N85" t="s">
        <v>1046</v>
      </c>
      <c r="O85" t="str">
        <f t="shared" si="33"/>
        <v>Linkedln</v>
      </c>
      <c r="P85" t="s">
        <v>1134</v>
      </c>
      <c r="Q85" s="9">
        <f t="shared" si="17"/>
        <v>45552</v>
      </c>
      <c r="R85" t="s">
        <v>1413</v>
      </c>
      <c r="S85" s="9">
        <f t="shared" si="18"/>
        <v>45559</v>
      </c>
      <c r="U85" s="9" t="str">
        <f t="shared" si="19"/>
        <v/>
      </c>
      <c r="W85" s="9" t="str">
        <f t="shared" si="20"/>
        <v/>
      </c>
      <c r="X85" t="s">
        <v>1615</v>
      </c>
      <c r="Y85" s="15">
        <v>35356</v>
      </c>
      <c r="AA85" t="s">
        <v>1624</v>
      </c>
      <c r="AB85" t="s">
        <v>1626</v>
      </c>
      <c r="AC85" s="17">
        <v>4.5</v>
      </c>
      <c r="AF85" t="str">
        <f t="shared" si="21"/>
        <v>09-17-2024</v>
      </c>
      <c r="AG85" t="str">
        <f t="shared" si="22"/>
        <v>2024/09/24</v>
      </c>
      <c r="AH85" t="str">
        <f t="shared" si="23"/>
        <v/>
      </c>
      <c r="AI85" t="str">
        <f t="shared" si="24"/>
        <v/>
      </c>
      <c r="AJ85" t="str">
        <f t="shared" si="25"/>
        <v>Not Found</v>
      </c>
      <c r="AK85" t="str">
        <f t="shared" si="26"/>
        <v>Not Found</v>
      </c>
    </row>
    <row r="86" spans="1:37" x14ac:dyDescent="0.35">
      <c r="A86" t="s">
        <v>102</v>
      </c>
      <c r="B86" t="s">
        <v>452</v>
      </c>
      <c r="C86" t="s">
        <v>707</v>
      </c>
      <c r="D86" t="str">
        <f t="shared" si="27"/>
        <v>Paul Miller</v>
      </c>
      <c r="E86" t="str">
        <f t="shared" si="28"/>
        <v>Paul</v>
      </c>
      <c r="F86" t="str">
        <f t="shared" si="29"/>
        <v>Miller</v>
      </c>
      <c r="G86" t="s">
        <v>1024</v>
      </c>
      <c r="H86" t="str">
        <f t="shared" si="30"/>
        <v>Business Analyst</v>
      </c>
      <c r="I86" t="s">
        <v>1031</v>
      </c>
      <c r="J86" t="str">
        <f t="shared" si="31"/>
        <v>Technology</v>
      </c>
      <c r="K86" t="s">
        <v>1039</v>
      </c>
      <c r="L86" t="str">
        <f t="shared" si="32"/>
        <v>South East</v>
      </c>
      <c r="M86" t="s">
        <v>1044</v>
      </c>
      <c r="N86" t="s">
        <v>1049</v>
      </c>
      <c r="O86" t="str">
        <f t="shared" si="33"/>
        <v>Indeed</v>
      </c>
      <c r="P86" t="s">
        <v>1083</v>
      </c>
      <c r="Q86" s="9">
        <f t="shared" si="17"/>
        <v>45473</v>
      </c>
      <c r="R86" t="s">
        <v>1414</v>
      </c>
      <c r="S86" s="9">
        <f t="shared" si="18"/>
        <v>45485</v>
      </c>
      <c r="T86" t="s">
        <v>1465</v>
      </c>
      <c r="U86" s="9">
        <f t="shared" si="19"/>
        <v>45504</v>
      </c>
      <c r="V86" t="s">
        <v>1587</v>
      </c>
      <c r="W86" s="9">
        <f t="shared" si="20"/>
        <v>45499</v>
      </c>
      <c r="X86" t="s">
        <v>1620</v>
      </c>
      <c r="Y86" s="15">
        <v>47308</v>
      </c>
      <c r="Z86" s="15">
        <v>49200</v>
      </c>
      <c r="AA86" t="s">
        <v>1625</v>
      </c>
      <c r="AB86" t="s">
        <v>1628</v>
      </c>
      <c r="AC86" s="17">
        <v>4.5</v>
      </c>
      <c r="AF86" t="str">
        <f t="shared" si="21"/>
        <v>2024/06/30</v>
      </c>
      <c r="AG86" t="str">
        <f t="shared" si="22"/>
        <v>07-12-2024</v>
      </c>
      <c r="AH86" t="str">
        <f t="shared" si="23"/>
        <v>31/07/2024</v>
      </c>
      <c r="AI86" t="str">
        <f t="shared" si="24"/>
        <v>2024/07/26</v>
      </c>
      <c r="AJ86" t="str">
        <f t="shared" si="25"/>
        <v>Not Found</v>
      </c>
      <c r="AK86" t="str">
        <f t="shared" si="26"/>
        <v>Not Found</v>
      </c>
    </row>
    <row r="87" spans="1:37" x14ac:dyDescent="0.35">
      <c r="A87" t="s">
        <v>103</v>
      </c>
      <c r="B87" t="s">
        <v>490</v>
      </c>
      <c r="C87" t="s">
        <v>708</v>
      </c>
      <c r="D87" t="str">
        <f t="shared" si="27"/>
        <v>Caroline Russell</v>
      </c>
      <c r="E87" t="str">
        <f t="shared" si="28"/>
        <v>Caroline</v>
      </c>
      <c r="F87" t="str">
        <f t="shared" si="29"/>
        <v>Russell</v>
      </c>
      <c r="G87" t="s">
        <v>1023</v>
      </c>
      <c r="H87" t="str">
        <f t="shared" si="30"/>
        <v>HR Analyst</v>
      </c>
      <c r="I87" t="s">
        <v>1031</v>
      </c>
      <c r="J87" t="str">
        <f t="shared" si="31"/>
        <v>Technology</v>
      </c>
      <c r="K87" t="s">
        <v>1040</v>
      </c>
      <c r="L87" t="str">
        <f t="shared" si="32"/>
        <v>North West</v>
      </c>
      <c r="M87" t="s">
        <v>1041</v>
      </c>
      <c r="N87" t="s">
        <v>1051</v>
      </c>
      <c r="O87" t="str">
        <f t="shared" si="33"/>
        <v>CV Library</v>
      </c>
      <c r="P87" t="s">
        <v>1135</v>
      </c>
      <c r="Q87" s="9">
        <f t="shared" si="17"/>
        <v>45618</v>
      </c>
      <c r="R87" t="s">
        <v>1415</v>
      </c>
      <c r="S87" s="9">
        <f t="shared" si="18"/>
        <v>45630</v>
      </c>
      <c r="U87" s="9" t="str">
        <f t="shared" si="19"/>
        <v/>
      </c>
      <c r="W87" s="9" t="str">
        <f t="shared" si="20"/>
        <v/>
      </c>
      <c r="X87" t="s">
        <v>1615</v>
      </c>
      <c r="Y87" s="15">
        <v>35437</v>
      </c>
      <c r="AA87" t="s">
        <v>1623</v>
      </c>
      <c r="AB87" t="s">
        <v>1628</v>
      </c>
      <c r="AC87" s="17">
        <v>4.2</v>
      </c>
      <c r="AF87" t="str">
        <f t="shared" si="21"/>
        <v>11-22-2024</v>
      </c>
      <c r="AG87" t="str">
        <f t="shared" si="22"/>
        <v>12-04-2024</v>
      </c>
      <c r="AH87" t="str">
        <f t="shared" si="23"/>
        <v/>
      </c>
      <c r="AI87" t="str">
        <f t="shared" si="24"/>
        <v/>
      </c>
      <c r="AJ87" t="str">
        <f t="shared" si="25"/>
        <v>Not Found</v>
      </c>
      <c r="AK87" t="str">
        <f t="shared" si="26"/>
        <v>Not Found</v>
      </c>
    </row>
    <row r="88" spans="1:37" x14ac:dyDescent="0.35">
      <c r="A88" t="s">
        <v>104</v>
      </c>
      <c r="B88" t="s">
        <v>491</v>
      </c>
      <c r="C88" t="s">
        <v>709</v>
      </c>
      <c r="D88" t="str">
        <f t="shared" si="27"/>
        <v>Louise Chadwick</v>
      </c>
      <c r="E88" t="str">
        <f t="shared" si="28"/>
        <v>Louise</v>
      </c>
      <c r="F88" t="str">
        <f t="shared" si="29"/>
        <v>Chadwick</v>
      </c>
      <c r="G88" t="s">
        <v>1027</v>
      </c>
      <c r="H88" t="str">
        <f t="shared" si="30"/>
        <v>Data Analyst</v>
      </c>
      <c r="I88" t="s">
        <v>1028</v>
      </c>
      <c r="J88" t="str">
        <f t="shared" si="31"/>
        <v>HR</v>
      </c>
      <c r="K88" t="s">
        <v>1039</v>
      </c>
      <c r="L88" t="str">
        <f t="shared" si="32"/>
        <v>South East</v>
      </c>
      <c r="M88" t="s">
        <v>1043</v>
      </c>
      <c r="N88" t="s">
        <v>1048</v>
      </c>
      <c r="O88" t="str">
        <f t="shared" si="33"/>
        <v>Referral</v>
      </c>
      <c r="P88" t="s">
        <v>1136</v>
      </c>
      <c r="Q88" s="9">
        <f t="shared" si="17"/>
        <v>45499</v>
      </c>
      <c r="R88" t="s">
        <v>1416</v>
      </c>
      <c r="S88" s="9">
        <f t="shared" si="18"/>
        <v>45524</v>
      </c>
      <c r="U88" s="9" t="str">
        <f t="shared" si="19"/>
        <v/>
      </c>
      <c r="W88" s="9" t="str">
        <f t="shared" si="20"/>
        <v/>
      </c>
      <c r="X88" t="s">
        <v>1615</v>
      </c>
      <c r="Y88" s="15">
        <v>29033</v>
      </c>
      <c r="AA88" t="s">
        <v>1622</v>
      </c>
      <c r="AB88" t="s">
        <v>1628</v>
      </c>
      <c r="AC88" s="17">
        <v>4.8</v>
      </c>
      <c r="AF88" t="str">
        <f t="shared" si="21"/>
        <v>07-26-2024</v>
      </c>
      <c r="AG88" t="str">
        <f t="shared" si="22"/>
        <v>20/08/2024</v>
      </c>
      <c r="AH88" t="str">
        <f t="shared" si="23"/>
        <v/>
      </c>
      <c r="AI88" t="str">
        <f t="shared" si="24"/>
        <v/>
      </c>
      <c r="AJ88" t="str">
        <f t="shared" si="25"/>
        <v>Not Found</v>
      </c>
      <c r="AK88" t="str">
        <f t="shared" si="26"/>
        <v>Not Found</v>
      </c>
    </row>
    <row r="89" spans="1:37" x14ac:dyDescent="0.35">
      <c r="A89" t="s">
        <v>105</v>
      </c>
      <c r="B89" t="s">
        <v>492</v>
      </c>
      <c r="C89" t="s">
        <v>710</v>
      </c>
      <c r="D89" t="str">
        <f t="shared" si="27"/>
        <v>Christopher Taylor</v>
      </c>
      <c r="E89" t="str">
        <f t="shared" si="28"/>
        <v>Christopher</v>
      </c>
      <c r="F89" t="str">
        <f t="shared" si="29"/>
        <v>Taylor</v>
      </c>
      <c r="G89" t="s">
        <v>1023</v>
      </c>
      <c r="H89" t="str">
        <f t="shared" si="30"/>
        <v>HR Analyst</v>
      </c>
      <c r="I89" t="s">
        <v>1028</v>
      </c>
      <c r="J89" t="str">
        <f t="shared" si="31"/>
        <v>HR</v>
      </c>
      <c r="K89" t="s">
        <v>1036</v>
      </c>
      <c r="L89" t="str">
        <f t="shared" si="32"/>
        <v>London</v>
      </c>
      <c r="M89" t="s">
        <v>1045</v>
      </c>
      <c r="N89" t="s">
        <v>1050</v>
      </c>
      <c r="O89" t="str">
        <f t="shared" si="33"/>
        <v>Reed</v>
      </c>
      <c r="P89" t="s">
        <v>1137</v>
      </c>
      <c r="Q89" s="9">
        <f t="shared" si="17"/>
        <v>45704</v>
      </c>
      <c r="S89" s="9" t="str">
        <f t="shared" si="18"/>
        <v/>
      </c>
      <c r="U89" s="9" t="str">
        <f t="shared" si="19"/>
        <v/>
      </c>
      <c r="W89" s="9" t="str">
        <f t="shared" si="20"/>
        <v/>
      </c>
      <c r="X89" t="s">
        <v>1616</v>
      </c>
      <c r="Y89" s="15">
        <v>43841</v>
      </c>
      <c r="AA89" t="s">
        <v>1625</v>
      </c>
      <c r="AB89" t="s">
        <v>1626</v>
      </c>
      <c r="AC89" s="17">
        <v>4.5999999999999996</v>
      </c>
      <c r="AF89" t="str">
        <f t="shared" si="21"/>
        <v>16/02/2025</v>
      </c>
      <c r="AG89" t="str">
        <f t="shared" si="22"/>
        <v/>
      </c>
      <c r="AH89" t="str">
        <f t="shared" si="23"/>
        <v/>
      </c>
      <c r="AI89" t="str">
        <f t="shared" si="24"/>
        <v/>
      </c>
      <c r="AJ89" t="str">
        <f t="shared" si="25"/>
        <v>Not Found</v>
      </c>
      <c r="AK89" t="str">
        <f t="shared" si="26"/>
        <v>Not Found</v>
      </c>
    </row>
    <row r="90" spans="1:37" x14ac:dyDescent="0.35">
      <c r="A90" t="s">
        <v>106</v>
      </c>
      <c r="B90" t="s">
        <v>493</v>
      </c>
      <c r="C90" t="s">
        <v>711</v>
      </c>
      <c r="D90" t="str">
        <f t="shared" si="27"/>
        <v>Paula Jackson</v>
      </c>
      <c r="E90" t="str">
        <f t="shared" si="28"/>
        <v>Paula</v>
      </c>
      <c r="F90" t="str">
        <f t="shared" si="29"/>
        <v>Jackson</v>
      </c>
      <c r="G90" t="s">
        <v>1027</v>
      </c>
      <c r="H90" t="str">
        <f t="shared" si="30"/>
        <v>Data Analyst</v>
      </c>
      <c r="I90" t="s">
        <v>1030</v>
      </c>
      <c r="J90" t="str">
        <f t="shared" si="31"/>
        <v>Finance</v>
      </c>
      <c r="K90" t="s">
        <v>1035</v>
      </c>
      <c r="L90" t="str">
        <f t="shared" si="32"/>
        <v>Yorkshire</v>
      </c>
      <c r="M90" t="s">
        <v>1044</v>
      </c>
      <c r="N90" t="s">
        <v>1049</v>
      </c>
      <c r="O90" t="str">
        <f t="shared" si="33"/>
        <v>Indeed</v>
      </c>
      <c r="P90" t="s">
        <v>1138</v>
      </c>
      <c r="Q90" s="9">
        <f t="shared" si="17"/>
        <v>45583</v>
      </c>
      <c r="S90" s="9" t="str">
        <f t="shared" si="18"/>
        <v/>
      </c>
      <c r="U90" s="9" t="str">
        <f t="shared" si="19"/>
        <v/>
      </c>
      <c r="W90" s="9" t="str">
        <f t="shared" si="20"/>
        <v/>
      </c>
      <c r="X90" t="s">
        <v>1616</v>
      </c>
      <c r="Y90" s="15">
        <v>28352</v>
      </c>
      <c r="AA90" t="s">
        <v>1622</v>
      </c>
      <c r="AB90" t="s">
        <v>1626</v>
      </c>
      <c r="AC90" s="17">
        <v>3.1</v>
      </c>
      <c r="AF90" t="str">
        <f t="shared" si="21"/>
        <v>2024/10/18</v>
      </c>
      <c r="AG90" t="str">
        <f t="shared" si="22"/>
        <v/>
      </c>
      <c r="AH90" t="str">
        <f t="shared" si="23"/>
        <v/>
      </c>
      <c r="AI90" t="str">
        <f t="shared" si="24"/>
        <v/>
      </c>
      <c r="AJ90" t="str">
        <f t="shared" si="25"/>
        <v>Not Found</v>
      </c>
      <c r="AK90" t="str">
        <f t="shared" si="26"/>
        <v>Not Found</v>
      </c>
    </row>
    <row r="91" spans="1:37" x14ac:dyDescent="0.35">
      <c r="A91" t="s">
        <v>107</v>
      </c>
      <c r="B91" t="s">
        <v>494</v>
      </c>
      <c r="C91" t="s">
        <v>712</v>
      </c>
      <c r="D91" t="str">
        <f t="shared" si="27"/>
        <v>Bethany Begum</v>
      </c>
      <c r="E91" t="str">
        <f t="shared" si="28"/>
        <v>Bethany</v>
      </c>
      <c r="F91" t="str">
        <f t="shared" si="29"/>
        <v>Begum</v>
      </c>
      <c r="G91" t="s">
        <v>1022</v>
      </c>
      <c r="H91" t="str">
        <f t="shared" si="30"/>
        <v>Reporting Analyst</v>
      </c>
      <c r="I91" t="s">
        <v>1029</v>
      </c>
      <c r="J91" t="str">
        <f t="shared" si="31"/>
        <v>Commercial</v>
      </c>
      <c r="K91" t="s">
        <v>1035</v>
      </c>
      <c r="L91" t="str">
        <f t="shared" si="32"/>
        <v>Yorkshire</v>
      </c>
      <c r="M91" t="s">
        <v>1044</v>
      </c>
      <c r="N91" t="s">
        <v>1048</v>
      </c>
      <c r="O91" t="str">
        <f t="shared" si="33"/>
        <v>Referral</v>
      </c>
      <c r="P91" t="s">
        <v>1139</v>
      </c>
      <c r="Q91" s="9">
        <f t="shared" si="17"/>
        <v>45767</v>
      </c>
      <c r="R91" t="s">
        <v>1417</v>
      </c>
      <c r="S91" s="9">
        <f t="shared" si="18"/>
        <v>45795</v>
      </c>
      <c r="U91" s="9" t="str">
        <f t="shared" si="19"/>
        <v/>
      </c>
      <c r="W91" s="9" t="str">
        <f t="shared" si="20"/>
        <v/>
      </c>
      <c r="X91" t="s">
        <v>1615</v>
      </c>
      <c r="Y91" s="15">
        <v>36244</v>
      </c>
      <c r="AA91" t="s">
        <v>1621</v>
      </c>
      <c r="AB91" t="s">
        <v>1626</v>
      </c>
      <c r="AC91" s="17">
        <v>3.2</v>
      </c>
      <c r="AF91" t="str">
        <f t="shared" si="21"/>
        <v>04-20-2025</v>
      </c>
      <c r="AG91" t="str">
        <f t="shared" si="22"/>
        <v>05-18-2025</v>
      </c>
      <c r="AH91" t="str">
        <f t="shared" si="23"/>
        <v/>
      </c>
      <c r="AI91" t="str">
        <f t="shared" si="24"/>
        <v/>
      </c>
      <c r="AJ91" t="str">
        <f t="shared" si="25"/>
        <v>Not Found</v>
      </c>
      <c r="AK91" t="str">
        <f t="shared" si="26"/>
        <v>Not Found</v>
      </c>
    </row>
    <row r="92" spans="1:37" x14ac:dyDescent="0.35">
      <c r="A92" t="s">
        <v>108</v>
      </c>
      <c r="B92" t="s">
        <v>443</v>
      </c>
      <c r="C92" t="s">
        <v>713</v>
      </c>
      <c r="D92" t="str">
        <f t="shared" si="27"/>
        <v>Sally Hawkins Sanders</v>
      </c>
      <c r="E92" t="str">
        <f t="shared" si="28"/>
        <v>Sally</v>
      </c>
      <c r="F92" t="str">
        <f t="shared" si="29"/>
        <v>Sanders</v>
      </c>
      <c r="G92" t="s">
        <v>1025</v>
      </c>
      <c r="H92" t="str">
        <f t="shared" si="30"/>
        <v>Finance Analyst</v>
      </c>
      <c r="I92" t="s">
        <v>1029</v>
      </c>
      <c r="J92" t="str">
        <f t="shared" si="31"/>
        <v>Commercial</v>
      </c>
      <c r="K92" t="s">
        <v>1038</v>
      </c>
      <c r="L92" t="str">
        <f t="shared" si="32"/>
        <v>East Midlands</v>
      </c>
      <c r="M92" t="s">
        <v>1042</v>
      </c>
      <c r="N92" t="s">
        <v>1052</v>
      </c>
      <c r="O92" t="str">
        <f t="shared" si="33"/>
        <v>Linkedln</v>
      </c>
      <c r="P92" t="s">
        <v>1140</v>
      </c>
      <c r="Q92" s="9">
        <f t="shared" si="17"/>
        <v>45572</v>
      </c>
      <c r="R92" t="s">
        <v>1118</v>
      </c>
      <c r="S92" s="9">
        <f t="shared" si="18"/>
        <v>45597</v>
      </c>
      <c r="U92" s="9" t="str">
        <f t="shared" si="19"/>
        <v/>
      </c>
      <c r="W92" s="9" t="str">
        <f t="shared" si="20"/>
        <v/>
      </c>
      <c r="X92" t="s">
        <v>1615</v>
      </c>
      <c r="Y92" s="15">
        <v>44770</v>
      </c>
      <c r="AA92" t="s">
        <v>1622</v>
      </c>
      <c r="AB92" t="s">
        <v>1626</v>
      </c>
      <c r="AC92" s="17">
        <v>3.8</v>
      </c>
      <c r="AF92" t="str">
        <f t="shared" si="21"/>
        <v>2024/10/07</v>
      </c>
      <c r="AG92" t="str">
        <f t="shared" si="22"/>
        <v>01/11/2024</v>
      </c>
      <c r="AH92" t="str">
        <f t="shared" si="23"/>
        <v/>
      </c>
      <c r="AI92" t="str">
        <f t="shared" si="24"/>
        <v/>
      </c>
      <c r="AJ92" t="str">
        <f t="shared" si="25"/>
        <v>Not Found</v>
      </c>
      <c r="AK92" t="str">
        <f t="shared" si="26"/>
        <v>Not Found</v>
      </c>
    </row>
    <row r="93" spans="1:37" x14ac:dyDescent="0.35">
      <c r="A93" t="s">
        <v>109</v>
      </c>
      <c r="B93" t="s">
        <v>495</v>
      </c>
      <c r="C93" t="s">
        <v>714</v>
      </c>
      <c r="D93" t="str">
        <f t="shared" si="27"/>
        <v>Norman Williams</v>
      </c>
      <c r="E93" t="str">
        <f t="shared" si="28"/>
        <v>Norman</v>
      </c>
      <c r="F93" t="str">
        <f t="shared" si="29"/>
        <v>Williams</v>
      </c>
      <c r="G93" t="s">
        <v>1025</v>
      </c>
      <c r="H93" t="str">
        <f t="shared" si="30"/>
        <v>Finance Analyst</v>
      </c>
      <c r="I93" t="s">
        <v>1031</v>
      </c>
      <c r="J93" t="str">
        <f t="shared" si="31"/>
        <v>Technology</v>
      </c>
      <c r="K93" t="s">
        <v>1036</v>
      </c>
      <c r="L93" t="str">
        <f t="shared" si="32"/>
        <v>London</v>
      </c>
      <c r="M93" t="s">
        <v>1042</v>
      </c>
      <c r="N93" t="s">
        <v>1049</v>
      </c>
      <c r="O93" t="str">
        <f t="shared" si="33"/>
        <v>Indeed</v>
      </c>
      <c r="P93" t="s">
        <v>1141</v>
      </c>
      <c r="Q93" s="9">
        <f t="shared" si="17"/>
        <v>45372</v>
      </c>
      <c r="S93" s="9" t="str">
        <f t="shared" si="18"/>
        <v/>
      </c>
      <c r="U93" s="9" t="str">
        <f t="shared" si="19"/>
        <v/>
      </c>
      <c r="W93" s="9" t="str">
        <f t="shared" si="20"/>
        <v/>
      </c>
      <c r="X93" t="s">
        <v>1616</v>
      </c>
      <c r="Y93" s="15">
        <v>29639</v>
      </c>
      <c r="AA93" t="s">
        <v>1622</v>
      </c>
      <c r="AB93" t="s">
        <v>1628</v>
      </c>
      <c r="AC93" s="17">
        <v>4.3</v>
      </c>
      <c r="AF93" t="str">
        <f t="shared" si="21"/>
        <v>2024/03/21</v>
      </c>
      <c r="AG93" t="str">
        <f t="shared" si="22"/>
        <v/>
      </c>
      <c r="AH93" t="str">
        <f t="shared" si="23"/>
        <v/>
      </c>
      <c r="AI93" t="str">
        <f t="shared" si="24"/>
        <v/>
      </c>
      <c r="AJ93" t="str">
        <f t="shared" si="25"/>
        <v>Not Found</v>
      </c>
      <c r="AK93" t="str">
        <f t="shared" si="26"/>
        <v>Not Found</v>
      </c>
    </row>
    <row r="94" spans="1:37" x14ac:dyDescent="0.35">
      <c r="A94" t="s">
        <v>110</v>
      </c>
      <c r="B94" t="s">
        <v>496</v>
      </c>
      <c r="C94" t="s">
        <v>715</v>
      </c>
      <c r="D94" t="str">
        <f t="shared" si="27"/>
        <v>Harry Graham</v>
      </c>
      <c r="E94" t="str">
        <f t="shared" si="28"/>
        <v>Harry</v>
      </c>
      <c r="F94" t="str">
        <f t="shared" si="29"/>
        <v>Graham</v>
      </c>
      <c r="G94" t="s">
        <v>1022</v>
      </c>
      <c r="H94" t="str">
        <f t="shared" si="30"/>
        <v>Reporting Analyst</v>
      </c>
      <c r="I94" t="s">
        <v>1029</v>
      </c>
      <c r="J94" t="str">
        <f t="shared" si="31"/>
        <v>Commercial</v>
      </c>
      <c r="K94" t="s">
        <v>1039</v>
      </c>
      <c r="L94" t="str">
        <f t="shared" si="32"/>
        <v>South East</v>
      </c>
      <c r="M94" t="s">
        <v>1041</v>
      </c>
      <c r="N94" t="s">
        <v>1048</v>
      </c>
      <c r="O94" t="str">
        <f t="shared" si="33"/>
        <v>Referral</v>
      </c>
      <c r="P94" t="s">
        <v>1131</v>
      </c>
      <c r="Q94" s="9">
        <f t="shared" si="17"/>
        <v>45626</v>
      </c>
      <c r="R94" t="s">
        <v>1418</v>
      </c>
      <c r="S94" s="9">
        <f t="shared" si="18"/>
        <v>45634</v>
      </c>
      <c r="U94" s="9" t="str">
        <f t="shared" si="19"/>
        <v/>
      </c>
      <c r="W94" s="9" t="str">
        <f t="shared" si="20"/>
        <v/>
      </c>
      <c r="X94" t="s">
        <v>1615</v>
      </c>
      <c r="Y94" s="15">
        <v>44653</v>
      </c>
      <c r="AA94" t="s">
        <v>1621</v>
      </c>
      <c r="AB94" t="s">
        <v>1626</v>
      </c>
      <c r="AC94" s="17">
        <v>2.7</v>
      </c>
      <c r="AF94" t="str">
        <f t="shared" si="21"/>
        <v>2024/11/30</v>
      </c>
      <c r="AG94" t="str">
        <f t="shared" si="22"/>
        <v>2024/12/08</v>
      </c>
      <c r="AH94" t="str">
        <f t="shared" si="23"/>
        <v/>
      </c>
      <c r="AI94" t="str">
        <f t="shared" si="24"/>
        <v/>
      </c>
      <c r="AJ94" t="str">
        <f t="shared" si="25"/>
        <v>Not Found</v>
      </c>
      <c r="AK94" t="str">
        <f t="shared" si="26"/>
        <v>Not Found</v>
      </c>
    </row>
    <row r="95" spans="1:37" x14ac:dyDescent="0.35">
      <c r="A95" t="s">
        <v>111</v>
      </c>
      <c r="B95" t="s">
        <v>431</v>
      </c>
      <c r="C95" t="s">
        <v>716</v>
      </c>
      <c r="D95" t="str">
        <f t="shared" si="27"/>
        <v>Rachel O'Connor</v>
      </c>
      <c r="E95" t="str">
        <f t="shared" si="28"/>
        <v>Rachel</v>
      </c>
      <c r="F95" t="str">
        <f t="shared" si="29"/>
        <v>O'Connor</v>
      </c>
      <c r="G95" t="s">
        <v>1023</v>
      </c>
      <c r="H95" t="str">
        <f t="shared" si="30"/>
        <v>HR Analyst</v>
      </c>
      <c r="I95" t="s">
        <v>1028</v>
      </c>
      <c r="J95" t="str">
        <f t="shared" si="31"/>
        <v>HR</v>
      </c>
      <c r="K95" t="s">
        <v>1039</v>
      </c>
      <c r="L95" t="str">
        <f t="shared" si="32"/>
        <v>South East</v>
      </c>
      <c r="M95" t="s">
        <v>1042</v>
      </c>
      <c r="N95" t="s">
        <v>1052</v>
      </c>
      <c r="O95" t="str">
        <f t="shared" si="33"/>
        <v>Linkedln</v>
      </c>
      <c r="P95" t="s">
        <v>1069</v>
      </c>
      <c r="Q95" s="9">
        <f t="shared" si="17"/>
        <v>45491</v>
      </c>
      <c r="S95" s="9" t="str">
        <f t="shared" si="18"/>
        <v/>
      </c>
      <c r="U95" s="9" t="str">
        <f t="shared" si="19"/>
        <v/>
      </c>
      <c r="W95" s="9" t="str">
        <f t="shared" si="20"/>
        <v/>
      </c>
      <c r="X95" t="s">
        <v>1616</v>
      </c>
      <c r="Y95" s="15">
        <v>50131</v>
      </c>
      <c r="AA95" t="s">
        <v>1624</v>
      </c>
      <c r="AB95" t="s">
        <v>1626</v>
      </c>
      <c r="AC95" s="17">
        <v>4.2</v>
      </c>
      <c r="AF95" t="str">
        <f t="shared" si="21"/>
        <v>2024/07/18</v>
      </c>
      <c r="AG95" t="str">
        <f t="shared" si="22"/>
        <v/>
      </c>
      <c r="AH95" t="str">
        <f t="shared" si="23"/>
        <v/>
      </c>
      <c r="AI95" t="str">
        <f t="shared" si="24"/>
        <v/>
      </c>
      <c r="AJ95" t="str">
        <f t="shared" si="25"/>
        <v>Not Found</v>
      </c>
      <c r="AK95" t="str">
        <f t="shared" si="26"/>
        <v>Not Found</v>
      </c>
    </row>
    <row r="96" spans="1:37" x14ac:dyDescent="0.35">
      <c r="A96" t="s">
        <v>112</v>
      </c>
      <c r="B96" t="s">
        <v>497</v>
      </c>
      <c r="C96" t="s">
        <v>717</v>
      </c>
      <c r="D96" t="str">
        <f t="shared" si="27"/>
        <v>Kyle Green</v>
      </c>
      <c r="E96" t="str">
        <f t="shared" si="28"/>
        <v>Kyle</v>
      </c>
      <c r="F96" t="str">
        <f t="shared" si="29"/>
        <v>Green</v>
      </c>
      <c r="G96" t="s">
        <v>1026</v>
      </c>
      <c r="H96" t="str">
        <f t="shared" si="30"/>
        <v>BI Analyst</v>
      </c>
      <c r="I96" t="s">
        <v>1028</v>
      </c>
      <c r="J96" t="str">
        <f t="shared" si="31"/>
        <v>HR</v>
      </c>
      <c r="K96" t="s">
        <v>1040</v>
      </c>
      <c r="L96" t="str">
        <f t="shared" si="32"/>
        <v>North West</v>
      </c>
      <c r="M96" t="s">
        <v>1044</v>
      </c>
      <c r="N96" t="s">
        <v>1047</v>
      </c>
      <c r="O96" t="str">
        <f t="shared" si="33"/>
        <v>Linkedln</v>
      </c>
      <c r="P96" t="s">
        <v>1142</v>
      </c>
      <c r="Q96" s="9">
        <f t="shared" si="17"/>
        <v>45716</v>
      </c>
      <c r="R96" t="s">
        <v>1419</v>
      </c>
      <c r="S96" s="9">
        <f t="shared" si="18"/>
        <v>45743</v>
      </c>
      <c r="U96" s="9" t="str">
        <f t="shared" si="19"/>
        <v/>
      </c>
      <c r="W96" s="9" t="str">
        <f t="shared" si="20"/>
        <v/>
      </c>
      <c r="X96" t="s">
        <v>1615</v>
      </c>
      <c r="Y96" s="15">
        <v>29691</v>
      </c>
      <c r="AA96" t="s">
        <v>1624</v>
      </c>
      <c r="AB96" t="s">
        <v>1627</v>
      </c>
      <c r="AC96" s="17">
        <v>2.9</v>
      </c>
      <c r="AF96" t="str">
        <f t="shared" si="21"/>
        <v>2025/02/28</v>
      </c>
      <c r="AG96" t="str">
        <f t="shared" si="22"/>
        <v>2025/03/27</v>
      </c>
      <c r="AH96" t="str">
        <f t="shared" si="23"/>
        <v/>
      </c>
      <c r="AI96" t="str">
        <f t="shared" si="24"/>
        <v/>
      </c>
      <c r="AJ96" t="str">
        <f t="shared" si="25"/>
        <v>Not Found</v>
      </c>
      <c r="AK96" t="str">
        <f t="shared" si="26"/>
        <v>Not Found</v>
      </c>
    </row>
    <row r="97" spans="1:37" x14ac:dyDescent="0.35">
      <c r="A97" t="s">
        <v>113</v>
      </c>
      <c r="B97" t="s">
        <v>491</v>
      </c>
      <c r="C97" t="s">
        <v>718</v>
      </c>
      <c r="D97" t="str">
        <f t="shared" si="27"/>
        <v>Barry Thorpe</v>
      </c>
      <c r="E97" t="str">
        <f t="shared" si="28"/>
        <v>Barry</v>
      </c>
      <c r="F97" t="str">
        <f t="shared" si="29"/>
        <v>Thorpe</v>
      </c>
      <c r="G97" t="s">
        <v>1027</v>
      </c>
      <c r="H97" t="str">
        <f t="shared" si="30"/>
        <v>Data Analyst</v>
      </c>
      <c r="I97" t="s">
        <v>1028</v>
      </c>
      <c r="J97" t="str">
        <f t="shared" si="31"/>
        <v>HR</v>
      </c>
      <c r="K97" t="s">
        <v>1033</v>
      </c>
      <c r="L97" t="str">
        <f t="shared" si="32"/>
        <v>Midlands</v>
      </c>
      <c r="M97" t="s">
        <v>1042</v>
      </c>
      <c r="N97" t="s">
        <v>1047</v>
      </c>
      <c r="O97" t="str">
        <f t="shared" si="33"/>
        <v>Linkedln</v>
      </c>
      <c r="P97" t="s">
        <v>1143</v>
      </c>
      <c r="Q97" s="9">
        <f t="shared" si="17"/>
        <v>45422</v>
      </c>
      <c r="S97" s="9" t="str">
        <f t="shared" si="18"/>
        <v/>
      </c>
      <c r="U97" s="9" t="str">
        <f t="shared" si="19"/>
        <v/>
      </c>
      <c r="W97" s="9" t="str">
        <f t="shared" si="20"/>
        <v/>
      </c>
      <c r="X97" t="s">
        <v>1616</v>
      </c>
      <c r="Y97" s="15">
        <v>45176</v>
      </c>
      <c r="AA97" t="s">
        <v>1623</v>
      </c>
      <c r="AB97" t="s">
        <v>1628</v>
      </c>
      <c r="AC97" s="17">
        <v>3.5</v>
      </c>
      <c r="AF97" t="str">
        <f t="shared" si="21"/>
        <v>2024/05/10</v>
      </c>
      <c r="AG97" t="str">
        <f t="shared" si="22"/>
        <v/>
      </c>
      <c r="AH97" t="str">
        <f t="shared" si="23"/>
        <v/>
      </c>
      <c r="AI97" t="str">
        <f t="shared" si="24"/>
        <v/>
      </c>
      <c r="AJ97" t="str">
        <f t="shared" si="25"/>
        <v>Not Found</v>
      </c>
      <c r="AK97" t="str">
        <f t="shared" si="26"/>
        <v>Not Found</v>
      </c>
    </row>
    <row r="98" spans="1:37" x14ac:dyDescent="0.35">
      <c r="A98" t="s">
        <v>114</v>
      </c>
      <c r="B98" t="s">
        <v>498</v>
      </c>
      <c r="C98" t="s">
        <v>719</v>
      </c>
      <c r="D98" t="str">
        <f t="shared" si="27"/>
        <v>Martin Browne Patel</v>
      </c>
      <c r="E98" t="str">
        <f t="shared" si="28"/>
        <v>Martin</v>
      </c>
      <c r="F98" t="str">
        <f t="shared" si="29"/>
        <v>Patel</v>
      </c>
      <c r="G98" t="s">
        <v>1025</v>
      </c>
      <c r="H98" t="str">
        <f t="shared" si="30"/>
        <v>Finance Analyst</v>
      </c>
      <c r="I98" t="s">
        <v>1031</v>
      </c>
      <c r="J98" t="str">
        <f t="shared" si="31"/>
        <v>Technology</v>
      </c>
      <c r="K98" t="s">
        <v>1034</v>
      </c>
      <c r="L98" t="str">
        <f t="shared" si="32"/>
        <v>Scotland</v>
      </c>
      <c r="M98" t="s">
        <v>1045</v>
      </c>
      <c r="N98" t="s">
        <v>1046</v>
      </c>
      <c r="O98" t="str">
        <f t="shared" si="33"/>
        <v>Linkedln</v>
      </c>
      <c r="P98" t="s">
        <v>1144</v>
      </c>
      <c r="Q98" s="9">
        <f t="shared" si="17"/>
        <v>45454</v>
      </c>
      <c r="R98" t="s">
        <v>1081</v>
      </c>
      <c r="S98" s="9">
        <f t="shared" si="18"/>
        <v>45465</v>
      </c>
      <c r="T98" t="s">
        <v>1354</v>
      </c>
      <c r="U98" s="9">
        <f t="shared" si="19"/>
        <v>45479</v>
      </c>
      <c r="V98" t="s">
        <v>1588</v>
      </c>
      <c r="W98" s="9">
        <f t="shared" si="20"/>
        <v>45510</v>
      </c>
      <c r="X98" t="s">
        <v>1620</v>
      </c>
      <c r="Y98" s="15">
        <v>30117</v>
      </c>
      <c r="Z98" s="15">
        <v>33263</v>
      </c>
      <c r="AA98" t="s">
        <v>1621</v>
      </c>
      <c r="AB98" t="s">
        <v>1627</v>
      </c>
      <c r="AC98" s="17">
        <v>2.5</v>
      </c>
      <c r="AF98" t="str">
        <f t="shared" si="21"/>
        <v>2024/06/11</v>
      </c>
      <c r="AG98" t="str">
        <f t="shared" si="22"/>
        <v>2024/06/22</v>
      </c>
      <c r="AH98" t="str">
        <f t="shared" si="23"/>
        <v>07-06-2024</v>
      </c>
      <c r="AI98" t="str">
        <f t="shared" si="24"/>
        <v>08-06-2024</v>
      </c>
      <c r="AJ98" t="str">
        <f t="shared" si="25"/>
        <v>Not Found</v>
      </c>
      <c r="AK98" t="str">
        <f t="shared" si="26"/>
        <v>Not Found</v>
      </c>
    </row>
    <row r="99" spans="1:37" x14ac:dyDescent="0.35">
      <c r="A99" t="s">
        <v>115</v>
      </c>
      <c r="B99" t="s">
        <v>432</v>
      </c>
      <c r="C99" t="s">
        <v>720</v>
      </c>
      <c r="D99" t="str">
        <f t="shared" si="27"/>
        <v>Lorraine Cooper</v>
      </c>
      <c r="E99" t="str">
        <f t="shared" si="28"/>
        <v>Lorraine</v>
      </c>
      <c r="F99" t="str">
        <f t="shared" si="29"/>
        <v>Cooper</v>
      </c>
      <c r="G99" t="s">
        <v>1027</v>
      </c>
      <c r="H99" t="str">
        <f t="shared" si="30"/>
        <v>Data Analyst</v>
      </c>
      <c r="I99" t="s">
        <v>1028</v>
      </c>
      <c r="J99" t="str">
        <f t="shared" si="31"/>
        <v>HR</v>
      </c>
      <c r="K99" t="s">
        <v>1033</v>
      </c>
      <c r="L99" t="str">
        <f t="shared" si="32"/>
        <v>Midlands</v>
      </c>
      <c r="M99" t="s">
        <v>1045</v>
      </c>
      <c r="N99" t="s">
        <v>1052</v>
      </c>
      <c r="O99" t="str">
        <f t="shared" si="33"/>
        <v>Linkedln</v>
      </c>
      <c r="P99" t="s">
        <v>1061</v>
      </c>
      <c r="Q99" s="9">
        <f t="shared" si="17"/>
        <v>45476</v>
      </c>
      <c r="R99" t="s">
        <v>1420</v>
      </c>
      <c r="S99" s="9">
        <f t="shared" si="18"/>
        <v>45482</v>
      </c>
      <c r="U99" s="9" t="str">
        <f t="shared" si="19"/>
        <v/>
      </c>
      <c r="W99" s="9" t="str">
        <f t="shared" si="20"/>
        <v/>
      </c>
      <c r="X99" t="s">
        <v>1615</v>
      </c>
      <c r="Y99" s="15">
        <v>31037</v>
      </c>
      <c r="AA99" t="s">
        <v>1623</v>
      </c>
      <c r="AB99" t="s">
        <v>1627</v>
      </c>
      <c r="AC99" s="17">
        <v>3</v>
      </c>
      <c r="AF99" t="str">
        <f t="shared" si="21"/>
        <v>2024/07/03</v>
      </c>
      <c r="AG99" t="str">
        <f t="shared" si="22"/>
        <v>07-09-2024</v>
      </c>
      <c r="AH99" t="str">
        <f t="shared" si="23"/>
        <v/>
      </c>
      <c r="AI99" t="str">
        <f t="shared" si="24"/>
        <v/>
      </c>
      <c r="AJ99" t="str">
        <f t="shared" si="25"/>
        <v>Not Found</v>
      </c>
      <c r="AK99" t="str">
        <f t="shared" si="26"/>
        <v>Not Found</v>
      </c>
    </row>
    <row r="100" spans="1:37" x14ac:dyDescent="0.35">
      <c r="A100" t="s">
        <v>116</v>
      </c>
      <c r="B100" t="s">
        <v>499</v>
      </c>
      <c r="C100" t="s">
        <v>721</v>
      </c>
      <c r="D100" t="str">
        <f t="shared" si="27"/>
        <v>Adrian Powell</v>
      </c>
      <c r="E100" t="str">
        <f t="shared" si="28"/>
        <v>Adrian</v>
      </c>
      <c r="F100" t="str">
        <f t="shared" si="29"/>
        <v>Powell</v>
      </c>
      <c r="G100" t="s">
        <v>1026</v>
      </c>
      <c r="H100" t="str">
        <f t="shared" si="30"/>
        <v>BI Analyst</v>
      </c>
      <c r="I100" t="s">
        <v>1028</v>
      </c>
      <c r="J100" t="str">
        <f t="shared" si="31"/>
        <v>HR</v>
      </c>
      <c r="K100" t="s">
        <v>1037</v>
      </c>
      <c r="L100" t="str">
        <f t="shared" si="32"/>
        <v>East Midlands</v>
      </c>
      <c r="M100" t="s">
        <v>1041</v>
      </c>
      <c r="N100" t="s">
        <v>1046</v>
      </c>
      <c r="O100" t="str">
        <f t="shared" si="33"/>
        <v>Linkedln</v>
      </c>
      <c r="P100" t="s">
        <v>1145</v>
      </c>
      <c r="Q100" s="9">
        <f t="shared" si="17"/>
        <v>45707</v>
      </c>
      <c r="R100" t="s">
        <v>1172</v>
      </c>
      <c r="S100" s="9">
        <f t="shared" si="18"/>
        <v>45734</v>
      </c>
      <c r="U100" s="9" t="str">
        <f t="shared" si="19"/>
        <v/>
      </c>
      <c r="W100" s="9" t="str">
        <f t="shared" si="20"/>
        <v/>
      </c>
      <c r="X100" t="s">
        <v>1615</v>
      </c>
      <c r="Y100" s="15">
        <v>34556</v>
      </c>
      <c r="AA100" t="s">
        <v>1622</v>
      </c>
      <c r="AB100" t="s">
        <v>1627</v>
      </c>
      <c r="AC100" s="17">
        <v>3.7</v>
      </c>
      <c r="AF100" t="str">
        <f t="shared" si="21"/>
        <v>02-19-2025</v>
      </c>
      <c r="AG100" t="str">
        <f t="shared" si="22"/>
        <v>2025/03/18</v>
      </c>
      <c r="AH100" t="str">
        <f t="shared" si="23"/>
        <v/>
      </c>
      <c r="AI100" t="str">
        <f t="shared" si="24"/>
        <v/>
      </c>
      <c r="AJ100" t="str">
        <f t="shared" si="25"/>
        <v>Not Found</v>
      </c>
      <c r="AK100" t="str">
        <f t="shared" si="26"/>
        <v>Not Found</v>
      </c>
    </row>
    <row r="101" spans="1:37" x14ac:dyDescent="0.35">
      <c r="A101" t="s">
        <v>117</v>
      </c>
      <c r="B101" t="s">
        <v>500</v>
      </c>
      <c r="C101" t="s">
        <v>722</v>
      </c>
      <c r="D101" t="str">
        <f t="shared" si="27"/>
        <v>Jay Dixon</v>
      </c>
      <c r="E101" t="str">
        <f t="shared" si="28"/>
        <v>Jay</v>
      </c>
      <c r="F101" t="str">
        <f t="shared" si="29"/>
        <v>Dixon</v>
      </c>
      <c r="G101" t="s">
        <v>1027</v>
      </c>
      <c r="H101" t="str">
        <f t="shared" si="30"/>
        <v>Data Analyst</v>
      </c>
      <c r="I101" t="s">
        <v>1032</v>
      </c>
      <c r="J101" t="str">
        <f t="shared" si="31"/>
        <v>Operations</v>
      </c>
      <c r="K101" t="s">
        <v>1033</v>
      </c>
      <c r="L101" t="str">
        <f t="shared" si="32"/>
        <v>Midlands</v>
      </c>
      <c r="M101" t="s">
        <v>1041</v>
      </c>
      <c r="N101" t="s">
        <v>1049</v>
      </c>
      <c r="O101" t="str">
        <f t="shared" si="33"/>
        <v>Indeed</v>
      </c>
      <c r="P101" t="s">
        <v>1146</v>
      </c>
      <c r="Q101" s="9">
        <f t="shared" si="17"/>
        <v>45476</v>
      </c>
      <c r="S101" s="9" t="str">
        <f t="shared" si="18"/>
        <v/>
      </c>
      <c r="U101" s="9" t="str">
        <f t="shared" si="19"/>
        <v/>
      </c>
      <c r="W101" s="9" t="str">
        <f t="shared" si="20"/>
        <v/>
      </c>
      <c r="X101" t="s">
        <v>1616</v>
      </c>
      <c r="Y101" s="15">
        <v>51375</v>
      </c>
      <c r="AA101" t="s">
        <v>1624</v>
      </c>
      <c r="AB101" t="s">
        <v>1626</v>
      </c>
      <c r="AC101" s="17">
        <v>3.6</v>
      </c>
      <c r="AF101" t="str">
        <f t="shared" si="21"/>
        <v>03/07/2024</v>
      </c>
      <c r="AG101" t="str">
        <f t="shared" si="22"/>
        <v/>
      </c>
      <c r="AH101" t="str">
        <f t="shared" si="23"/>
        <v/>
      </c>
      <c r="AI101" t="str">
        <f t="shared" si="24"/>
        <v/>
      </c>
      <c r="AJ101" t="str">
        <f t="shared" si="25"/>
        <v>Not Found</v>
      </c>
      <c r="AK101" t="str">
        <f t="shared" si="26"/>
        <v>Not Found</v>
      </c>
    </row>
    <row r="102" spans="1:37" x14ac:dyDescent="0.35">
      <c r="A102" t="s">
        <v>118</v>
      </c>
      <c r="B102" t="s">
        <v>501</v>
      </c>
      <c r="C102" t="s">
        <v>723</v>
      </c>
      <c r="D102" t="str">
        <f t="shared" si="27"/>
        <v>Elaine Young</v>
      </c>
      <c r="E102" t="str">
        <f t="shared" si="28"/>
        <v>Elaine</v>
      </c>
      <c r="F102" t="str">
        <f t="shared" si="29"/>
        <v>Young</v>
      </c>
      <c r="G102" t="s">
        <v>1025</v>
      </c>
      <c r="H102" t="str">
        <f t="shared" si="30"/>
        <v>Finance Analyst</v>
      </c>
      <c r="I102" t="s">
        <v>1032</v>
      </c>
      <c r="J102" t="str">
        <f t="shared" si="31"/>
        <v>Operations</v>
      </c>
      <c r="K102" t="s">
        <v>1039</v>
      </c>
      <c r="L102" t="str">
        <f t="shared" si="32"/>
        <v>South East</v>
      </c>
      <c r="M102" t="s">
        <v>1042</v>
      </c>
      <c r="N102" t="s">
        <v>1051</v>
      </c>
      <c r="O102" t="str">
        <f t="shared" si="33"/>
        <v>CV Library</v>
      </c>
      <c r="P102" t="s">
        <v>1147</v>
      </c>
      <c r="Q102" s="9">
        <f t="shared" si="17"/>
        <v>45549</v>
      </c>
      <c r="S102" s="9" t="str">
        <f t="shared" si="18"/>
        <v/>
      </c>
      <c r="U102" s="9" t="str">
        <f t="shared" si="19"/>
        <v/>
      </c>
      <c r="W102" s="9" t="str">
        <f t="shared" si="20"/>
        <v/>
      </c>
      <c r="X102" t="s">
        <v>1619</v>
      </c>
      <c r="Y102" s="15">
        <v>36335</v>
      </c>
      <c r="AA102" t="s">
        <v>1622</v>
      </c>
      <c r="AB102" t="s">
        <v>1627</v>
      </c>
      <c r="AC102" s="17">
        <v>4.5999999999999996</v>
      </c>
      <c r="AF102" t="str">
        <f t="shared" si="21"/>
        <v>14/09/2024</v>
      </c>
      <c r="AG102" t="str">
        <f t="shared" si="22"/>
        <v/>
      </c>
      <c r="AH102" t="str">
        <f t="shared" si="23"/>
        <v/>
      </c>
      <c r="AI102" t="str">
        <f t="shared" si="24"/>
        <v/>
      </c>
      <c r="AJ102" t="str">
        <f t="shared" si="25"/>
        <v>Not Found</v>
      </c>
      <c r="AK102" t="str">
        <f t="shared" si="26"/>
        <v>Not Found</v>
      </c>
    </row>
    <row r="103" spans="1:37" x14ac:dyDescent="0.35">
      <c r="A103" t="s">
        <v>119</v>
      </c>
      <c r="B103" t="s">
        <v>502</v>
      </c>
      <c r="C103" t="s">
        <v>724</v>
      </c>
      <c r="D103" t="str">
        <f t="shared" si="27"/>
        <v>Melanie Wright</v>
      </c>
      <c r="E103" t="str">
        <f t="shared" si="28"/>
        <v>Melanie</v>
      </c>
      <c r="F103" t="str">
        <f t="shared" si="29"/>
        <v>Wright</v>
      </c>
      <c r="G103" t="s">
        <v>1022</v>
      </c>
      <c r="H103" t="str">
        <f t="shared" si="30"/>
        <v>Reporting Analyst</v>
      </c>
      <c r="I103" t="s">
        <v>1028</v>
      </c>
      <c r="J103" t="str">
        <f t="shared" si="31"/>
        <v>HR</v>
      </c>
      <c r="K103" t="s">
        <v>1038</v>
      </c>
      <c r="L103" t="str">
        <f t="shared" si="32"/>
        <v>East Midlands</v>
      </c>
      <c r="M103" t="s">
        <v>1044</v>
      </c>
      <c r="N103" t="s">
        <v>1052</v>
      </c>
      <c r="O103" t="str">
        <f t="shared" si="33"/>
        <v>Linkedln</v>
      </c>
      <c r="P103" t="s">
        <v>1148</v>
      </c>
      <c r="Q103" s="9">
        <f t="shared" si="17"/>
        <v>45739</v>
      </c>
      <c r="R103" t="s">
        <v>1421</v>
      </c>
      <c r="S103" s="9">
        <f t="shared" si="18"/>
        <v>45755</v>
      </c>
      <c r="T103" t="s">
        <v>1165</v>
      </c>
      <c r="U103" s="9">
        <f t="shared" si="19"/>
        <v>45764</v>
      </c>
      <c r="W103" s="9" t="str">
        <f t="shared" si="20"/>
        <v/>
      </c>
      <c r="X103" t="s">
        <v>1618</v>
      </c>
      <c r="Y103" s="15">
        <v>41843</v>
      </c>
      <c r="Z103" s="15">
        <v>38877</v>
      </c>
      <c r="AA103" t="s">
        <v>1625</v>
      </c>
      <c r="AB103" t="s">
        <v>1627</v>
      </c>
      <c r="AC103" s="17">
        <v>3.2</v>
      </c>
      <c r="AF103" t="str">
        <f t="shared" si="21"/>
        <v>03-23-2025</v>
      </c>
      <c r="AG103" t="str">
        <f t="shared" si="22"/>
        <v>08/04/2025</v>
      </c>
      <c r="AH103" t="str">
        <f t="shared" si="23"/>
        <v>2025/04/17</v>
      </c>
      <c r="AI103" t="str">
        <f t="shared" si="24"/>
        <v/>
      </c>
      <c r="AJ103" t="str">
        <f t="shared" si="25"/>
        <v>Not Found</v>
      </c>
      <c r="AK103" t="str">
        <f t="shared" si="26"/>
        <v>Not Found</v>
      </c>
    </row>
    <row r="104" spans="1:37" x14ac:dyDescent="0.35">
      <c r="A104" t="s">
        <v>120</v>
      </c>
      <c r="B104" t="s">
        <v>503</v>
      </c>
      <c r="C104" t="s">
        <v>725</v>
      </c>
      <c r="D104" t="str">
        <f t="shared" si="27"/>
        <v>Katherine Whittaker</v>
      </c>
      <c r="E104" t="str">
        <f t="shared" si="28"/>
        <v>Katherine</v>
      </c>
      <c r="F104" t="str">
        <f t="shared" si="29"/>
        <v>Whittaker</v>
      </c>
      <c r="G104" t="s">
        <v>1026</v>
      </c>
      <c r="H104" t="str">
        <f t="shared" si="30"/>
        <v>BI Analyst</v>
      </c>
      <c r="I104" t="s">
        <v>1028</v>
      </c>
      <c r="J104" t="str">
        <f t="shared" si="31"/>
        <v>HR</v>
      </c>
      <c r="K104" t="s">
        <v>1033</v>
      </c>
      <c r="L104" t="str">
        <f t="shared" si="32"/>
        <v>Midlands</v>
      </c>
      <c r="M104" t="s">
        <v>1041</v>
      </c>
      <c r="N104" t="s">
        <v>1047</v>
      </c>
      <c r="O104" t="str">
        <f t="shared" si="33"/>
        <v>Linkedln</v>
      </c>
      <c r="P104" t="s">
        <v>1149</v>
      </c>
      <c r="Q104" s="9">
        <f t="shared" si="17"/>
        <v>45614</v>
      </c>
      <c r="R104" t="s">
        <v>1422</v>
      </c>
      <c r="S104" s="9">
        <f t="shared" si="18"/>
        <v>45624</v>
      </c>
      <c r="T104" t="s">
        <v>1534</v>
      </c>
      <c r="U104" s="9">
        <f t="shared" si="19"/>
        <v>45651</v>
      </c>
      <c r="V104" t="s">
        <v>1589</v>
      </c>
      <c r="W104" s="9">
        <f t="shared" si="20"/>
        <v>45654</v>
      </c>
      <c r="X104" t="s">
        <v>1620</v>
      </c>
      <c r="Y104" s="15">
        <v>38124</v>
      </c>
      <c r="Z104" s="15">
        <v>40408</v>
      </c>
      <c r="AA104" t="s">
        <v>1624</v>
      </c>
      <c r="AB104" t="s">
        <v>1628</v>
      </c>
      <c r="AC104" s="17">
        <v>2.4</v>
      </c>
      <c r="AF104" t="str">
        <f t="shared" si="21"/>
        <v>2024/11/18</v>
      </c>
      <c r="AG104" t="str">
        <f t="shared" si="22"/>
        <v>11-28-2024</v>
      </c>
      <c r="AH104" t="str">
        <f t="shared" si="23"/>
        <v>2024/12/25</v>
      </c>
      <c r="AI104" t="str">
        <f t="shared" si="24"/>
        <v>12-28-2024</v>
      </c>
      <c r="AJ104" t="str">
        <f t="shared" si="25"/>
        <v>Not Found</v>
      </c>
      <c r="AK104" t="str">
        <f t="shared" si="26"/>
        <v>Not Found</v>
      </c>
    </row>
    <row r="105" spans="1:37" x14ac:dyDescent="0.35">
      <c r="A105" t="s">
        <v>121</v>
      </c>
      <c r="B105" t="s">
        <v>504</v>
      </c>
      <c r="C105" t="s">
        <v>726</v>
      </c>
      <c r="D105" t="str">
        <f t="shared" si="27"/>
        <v>Jacob Taylor</v>
      </c>
      <c r="E105" t="str">
        <f t="shared" si="28"/>
        <v>Jacob</v>
      </c>
      <c r="F105" t="str">
        <f t="shared" si="29"/>
        <v>Taylor</v>
      </c>
      <c r="G105" t="s">
        <v>1026</v>
      </c>
      <c r="H105" t="str">
        <f t="shared" si="30"/>
        <v>BI Analyst</v>
      </c>
      <c r="I105" t="s">
        <v>1029</v>
      </c>
      <c r="J105" t="str">
        <f t="shared" si="31"/>
        <v>Commercial</v>
      </c>
      <c r="K105" t="s">
        <v>1038</v>
      </c>
      <c r="L105" t="str">
        <f t="shared" si="32"/>
        <v>East Midlands</v>
      </c>
      <c r="M105" t="s">
        <v>1043</v>
      </c>
      <c r="N105" t="s">
        <v>1046</v>
      </c>
      <c r="O105" t="str">
        <f t="shared" si="33"/>
        <v>Linkedln</v>
      </c>
      <c r="P105" t="s">
        <v>1150</v>
      </c>
      <c r="Q105" s="9">
        <f t="shared" si="17"/>
        <v>45709</v>
      </c>
      <c r="S105" s="9" t="str">
        <f t="shared" si="18"/>
        <v/>
      </c>
      <c r="U105" s="9" t="str">
        <f t="shared" si="19"/>
        <v/>
      </c>
      <c r="W105" s="9" t="str">
        <f t="shared" si="20"/>
        <v/>
      </c>
      <c r="X105" t="s">
        <v>1619</v>
      </c>
      <c r="Y105" s="15">
        <v>37650</v>
      </c>
      <c r="AA105" t="s">
        <v>1625</v>
      </c>
      <c r="AB105" t="s">
        <v>1626</v>
      </c>
      <c r="AC105" s="17">
        <v>3.9</v>
      </c>
      <c r="AF105" t="str">
        <f t="shared" si="21"/>
        <v>02-21-2025</v>
      </c>
      <c r="AG105" t="str">
        <f t="shared" si="22"/>
        <v/>
      </c>
      <c r="AH105" t="str">
        <f t="shared" si="23"/>
        <v/>
      </c>
      <c r="AI105" t="str">
        <f t="shared" si="24"/>
        <v/>
      </c>
      <c r="AJ105" t="str">
        <f t="shared" si="25"/>
        <v>Not Found</v>
      </c>
      <c r="AK105" t="str">
        <f t="shared" si="26"/>
        <v>Not Found</v>
      </c>
    </row>
    <row r="106" spans="1:37" x14ac:dyDescent="0.35">
      <c r="A106" t="s">
        <v>122</v>
      </c>
      <c r="B106" t="s">
        <v>505</v>
      </c>
      <c r="C106" t="s">
        <v>727</v>
      </c>
      <c r="D106" t="str">
        <f t="shared" si="27"/>
        <v>Maurice Lee</v>
      </c>
      <c r="E106" t="str">
        <f t="shared" si="28"/>
        <v>Maurice</v>
      </c>
      <c r="F106" t="str">
        <f t="shared" si="29"/>
        <v>Lee</v>
      </c>
      <c r="G106" t="s">
        <v>1024</v>
      </c>
      <c r="H106" t="str">
        <f t="shared" si="30"/>
        <v>Business Analyst</v>
      </c>
      <c r="I106" t="s">
        <v>1029</v>
      </c>
      <c r="J106" t="str">
        <f t="shared" si="31"/>
        <v>Commercial</v>
      </c>
      <c r="K106" t="s">
        <v>1037</v>
      </c>
      <c r="L106" t="str">
        <f t="shared" si="32"/>
        <v>East Midlands</v>
      </c>
      <c r="M106" t="s">
        <v>1041</v>
      </c>
      <c r="N106" t="s">
        <v>1049</v>
      </c>
      <c r="O106" t="str">
        <f t="shared" si="33"/>
        <v>Indeed</v>
      </c>
      <c r="P106" t="s">
        <v>1151</v>
      </c>
      <c r="Q106" s="9">
        <f t="shared" si="17"/>
        <v>45348</v>
      </c>
      <c r="S106" s="9" t="str">
        <f t="shared" si="18"/>
        <v/>
      </c>
      <c r="U106" s="9" t="str">
        <f t="shared" si="19"/>
        <v/>
      </c>
      <c r="W106" s="9" t="str">
        <f t="shared" si="20"/>
        <v/>
      </c>
      <c r="X106" t="s">
        <v>1616</v>
      </c>
      <c r="Y106" s="15">
        <v>46953</v>
      </c>
      <c r="AA106" t="s">
        <v>1621</v>
      </c>
      <c r="AB106" t="s">
        <v>1626</v>
      </c>
      <c r="AC106" s="17">
        <v>4.7</v>
      </c>
      <c r="AF106" t="str">
        <f t="shared" si="21"/>
        <v>2024/02/26</v>
      </c>
      <c r="AG106" t="str">
        <f t="shared" si="22"/>
        <v/>
      </c>
      <c r="AH106" t="str">
        <f t="shared" si="23"/>
        <v/>
      </c>
      <c r="AI106" t="str">
        <f t="shared" si="24"/>
        <v/>
      </c>
      <c r="AJ106" t="str">
        <f t="shared" si="25"/>
        <v>Not Found</v>
      </c>
      <c r="AK106" t="str">
        <f t="shared" si="26"/>
        <v>Not Found</v>
      </c>
    </row>
    <row r="107" spans="1:37" x14ac:dyDescent="0.35">
      <c r="A107" t="s">
        <v>123</v>
      </c>
      <c r="B107" t="s">
        <v>506</v>
      </c>
      <c r="C107" t="s">
        <v>728</v>
      </c>
      <c r="D107" t="str">
        <f t="shared" si="27"/>
        <v>Adam Hussain</v>
      </c>
      <c r="E107" t="str">
        <f t="shared" si="28"/>
        <v>Adam</v>
      </c>
      <c r="F107" t="str">
        <f t="shared" si="29"/>
        <v>Hussain</v>
      </c>
      <c r="G107" t="s">
        <v>1025</v>
      </c>
      <c r="H107" t="str">
        <f t="shared" si="30"/>
        <v>Finance Analyst</v>
      </c>
      <c r="I107" t="s">
        <v>1032</v>
      </c>
      <c r="J107" t="str">
        <f t="shared" si="31"/>
        <v>Operations</v>
      </c>
      <c r="K107" t="s">
        <v>1040</v>
      </c>
      <c r="L107" t="str">
        <f t="shared" si="32"/>
        <v>North West</v>
      </c>
      <c r="M107" t="s">
        <v>1044</v>
      </c>
      <c r="N107" t="s">
        <v>1051</v>
      </c>
      <c r="O107" t="str">
        <f t="shared" si="33"/>
        <v>CV Library</v>
      </c>
      <c r="P107" t="s">
        <v>1152</v>
      </c>
      <c r="Q107" s="9">
        <f t="shared" si="17"/>
        <v>45365</v>
      </c>
      <c r="S107" s="9" t="str">
        <f t="shared" si="18"/>
        <v/>
      </c>
      <c r="U107" s="9" t="str">
        <f t="shared" si="19"/>
        <v/>
      </c>
      <c r="W107" s="9" t="str">
        <f t="shared" si="20"/>
        <v/>
      </c>
      <c r="X107" t="s">
        <v>1616</v>
      </c>
      <c r="Y107" s="15">
        <v>28955</v>
      </c>
      <c r="AA107" t="s">
        <v>1621</v>
      </c>
      <c r="AB107" t="s">
        <v>1626</v>
      </c>
      <c r="AC107" s="17">
        <v>3.7</v>
      </c>
      <c r="AF107" t="str">
        <f t="shared" si="21"/>
        <v>03-14-2024</v>
      </c>
      <c r="AG107" t="str">
        <f t="shared" si="22"/>
        <v/>
      </c>
      <c r="AH107" t="str">
        <f t="shared" si="23"/>
        <v/>
      </c>
      <c r="AI107" t="str">
        <f t="shared" si="24"/>
        <v/>
      </c>
      <c r="AJ107" t="str">
        <f t="shared" si="25"/>
        <v>Not Found</v>
      </c>
      <c r="AK107" t="str">
        <f t="shared" si="26"/>
        <v>Not Found</v>
      </c>
    </row>
    <row r="108" spans="1:37" x14ac:dyDescent="0.35">
      <c r="A108" t="s">
        <v>124</v>
      </c>
      <c r="B108" t="s">
        <v>507</v>
      </c>
      <c r="C108" t="s">
        <v>729</v>
      </c>
      <c r="D108" t="str">
        <f t="shared" si="27"/>
        <v>Gary Adams</v>
      </c>
      <c r="E108" t="str">
        <f t="shared" si="28"/>
        <v>Gary</v>
      </c>
      <c r="F108" t="str">
        <f t="shared" si="29"/>
        <v>Adams</v>
      </c>
      <c r="G108" t="s">
        <v>1025</v>
      </c>
      <c r="H108" t="str">
        <f t="shared" si="30"/>
        <v>Finance Analyst</v>
      </c>
      <c r="I108" t="s">
        <v>1029</v>
      </c>
      <c r="J108" t="str">
        <f t="shared" si="31"/>
        <v>Commercial</v>
      </c>
      <c r="K108" t="s">
        <v>1039</v>
      </c>
      <c r="L108" t="str">
        <f t="shared" si="32"/>
        <v>South East</v>
      </c>
      <c r="M108" t="s">
        <v>1044</v>
      </c>
      <c r="N108" t="s">
        <v>1050</v>
      </c>
      <c r="O108" t="str">
        <f t="shared" si="33"/>
        <v>Reed</v>
      </c>
      <c r="P108" t="s">
        <v>1153</v>
      </c>
      <c r="Q108" s="9">
        <f t="shared" si="17"/>
        <v>45447</v>
      </c>
      <c r="R108" t="s">
        <v>1423</v>
      </c>
      <c r="S108" s="9">
        <f t="shared" si="18"/>
        <v>45472</v>
      </c>
      <c r="T108" t="s">
        <v>1054</v>
      </c>
      <c r="U108" s="9">
        <f t="shared" si="19"/>
        <v>45480</v>
      </c>
      <c r="W108" s="9" t="str">
        <f t="shared" si="20"/>
        <v/>
      </c>
      <c r="X108" t="s">
        <v>1618</v>
      </c>
      <c r="Y108" s="15">
        <v>37558</v>
      </c>
      <c r="Z108" s="15">
        <v>39981</v>
      </c>
      <c r="AA108" t="s">
        <v>1622</v>
      </c>
      <c r="AB108" t="s">
        <v>1626</v>
      </c>
      <c r="AC108" s="17">
        <v>2.4</v>
      </c>
      <c r="AF108" t="str">
        <f t="shared" si="21"/>
        <v>2024/06/04</v>
      </c>
      <c r="AG108" t="str">
        <f t="shared" si="22"/>
        <v>29/06/2024</v>
      </c>
      <c r="AH108" t="str">
        <f t="shared" si="23"/>
        <v>07-07-2024</v>
      </c>
      <c r="AI108" t="str">
        <f t="shared" si="24"/>
        <v/>
      </c>
      <c r="AJ108" t="str">
        <f t="shared" si="25"/>
        <v>Not Found</v>
      </c>
      <c r="AK108" t="str">
        <f t="shared" si="26"/>
        <v>Not Found</v>
      </c>
    </row>
    <row r="109" spans="1:37" x14ac:dyDescent="0.35">
      <c r="A109" t="s">
        <v>125</v>
      </c>
      <c r="B109" t="s">
        <v>508</v>
      </c>
      <c r="C109" t="s">
        <v>730</v>
      </c>
      <c r="D109" t="str">
        <f t="shared" si="27"/>
        <v>Mohamed Moss</v>
      </c>
      <c r="E109" t="str">
        <f t="shared" si="28"/>
        <v>Mohamed</v>
      </c>
      <c r="F109" t="str">
        <f t="shared" si="29"/>
        <v>Moss</v>
      </c>
      <c r="G109" t="s">
        <v>1024</v>
      </c>
      <c r="H109" t="str">
        <f t="shared" si="30"/>
        <v>Business Analyst</v>
      </c>
      <c r="I109" t="s">
        <v>1031</v>
      </c>
      <c r="J109" t="str">
        <f t="shared" si="31"/>
        <v>Technology</v>
      </c>
      <c r="K109" t="s">
        <v>1037</v>
      </c>
      <c r="L109" t="str">
        <f t="shared" si="32"/>
        <v>East Midlands</v>
      </c>
      <c r="M109" t="s">
        <v>1045</v>
      </c>
      <c r="N109" t="s">
        <v>1046</v>
      </c>
      <c r="O109" t="str">
        <f t="shared" si="33"/>
        <v>Linkedln</v>
      </c>
      <c r="P109" t="s">
        <v>1154</v>
      </c>
      <c r="Q109" s="9">
        <f t="shared" si="17"/>
        <v>45435</v>
      </c>
      <c r="R109" t="s">
        <v>1424</v>
      </c>
      <c r="S109" s="9">
        <f t="shared" si="18"/>
        <v>45454</v>
      </c>
      <c r="T109" t="s">
        <v>1535</v>
      </c>
      <c r="U109" s="9">
        <f t="shared" si="19"/>
        <v>45455</v>
      </c>
      <c r="W109" s="9" t="str">
        <f t="shared" si="20"/>
        <v/>
      </c>
      <c r="X109" t="s">
        <v>1618</v>
      </c>
      <c r="Y109" s="15">
        <v>28282</v>
      </c>
      <c r="Z109" s="15">
        <v>27996</v>
      </c>
      <c r="AA109" t="s">
        <v>1622</v>
      </c>
      <c r="AB109" t="s">
        <v>1628</v>
      </c>
      <c r="AC109" s="17">
        <v>2.4</v>
      </c>
      <c r="AF109" t="str">
        <f t="shared" si="21"/>
        <v>05-23-2024</v>
      </c>
      <c r="AG109" t="str">
        <f t="shared" si="22"/>
        <v>06-11-2024</v>
      </c>
      <c r="AH109" t="str">
        <f t="shared" si="23"/>
        <v>2024/06/12</v>
      </c>
      <c r="AI109" t="str">
        <f t="shared" si="24"/>
        <v/>
      </c>
      <c r="AJ109" t="str">
        <f t="shared" si="25"/>
        <v>Not Found</v>
      </c>
      <c r="AK109" t="str">
        <f t="shared" si="26"/>
        <v>Not Found</v>
      </c>
    </row>
    <row r="110" spans="1:37" x14ac:dyDescent="0.35">
      <c r="A110" t="s">
        <v>126</v>
      </c>
      <c r="B110" t="s">
        <v>509</v>
      </c>
      <c r="C110" t="s">
        <v>731</v>
      </c>
      <c r="D110" t="str">
        <f t="shared" si="27"/>
        <v>Lynn Davey</v>
      </c>
      <c r="E110" t="str">
        <f t="shared" si="28"/>
        <v>Lynn</v>
      </c>
      <c r="F110" t="str">
        <f t="shared" si="29"/>
        <v>Davey</v>
      </c>
      <c r="G110" t="s">
        <v>1023</v>
      </c>
      <c r="H110" t="str">
        <f t="shared" si="30"/>
        <v>HR Analyst</v>
      </c>
      <c r="I110" t="s">
        <v>1032</v>
      </c>
      <c r="J110" t="str">
        <f t="shared" si="31"/>
        <v>Operations</v>
      </c>
      <c r="K110" t="s">
        <v>1038</v>
      </c>
      <c r="L110" t="str">
        <f t="shared" si="32"/>
        <v>East Midlands</v>
      </c>
      <c r="M110" t="s">
        <v>1044</v>
      </c>
      <c r="N110" t="s">
        <v>1046</v>
      </c>
      <c r="O110" t="str">
        <f t="shared" si="33"/>
        <v>Linkedln</v>
      </c>
      <c r="P110" t="s">
        <v>1155</v>
      </c>
      <c r="Q110" s="9">
        <f t="shared" si="17"/>
        <v>45422</v>
      </c>
      <c r="R110" t="s">
        <v>1425</v>
      </c>
      <c r="S110" s="9">
        <f t="shared" si="18"/>
        <v>45430</v>
      </c>
      <c r="T110" t="s">
        <v>1536</v>
      </c>
      <c r="U110" s="9">
        <f t="shared" si="19"/>
        <v>45466</v>
      </c>
      <c r="V110" t="s">
        <v>1268</v>
      </c>
      <c r="W110" s="9">
        <f t="shared" si="20"/>
        <v>45456</v>
      </c>
      <c r="X110" t="s">
        <v>1620</v>
      </c>
      <c r="Y110" s="15">
        <v>40603</v>
      </c>
      <c r="Z110" s="15">
        <v>43909</v>
      </c>
      <c r="AA110" t="s">
        <v>1625</v>
      </c>
      <c r="AB110" t="s">
        <v>1628</v>
      </c>
      <c r="AC110" s="17">
        <v>4.3</v>
      </c>
      <c r="AF110" t="str">
        <f t="shared" si="21"/>
        <v>05-10-2024</v>
      </c>
      <c r="AG110" t="str">
        <f t="shared" si="22"/>
        <v>18/05/2024</v>
      </c>
      <c r="AH110" t="str">
        <f t="shared" si="23"/>
        <v>23/06/2024</v>
      </c>
      <c r="AI110" t="str">
        <f t="shared" si="24"/>
        <v>2024/06/13</v>
      </c>
      <c r="AJ110" t="str">
        <f t="shared" si="25"/>
        <v>Not Found</v>
      </c>
      <c r="AK110" t="str">
        <f t="shared" si="26"/>
        <v>Not Found</v>
      </c>
    </row>
    <row r="111" spans="1:37" x14ac:dyDescent="0.35">
      <c r="A111" t="s">
        <v>127</v>
      </c>
      <c r="B111" t="s">
        <v>510</v>
      </c>
      <c r="C111" t="s">
        <v>732</v>
      </c>
      <c r="D111" t="str">
        <f t="shared" si="27"/>
        <v>Ruth Williams</v>
      </c>
      <c r="E111" t="str">
        <f t="shared" si="28"/>
        <v>Ruth</v>
      </c>
      <c r="F111" t="str">
        <f t="shared" si="29"/>
        <v>Williams</v>
      </c>
      <c r="G111" t="s">
        <v>1026</v>
      </c>
      <c r="H111" t="str">
        <f t="shared" si="30"/>
        <v>BI Analyst</v>
      </c>
      <c r="I111" t="s">
        <v>1030</v>
      </c>
      <c r="J111" t="str">
        <f t="shared" si="31"/>
        <v>Finance</v>
      </c>
      <c r="K111" t="s">
        <v>1037</v>
      </c>
      <c r="L111" t="str">
        <f t="shared" si="32"/>
        <v>East Midlands</v>
      </c>
      <c r="M111" t="s">
        <v>1045</v>
      </c>
      <c r="N111" t="s">
        <v>1050</v>
      </c>
      <c r="O111" t="str">
        <f t="shared" si="33"/>
        <v>Reed</v>
      </c>
      <c r="P111" t="s">
        <v>1156</v>
      </c>
      <c r="Q111" s="9">
        <f t="shared" si="17"/>
        <v>45349</v>
      </c>
      <c r="S111" s="9" t="str">
        <f t="shared" si="18"/>
        <v/>
      </c>
      <c r="U111" s="9" t="str">
        <f t="shared" si="19"/>
        <v/>
      </c>
      <c r="W111" s="9" t="str">
        <f t="shared" si="20"/>
        <v/>
      </c>
      <c r="X111" t="s">
        <v>1616</v>
      </c>
      <c r="Y111" s="15">
        <v>32716</v>
      </c>
      <c r="AA111" t="s">
        <v>1624</v>
      </c>
      <c r="AB111" t="s">
        <v>1627</v>
      </c>
      <c r="AC111" s="17">
        <v>5</v>
      </c>
      <c r="AF111" t="str">
        <f t="shared" si="21"/>
        <v>2024/02/27</v>
      </c>
      <c r="AG111" t="str">
        <f t="shared" si="22"/>
        <v/>
      </c>
      <c r="AH111" t="str">
        <f t="shared" si="23"/>
        <v/>
      </c>
      <c r="AI111" t="str">
        <f t="shared" si="24"/>
        <v/>
      </c>
      <c r="AJ111" t="str">
        <f t="shared" si="25"/>
        <v>Not Found</v>
      </c>
      <c r="AK111" t="str">
        <f t="shared" si="26"/>
        <v>Not Found</v>
      </c>
    </row>
    <row r="112" spans="1:37" x14ac:dyDescent="0.35">
      <c r="A112" t="s">
        <v>128</v>
      </c>
      <c r="B112" t="s">
        <v>511</v>
      </c>
      <c r="C112" t="s">
        <v>733</v>
      </c>
      <c r="D112" t="str">
        <f t="shared" si="27"/>
        <v>Natasha Harding</v>
      </c>
      <c r="E112" t="str">
        <f t="shared" si="28"/>
        <v>Natasha</v>
      </c>
      <c r="F112" t="str">
        <f t="shared" si="29"/>
        <v>Harding</v>
      </c>
      <c r="G112" t="s">
        <v>1024</v>
      </c>
      <c r="H112" t="str">
        <f t="shared" si="30"/>
        <v>Business Analyst</v>
      </c>
      <c r="I112" t="s">
        <v>1028</v>
      </c>
      <c r="J112" t="str">
        <f t="shared" si="31"/>
        <v>HR</v>
      </c>
      <c r="K112" t="s">
        <v>1039</v>
      </c>
      <c r="L112" t="str">
        <f t="shared" si="32"/>
        <v>South East</v>
      </c>
      <c r="M112" t="s">
        <v>1045</v>
      </c>
      <c r="N112" t="s">
        <v>1048</v>
      </c>
      <c r="O112" t="str">
        <f t="shared" si="33"/>
        <v>Referral</v>
      </c>
      <c r="P112" t="s">
        <v>1157</v>
      </c>
      <c r="Q112" s="9">
        <f t="shared" si="17"/>
        <v>45684</v>
      </c>
      <c r="S112" s="9" t="str">
        <f t="shared" si="18"/>
        <v/>
      </c>
      <c r="U112" s="9" t="str">
        <f t="shared" si="19"/>
        <v/>
      </c>
      <c r="W112" s="9" t="str">
        <f t="shared" si="20"/>
        <v/>
      </c>
      <c r="X112" t="s">
        <v>1617</v>
      </c>
      <c r="Y112" s="15">
        <v>48799</v>
      </c>
      <c r="AA112" t="s">
        <v>1623</v>
      </c>
      <c r="AB112" t="s">
        <v>1628</v>
      </c>
      <c r="AC112" s="17">
        <v>4.0999999999999996</v>
      </c>
      <c r="AF112" t="str">
        <f t="shared" si="21"/>
        <v>01-27-2025</v>
      </c>
      <c r="AG112" t="str">
        <f t="shared" si="22"/>
        <v/>
      </c>
      <c r="AH112" t="str">
        <f t="shared" si="23"/>
        <v/>
      </c>
      <c r="AI112" t="str">
        <f t="shared" si="24"/>
        <v/>
      </c>
      <c r="AJ112" t="str">
        <f t="shared" si="25"/>
        <v>Not Found</v>
      </c>
      <c r="AK112" t="str">
        <f t="shared" si="26"/>
        <v>Not Found</v>
      </c>
    </row>
    <row r="113" spans="1:37" x14ac:dyDescent="0.35">
      <c r="A113" t="s">
        <v>129</v>
      </c>
      <c r="B113" t="s">
        <v>441</v>
      </c>
      <c r="C113" t="s">
        <v>734</v>
      </c>
      <c r="D113" t="str">
        <f t="shared" si="27"/>
        <v>Peter Smith</v>
      </c>
      <c r="E113" t="str">
        <f t="shared" si="28"/>
        <v>Peter</v>
      </c>
      <c r="F113" t="str">
        <f t="shared" si="29"/>
        <v>Smith</v>
      </c>
      <c r="G113" t="s">
        <v>1027</v>
      </c>
      <c r="H113" t="str">
        <f t="shared" si="30"/>
        <v>Data Analyst</v>
      </c>
      <c r="I113" t="s">
        <v>1028</v>
      </c>
      <c r="J113" t="str">
        <f t="shared" si="31"/>
        <v>HR</v>
      </c>
      <c r="K113" t="s">
        <v>1033</v>
      </c>
      <c r="L113" t="str">
        <f t="shared" si="32"/>
        <v>Midlands</v>
      </c>
      <c r="M113" t="s">
        <v>1042</v>
      </c>
      <c r="N113" t="s">
        <v>1048</v>
      </c>
      <c r="O113" t="str">
        <f t="shared" si="33"/>
        <v>Referral</v>
      </c>
      <c r="P113" t="s">
        <v>1158</v>
      </c>
      <c r="Q113" s="9">
        <f t="shared" si="17"/>
        <v>45623</v>
      </c>
      <c r="S113" s="9" t="str">
        <f t="shared" si="18"/>
        <v/>
      </c>
      <c r="U113" s="9" t="str">
        <f t="shared" si="19"/>
        <v/>
      </c>
      <c r="W113" s="9" t="str">
        <f t="shared" si="20"/>
        <v/>
      </c>
      <c r="X113" t="s">
        <v>1619</v>
      </c>
      <c r="Y113" s="15">
        <v>50511</v>
      </c>
      <c r="AA113" t="s">
        <v>1625</v>
      </c>
      <c r="AB113" t="s">
        <v>1627</v>
      </c>
      <c r="AC113" s="17">
        <v>3.6</v>
      </c>
      <c r="AF113" t="str">
        <f t="shared" si="21"/>
        <v>11-27-2024</v>
      </c>
      <c r="AG113" t="str">
        <f t="shared" si="22"/>
        <v/>
      </c>
      <c r="AH113" t="str">
        <f t="shared" si="23"/>
        <v/>
      </c>
      <c r="AI113" t="str">
        <f t="shared" si="24"/>
        <v/>
      </c>
      <c r="AJ113" t="str">
        <f t="shared" si="25"/>
        <v>Not Found</v>
      </c>
      <c r="AK113" t="str">
        <f t="shared" si="26"/>
        <v>Not Found</v>
      </c>
    </row>
    <row r="114" spans="1:37" x14ac:dyDescent="0.35">
      <c r="A114" t="s">
        <v>130</v>
      </c>
      <c r="B114" t="s">
        <v>512</v>
      </c>
      <c r="C114" t="s">
        <v>735</v>
      </c>
      <c r="D114" t="str">
        <f t="shared" si="27"/>
        <v>Marcus Jones</v>
      </c>
      <c r="E114" t="str">
        <f t="shared" si="28"/>
        <v>Marcus</v>
      </c>
      <c r="F114" t="str">
        <f t="shared" si="29"/>
        <v>Jones</v>
      </c>
      <c r="G114" t="s">
        <v>1027</v>
      </c>
      <c r="H114" t="str">
        <f t="shared" si="30"/>
        <v>Data Analyst</v>
      </c>
      <c r="I114" t="s">
        <v>1028</v>
      </c>
      <c r="J114" t="str">
        <f t="shared" si="31"/>
        <v>HR</v>
      </c>
      <c r="K114" t="s">
        <v>1040</v>
      </c>
      <c r="L114" t="str">
        <f t="shared" si="32"/>
        <v>North West</v>
      </c>
      <c r="M114" t="s">
        <v>1044</v>
      </c>
      <c r="N114" t="s">
        <v>1046</v>
      </c>
      <c r="O114" t="str">
        <f t="shared" si="33"/>
        <v>Linkedln</v>
      </c>
      <c r="P114" t="s">
        <v>1159</v>
      </c>
      <c r="Q114" s="9">
        <f t="shared" si="17"/>
        <v>45339</v>
      </c>
      <c r="S114" s="9" t="str">
        <f t="shared" si="18"/>
        <v/>
      </c>
      <c r="U114" s="9" t="str">
        <f t="shared" si="19"/>
        <v/>
      </c>
      <c r="W114" s="9" t="str">
        <f t="shared" si="20"/>
        <v/>
      </c>
      <c r="X114" t="s">
        <v>1619</v>
      </c>
      <c r="Y114" s="15">
        <v>36699</v>
      </c>
      <c r="AA114" t="s">
        <v>1623</v>
      </c>
      <c r="AB114" t="s">
        <v>1627</v>
      </c>
      <c r="AC114" s="17">
        <v>3.1</v>
      </c>
      <c r="AF114" t="str">
        <f t="shared" si="21"/>
        <v>17/02/2024</v>
      </c>
      <c r="AG114" t="str">
        <f t="shared" si="22"/>
        <v/>
      </c>
      <c r="AH114" t="str">
        <f t="shared" si="23"/>
        <v/>
      </c>
      <c r="AI114" t="str">
        <f t="shared" si="24"/>
        <v/>
      </c>
      <c r="AJ114" t="str">
        <f t="shared" si="25"/>
        <v>Not Found</v>
      </c>
      <c r="AK114" t="str">
        <f t="shared" si="26"/>
        <v>Not Found</v>
      </c>
    </row>
    <row r="115" spans="1:37" x14ac:dyDescent="0.35">
      <c r="A115" t="s">
        <v>131</v>
      </c>
      <c r="B115" t="s">
        <v>502</v>
      </c>
      <c r="C115" t="s">
        <v>736</v>
      </c>
      <c r="D115" t="str">
        <f t="shared" si="27"/>
        <v>Dale Begum</v>
      </c>
      <c r="E115" t="str">
        <f t="shared" si="28"/>
        <v>Dale</v>
      </c>
      <c r="F115" t="str">
        <f t="shared" si="29"/>
        <v>Begum</v>
      </c>
      <c r="G115" t="s">
        <v>1023</v>
      </c>
      <c r="H115" t="str">
        <f t="shared" si="30"/>
        <v>HR Analyst</v>
      </c>
      <c r="I115" t="s">
        <v>1030</v>
      </c>
      <c r="J115" t="str">
        <f t="shared" si="31"/>
        <v>Finance</v>
      </c>
      <c r="K115" t="s">
        <v>1038</v>
      </c>
      <c r="L115" t="str">
        <f t="shared" si="32"/>
        <v>East Midlands</v>
      </c>
      <c r="M115" t="s">
        <v>1043</v>
      </c>
      <c r="N115" t="s">
        <v>1052</v>
      </c>
      <c r="O115" t="str">
        <f t="shared" si="33"/>
        <v>Linkedln</v>
      </c>
      <c r="P115" t="s">
        <v>1160</v>
      </c>
      <c r="Q115" s="9">
        <f t="shared" si="17"/>
        <v>45560</v>
      </c>
      <c r="S115" s="9" t="str">
        <f t="shared" si="18"/>
        <v/>
      </c>
      <c r="U115" s="9" t="str">
        <f t="shared" si="19"/>
        <v/>
      </c>
      <c r="W115" s="9" t="str">
        <f t="shared" si="20"/>
        <v/>
      </c>
      <c r="X115" t="s">
        <v>1616</v>
      </c>
      <c r="Y115" s="15">
        <v>42036</v>
      </c>
      <c r="AA115" t="s">
        <v>1624</v>
      </c>
      <c r="AB115" t="s">
        <v>1628</v>
      </c>
      <c r="AC115" s="17">
        <v>3.4</v>
      </c>
      <c r="AF115" t="str">
        <f t="shared" si="21"/>
        <v>2024/09/25</v>
      </c>
      <c r="AG115" t="str">
        <f t="shared" si="22"/>
        <v/>
      </c>
      <c r="AH115" t="str">
        <f t="shared" si="23"/>
        <v/>
      </c>
      <c r="AI115" t="str">
        <f t="shared" si="24"/>
        <v/>
      </c>
      <c r="AJ115" t="str">
        <f t="shared" si="25"/>
        <v>Not Found</v>
      </c>
      <c r="AK115" t="str">
        <f t="shared" si="26"/>
        <v>Not Found</v>
      </c>
    </row>
    <row r="116" spans="1:37" x14ac:dyDescent="0.35">
      <c r="A116" t="s">
        <v>132</v>
      </c>
      <c r="B116" t="s">
        <v>513</v>
      </c>
      <c r="C116" t="s">
        <v>737</v>
      </c>
      <c r="D116" t="str">
        <f t="shared" si="27"/>
        <v>Chloe Dixon</v>
      </c>
      <c r="E116" t="str">
        <f t="shared" si="28"/>
        <v>Chloe</v>
      </c>
      <c r="F116" t="str">
        <f t="shared" si="29"/>
        <v>Dixon</v>
      </c>
      <c r="G116" t="s">
        <v>1027</v>
      </c>
      <c r="H116" t="str">
        <f t="shared" si="30"/>
        <v>Data Analyst</v>
      </c>
      <c r="I116" t="s">
        <v>1029</v>
      </c>
      <c r="J116" t="str">
        <f t="shared" si="31"/>
        <v>Commercial</v>
      </c>
      <c r="K116" t="s">
        <v>1036</v>
      </c>
      <c r="L116" t="str">
        <f t="shared" si="32"/>
        <v>London</v>
      </c>
      <c r="M116" t="s">
        <v>1041</v>
      </c>
      <c r="N116" t="s">
        <v>1052</v>
      </c>
      <c r="O116" t="str">
        <f t="shared" si="33"/>
        <v>Linkedln</v>
      </c>
      <c r="P116" t="s">
        <v>1161</v>
      </c>
      <c r="Q116" s="9">
        <f t="shared" si="17"/>
        <v>45484</v>
      </c>
      <c r="S116" s="9" t="str">
        <f t="shared" si="18"/>
        <v/>
      </c>
      <c r="U116" s="9" t="str">
        <f t="shared" si="19"/>
        <v/>
      </c>
      <c r="W116" s="9" t="str">
        <f t="shared" si="20"/>
        <v/>
      </c>
      <c r="X116" t="s">
        <v>1619</v>
      </c>
      <c r="Y116" s="15">
        <v>36611</v>
      </c>
      <c r="AA116" t="s">
        <v>1622</v>
      </c>
      <c r="AB116" t="s">
        <v>1626</v>
      </c>
      <c r="AC116" s="17">
        <v>4.5</v>
      </c>
      <c r="AF116" t="str">
        <f t="shared" si="21"/>
        <v>2024/07/11</v>
      </c>
      <c r="AG116" t="str">
        <f t="shared" si="22"/>
        <v/>
      </c>
      <c r="AH116" t="str">
        <f t="shared" si="23"/>
        <v/>
      </c>
      <c r="AI116" t="str">
        <f t="shared" si="24"/>
        <v/>
      </c>
      <c r="AJ116" t="str">
        <f t="shared" si="25"/>
        <v>Not Found</v>
      </c>
      <c r="AK116" t="str">
        <f t="shared" si="26"/>
        <v>Not Found</v>
      </c>
    </row>
    <row r="117" spans="1:37" x14ac:dyDescent="0.35">
      <c r="A117" t="s">
        <v>133</v>
      </c>
      <c r="B117" t="s">
        <v>514</v>
      </c>
      <c r="C117" t="s">
        <v>738</v>
      </c>
      <c r="D117" t="str">
        <f t="shared" si="27"/>
        <v>Mary Thompson</v>
      </c>
      <c r="E117" t="str">
        <f t="shared" si="28"/>
        <v>Mary</v>
      </c>
      <c r="F117" t="str">
        <f t="shared" si="29"/>
        <v>Thompson</v>
      </c>
      <c r="G117" t="s">
        <v>1025</v>
      </c>
      <c r="H117" t="str">
        <f t="shared" si="30"/>
        <v>Finance Analyst</v>
      </c>
      <c r="I117" t="s">
        <v>1028</v>
      </c>
      <c r="J117" t="str">
        <f t="shared" si="31"/>
        <v>HR</v>
      </c>
      <c r="K117" t="s">
        <v>1040</v>
      </c>
      <c r="L117" t="str">
        <f t="shared" si="32"/>
        <v>North West</v>
      </c>
      <c r="M117" t="s">
        <v>1045</v>
      </c>
      <c r="N117" t="s">
        <v>1050</v>
      </c>
      <c r="O117" t="str">
        <f t="shared" si="33"/>
        <v>Reed</v>
      </c>
      <c r="P117" t="s">
        <v>1162</v>
      </c>
      <c r="Q117" s="9">
        <f t="shared" si="17"/>
        <v>45335</v>
      </c>
      <c r="S117" s="9" t="str">
        <f t="shared" si="18"/>
        <v/>
      </c>
      <c r="U117" s="9" t="str">
        <f t="shared" si="19"/>
        <v/>
      </c>
      <c r="W117" s="9" t="str">
        <f t="shared" si="20"/>
        <v/>
      </c>
      <c r="X117" t="s">
        <v>1616</v>
      </c>
      <c r="Y117" s="15">
        <v>46266</v>
      </c>
      <c r="AA117" t="s">
        <v>1622</v>
      </c>
      <c r="AB117" t="s">
        <v>1626</v>
      </c>
      <c r="AC117" s="17">
        <v>4.7</v>
      </c>
      <c r="AF117" t="str">
        <f t="shared" si="21"/>
        <v>02-13-2024</v>
      </c>
      <c r="AG117" t="str">
        <f t="shared" si="22"/>
        <v/>
      </c>
      <c r="AH117" t="str">
        <f t="shared" si="23"/>
        <v/>
      </c>
      <c r="AI117" t="str">
        <f t="shared" si="24"/>
        <v/>
      </c>
      <c r="AJ117" t="str">
        <f t="shared" si="25"/>
        <v>Not Found</v>
      </c>
      <c r="AK117" t="str">
        <f t="shared" si="26"/>
        <v>Not Found</v>
      </c>
    </row>
    <row r="118" spans="1:37" x14ac:dyDescent="0.35">
      <c r="A118" t="s">
        <v>134</v>
      </c>
      <c r="B118" t="s">
        <v>426</v>
      </c>
      <c r="C118" t="s">
        <v>739</v>
      </c>
      <c r="D118" t="str">
        <f t="shared" si="27"/>
        <v>Jason Tomlinson</v>
      </c>
      <c r="E118" t="str">
        <f t="shared" si="28"/>
        <v>Jason</v>
      </c>
      <c r="F118" t="str">
        <f t="shared" si="29"/>
        <v>Tomlinson</v>
      </c>
      <c r="G118" t="s">
        <v>1025</v>
      </c>
      <c r="H118" t="str">
        <f t="shared" si="30"/>
        <v>Finance Analyst</v>
      </c>
      <c r="I118" t="s">
        <v>1029</v>
      </c>
      <c r="J118" t="str">
        <f t="shared" si="31"/>
        <v>Commercial</v>
      </c>
      <c r="K118" t="s">
        <v>1038</v>
      </c>
      <c r="L118" t="str">
        <f t="shared" si="32"/>
        <v>East Midlands</v>
      </c>
      <c r="M118" t="s">
        <v>1045</v>
      </c>
      <c r="N118" t="s">
        <v>1050</v>
      </c>
      <c r="O118" t="str">
        <f t="shared" si="33"/>
        <v>Reed</v>
      </c>
      <c r="P118" t="s">
        <v>1163</v>
      </c>
      <c r="Q118" s="9">
        <f t="shared" si="17"/>
        <v>45741</v>
      </c>
      <c r="R118" t="s">
        <v>1426</v>
      </c>
      <c r="S118" s="9">
        <f t="shared" si="18"/>
        <v>45749</v>
      </c>
      <c r="U118" s="9" t="str">
        <f t="shared" si="19"/>
        <v/>
      </c>
      <c r="W118" s="9" t="str">
        <f t="shared" si="20"/>
        <v/>
      </c>
      <c r="X118" t="s">
        <v>1615</v>
      </c>
      <c r="Y118" s="15">
        <v>37414</v>
      </c>
      <c r="AA118" t="s">
        <v>1625</v>
      </c>
      <c r="AB118" t="s">
        <v>1627</v>
      </c>
      <c r="AC118" s="17">
        <v>2.7</v>
      </c>
      <c r="AF118" t="str">
        <f t="shared" si="21"/>
        <v>03-25-2025</v>
      </c>
      <c r="AG118" t="str">
        <f t="shared" si="22"/>
        <v>2025/04/02</v>
      </c>
      <c r="AH118" t="str">
        <f t="shared" si="23"/>
        <v/>
      </c>
      <c r="AI118" t="str">
        <f t="shared" si="24"/>
        <v/>
      </c>
      <c r="AJ118" t="str">
        <f t="shared" si="25"/>
        <v>Not Found</v>
      </c>
      <c r="AK118" t="str">
        <f t="shared" si="26"/>
        <v>Not Found</v>
      </c>
    </row>
    <row r="119" spans="1:37" x14ac:dyDescent="0.35">
      <c r="A119" t="s">
        <v>135</v>
      </c>
      <c r="B119" t="s">
        <v>515</v>
      </c>
      <c r="C119" t="s">
        <v>740</v>
      </c>
      <c r="D119" t="str">
        <f t="shared" si="27"/>
        <v>Valerie Carter</v>
      </c>
      <c r="E119" t="str">
        <f t="shared" si="28"/>
        <v>Valerie</v>
      </c>
      <c r="F119" t="str">
        <f t="shared" si="29"/>
        <v>Carter</v>
      </c>
      <c r="G119" t="s">
        <v>1023</v>
      </c>
      <c r="H119" t="str">
        <f t="shared" si="30"/>
        <v>HR Analyst</v>
      </c>
      <c r="I119" t="s">
        <v>1032</v>
      </c>
      <c r="J119" t="str">
        <f t="shared" si="31"/>
        <v>Operations</v>
      </c>
      <c r="K119" t="s">
        <v>1039</v>
      </c>
      <c r="L119" t="str">
        <f t="shared" si="32"/>
        <v>South East</v>
      </c>
      <c r="M119" t="s">
        <v>1041</v>
      </c>
      <c r="N119" t="s">
        <v>1048</v>
      </c>
      <c r="O119" t="str">
        <f t="shared" si="33"/>
        <v>Referral</v>
      </c>
      <c r="P119" t="s">
        <v>1164</v>
      </c>
      <c r="Q119" s="9">
        <f t="shared" si="17"/>
        <v>45383</v>
      </c>
      <c r="S119" s="9" t="str">
        <f t="shared" si="18"/>
        <v/>
      </c>
      <c r="U119" s="9" t="str">
        <f t="shared" si="19"/>
        <v/>
      </c>
      <c r="W119" s="9" t="str">
        <f t="shared" si="20"/>
        <v/>
      </c>
      <c r="X119" t="s">
        <v>1616</v>
      </c>
      <c r="Y119" s="15">
        <v>32302</v>
      </c>
      <c r="AA119" t="s">
        <v>1623</v>
      </c>
      <c r="AB119" t="s">
        <v>1628</v>
      </c>
      <c r="AC119" s="17">
        <v>4.4000000000000004</v>
      </c>
      <c r="AF119" t="str">
        <f t="shared" si="21"/>
        <v>01/04/2024</v>
      </c>
      <c r="AG119" t="str">
        <f t="shared" si="22"/>
        <v/>
      </c>
      <c r="AH119" t="str">
        <f t="shared" si="23"/>
        <v/>
      </c>
      <c r="AI119" t="str">
        <f t="shared" si="24"/>
        <v/>
      </c>
      <c r="AJ119" t="str">
        <f t="shared" si="25"/>
        <v>Not Found</v>
      </c>
      <c r="AK119" t="str">
        <f t="shared" si="26"/>
        <v>Not Found</v>
      </c>
    </row>
    <row r="120" spans="1:37" x14ac:dyDescent="0.35">
      <c r="A120" t="s">
        <v>136</v>
      </c>
      <c r="B120" t="s">
        <v>484</v>
      </c>
      <c r="C120" t="s">
        <v>741</v>
      </c>
      <c r="D120" t="str">
        <f t="shared" si="27"/>
        <v>Julia Summers</v>
      </c>
      <c r="E120" t="str">
        <f t="shared" si="28"/>
        <v>Julia</v>
      </c>
      <c r="F120" t="str">
        <f t="shared" si="29"/>
        <v>Summers</v>
      </c>
      <c r="G120" t="s">
        <v>1025</v>
      </c>
      <c r="H120" t="str">
        <f t="shared" si="30"/>
        <v>Finance Analyst</v>
      </c>
      <c r="I120" t="s">
        <v>1032</v>
      </c>
      <c r="J120" t="str">
        <f t="shared" si="31"/>
        <v>Operations</v>
      </c>
      <c r="K120" t="s">
        <v>1038</v>
      </c>
      <c r="L120" t="str">
        <f t="shared" si="32"/>
        <v>East Midlands</v>
      </c>
      <c r="M120" t="s">
        <v>1045</v>
      </c>
      <c r="N120" t="s">
        <v>1051</v>
      </c>
      <c r="O120" t="str">
        <f t="shared" si="33"/>
        <v>CV Library</v>
      </c>
      <c r="P120" t="s">
        <v>1137</v>
      </c>
      <c r="Q120" s="9">
        <f t="shared" si="17"/>
        <v>45704</v>
      </c>
      <c r="S120" s="9" t="str">
        <f t="shared" si="18"/>
        <v/>
      </c>
      <c r="U120" s="9" t="str">
        <f t="shared" si="19"/>
        <v/>
      </c>
      <c r="W120" s="9" t="str">
        <f t="shared" si="20"/>
        <v/>
      </c>
      <c r="X120" t="s">
        <v>1616</v>
      </c>
      <c r="Y120" s="15">
        <v>41530</v>
      </c>
      <c r="AA120" t="s">
        <v>1623</v>
      </c>
      <c r="AB120" t="s">
        <v>1626</v>
      </c>
      <c r="AC120" s="17">
        <v>4.7</v>
      </c>
      <c r="AF120" t="str">
        <f t="shared" si="21"/>
        <v>16/02/2025</v>
      </c>
      <c r="AG120" t="str">
        <f t="shared" si="22"/>
        <v/>
      </c>
      <c r="AH120" t="str">
        <f t="shared" si="23"/>
        <v/>
      </c>
      <c r="AI120" t="str">
        <f t="shared" si="24"/>
        <v/>
      </c>
      <c r="AJ120" t="str">
        <f t="shared" si="25"/>
        <v>Not Found</v>
      </c>
      <c r="AK120" t="str">
        <f t="shared" si="26"/>
        <v>Not Found</v>
      </c>
    </row>
    <row r="121" spans="1:37" x14ac:dyDescent="0.35">
      <c r="A121" t="s">
        <v>137</v>
      </c>
      <c r="B121" t="s">
        <v>438</v>
      </c>
      <c r="C121" t="s">
        <v>742</v>
      </c>
      <c r="D121" t="str">
        <f t="shared" si="27"/>
        <v>Rosie Robertson</v>
      </c>
      <c r="E121" t="str">
        <f t="shared" si="28"/>
        <v>Rosie</v>
      </c>
      <c r="F121" t="str">
        <f t="shared" si="29"/>
        <v>Robertson</v>
      </c>
      <c r="G121" t="s">
        <v>1024</v>
      </c>
      <c r="H121" t="str">
        <f t="shared" si="30"/>
        <v>Business Analyst</v>
      </c>
      <c r="I121" t="s">
        <v>1030</v>
      </c>
      <c r="J121" t="str">
        <f t="shared" si="31"/>
        <v>Finance</v>
      </c>
      <c r="K121" t="s">
        <v>1033</v>
      </c>
      <c r="L121" t="str">
        <f t="shared" si="32"/>
        <v>Midlands</v>
      </c>
      <c r="M121" t="s">
        <v>1044</v>
      </c>
      <c r="N121" t="s">
        <v>1051</v>
      </c>
      <c r="O121" t="str">
        <f t="shared" si="33"/>
        <v>CV Library</v>
      </c>
      <c r="P121" t="s">
        <v>1165</v>
      </c>
      <c r="Q121" s="9">
        <f t="shared" si="17"/>
        <v>45764</v>
      </c>
      <c r="S121" s="9" t="str">
        <f t="shared" si="18"/>
        <v/>
      </c>
      <c r="U121" s="9" t="str">
        <f t="shared" si="19"/>
        <v/>
      </c>
      <c r="W121" s="9" t="str">
        <f t="shared" si="20"/>
        <v/>
      </c>
      <c r="X121" t="s">
        <v>1619</v>
      </c>
      <c r="Y121" s="15">
        <v>31357</v>
      </c>
      <c r="AA121" t="s">
        <v>1625</v>
      </c>
      <c r="AB121" t="s">
        <v>1628</v>
      </c>
      <c r="AC121" s="17">
        <v>3.9</v>
      </c>
      <c r="AF121" t="str">
        <f t="shared" si="21"/>
        <v>2025/04/17</v>
      </c>
      <c r="AG121" t="str">
        <f t="shared" si="22"/>
        <v/>
      </c>
      <c r="AH121" t="str">
        <f t="shared" si="23"/>
        <v/>
      </c>
      <c r="AI121" t="str">
        <f t="shared" si="24"/>
        <v/>
      </c>
      <c r="AJ121" t="str">
        <f t="shared" si="25"/>
        <v>Not Found</v>
      </c>
      <c r="AK121" t="str">
        <f t="shared" si="26"/>
        <v>Not Found</v>
      </c>
    </row>
    <row r="122" spans="1:37" x14ac:dyDescent="0.35">
      <c r="A122" t="s">
        <v>138</v>
      </c>
      <c r="B122" t="s">
        <v>516</v>
      </c>
      <c r="C122" t="s">
        <v>743</v>
      </c>
      <c r="D122" t="str">
        <f t="shared" si="27"/>
        <v>Marie Powell</v>
      </c>
      <c r="E122" t="str">
        <f t="shared" si="28"/>
        <v>Marie</v>
      </c>
      <c r="F122" t="str">
        <f t="shared" si="29"/>
        <v>Powell</v>
      </c>
      <c r="G122" t="s">
        <v>1026</v>
      </c>
      <c r="H122" t="str">
        <f t="shared" si="30"/>
        <v>BI Analyst</v>
      </c>
      <c r="I122" t="s">
        <v>1032</v>
      </c>
      <c r="J122" t="str">
        <f t="shared" si="31"/>
        <v>Operations</v>
      </c>
      <c r="K122" t="s">
        <v>1036</v>
      </c>
      <c r="L122" t="str">
        <f t="shared" si="32"/>
        <v>London</v>
      </c>
      <c r="M122" t="s">
        <v>1041</v>
      </c>
      <c r="N122" t="s">
        <v>1046</v>
      </c>
      <c r="O122" t="str">
        <f t="shared" si="33"/>
        <v>Linkedln</v>
      </c>
      <c r="P122" t="s">
        <v>1166</v>
      </c>
      <c r="Q122" s="9">
        <f t="shared" si="17"/>
        <v>45535</v>
      </c>
      <c r="S122" s="9" t="str">
        <f t="shared" si="18"/>
        <v/>
      </c>
      <c r="U122" s="9" t="str">
        <f t="shared" si="19"/>
        <v/>
      </c>
      <c r="W122" s="9" t="str">
        <f t="shared" si="20"/>
        <v/>
      </c>
      <c r="X122" t="s">
        <v>1619</v>
      </c>
      <c r="Y122" s="15">
        <v>37399</v>
      </c>
      <c r="AA122" t="s">
        <v>1623</v>
      </c>
      <c r="AB122" t="s">
        <v>1627</v>
      </c>
      <c r="AC122" s="17">
        <v>2.1</v>
      </c>
      <c r="AF122" t="str">
        <f t="shared" si="21"/>
        <v>31/08/2024</v>
      </c>
      <c r="AG122" t="str">
        <f t="shared" si="22"/>
        <v/>
      </c>
      <c r="AH122" t="str">
        <f t="shared" si="23"/>
        <v/>
      </c>
      <c r="AI122" t="str">
        <f t="shared" si="24"/>
        <v/>
      </c>
      <c r="AJ122" t="str">
        <f t="shared" si="25"/>
        <v>Not Found</v>
      </c>
      <c r="AK122" t="str">
        <f t="shared" si="26"/>
        <v>Not Found</v>
      </c>
    </row>
    <row r="123" spans="1:37" x14ac:dyDescent="0.35">
      <c r="A123" t="s">
        <v>139</v>
      </c>
      <c r="B123" t="s">
        <v>517</v>
      </c>
      <c r="C123" t="s">
        <v>744</v>
      </c>
      <c r="D123" t="str">
        <f t="shared" si="27"/>
        <v>Toby Ball</v>
      </c>
      <c r="E123" t="str">
        <f t="shared" si="28"/>
        <v>Toby</v>
      </c>
      <c r="F123" t="str">
        <f t="shared" si="29"/>
        <v>Ball</v>
      </c>
      <c r="G123" t="s">
        <v>1025</v>
      </c>
      <c r="H123" t="str">
        <f t="shared" si="30"/>
        <v>Finance Analyst</v>
      </c>
      <c r="I123" t="s">
        <v>1028</v>
      </c>
      <c r="J123" t="str">
        <f t="shared" si="31"/>
        <v>HR</v>
      </c>
      <c r="K123" t="s">
        <v>1038</v>
      </c>
      <c r="L123" t="str">
        <f t="shared" si="32"/>
        <v>East Midlands</v>
      </c>
      <c r="M123" t="s">
        <v>1045</v>
      </c>
      <c r="N123" t="s">
        <v>1048</v>
      </c>
      <c r="O123" t="str">
        <f t="shared" si="33"/>
        <v>Referral</v>
      </c>
      <c r="P123" t="s">
        <v>1167</v>
      </c>
      <c r="Q123" s="9">
        <f t="shared" si="17"/>
        <v>45760</v>
      </c>
      <c r="R123" t="s">
        <v>1427</v>
      </c>
      <c r="S123" s="9">
        <f t="shared" si="18"/>
        <v>45790</v>
      </c>
      <c r="T123" t="s">
        <v>1104</v>
      </c>
      <c r="U123" s="9">
        <f t="shared" si="19"/>
        <v>45785</v>
      </c>
      <c r="W123" s="9" t="str">
        <f t="shared" si="20"/>
        <v/>
      </c>
      <c r="X123" t="s">
        <v>1618</v>
      </c>
      <c r="Y123" s="15">
        <v>44009</v>
      </c>
      <c r="Z123" s="15">
        <v>42486</v>
      </c>
      <c r="AA123" t="s">
        <v>1621</v>
      </c>
      <c r="AB123" t="s">
        <v>1628</v>
      </c>
      <c r="AC123" s="17">
        <v>2.8</v>
      </c>
      <c r="AF123" t="str">
        <f t="shared" si="21"/>
        <v>13/04/2025</v>
      </c>
      <c r="AG123" t="str">
        <f t="shared" si="22"/>
        <v>2025/05/13</v>
      </c>
      <c r="AH123" t="str">
        <f t="shared" si="23"/>
        <v>2025/05/08</v>
      </c>
      <c r="AI123" t="str">
        <f t="shared" si="24"/>
        <v/>
      </c>
      <c r="AJ123" t="str">
        <f t="shared" si="25"/>
        <v>Not Found</v>
      </c>
      <c r="AK123" t="str">
        <f t="shared" si="26"/>
        <v>Not Found</v>
      </c>
    </row>
    <row r="124" spans="1:37" x14ac:dyDescent="0.35">
      <c r="A124" t="s">
        <v>140</v>
      </c>
      <c r="B124" t="s">
        <v>518</v>
      </c>
      <c r="C124" t="s">
        <v>745</v>
      </c>
      <c r="D124" t="str">
        <f t="shared" si="27"/>
        <v>Matthew Willis</v>
      </c>
      <c r="E124" t="str">
        <f t="shared" si="28"/>
        <v>Matthew</v>
      </c>
      <c r="F124" t="str">
        <f t="shared" si="29"/>
        <v>Willis</v>
      </c>
      <c r="G124" t="s">
        <v>1026</v>
      </c>
      <c r="H124" t="str">
        <f t="shared" si="30"/>
        <v>BI Analyst</v>
      </c>
      <c r="I124" t="s">
        <v>1029</v>
      </c>
      <c r="J124" t="str">
        <f t="shared" si="31"/>
        <v>Commercial</v>
      </c>
      <c r="K124" t="s">
        <v>1038</v>
      </c>
      <c r="L124" t="str">
        <f t="shared" si="32"/>
        <v>East Midlands</v>
      </c>
      <c r="M124" t="s">
        <v>1041</v>
      </c>
      <c r="N124" t="s">
        <v>1052</v>
      </c>
      <c r="O124" t="str">
        <f t="shared" si="33"/>
        <v>Linkedln</v>
      </c>
      <c r="P124" t="s">
        <v>1168</v>
      </c>
      <c r="Q124" s="9">
        <f t="shared" si="17"/>
        <v>45630</v>
      </c>
      <c r="R124" t="s">
        <v>1246</v>
      </c>
      <c r="S124" s="9">
        <f t="shared" si="18"/>
        <v>45660</v>
      </c>
      <c r="T124" t="s">
        <v>1537</v>
      </c>
      <c r="U124" s="9">
        <f t="shared" si="19"/>
        <v>45659</v>
      </c>
      <c r="W124" s="9" t="str">
        <f t="shared" si="20"/>
        <v/>
      </c>
      <c r="X124" t="s">
        <v>1618</v>
      </c>
      <c r="Y124" s="15">
        <v>39148</v>
      </c>
      <c r="Z124" s="15">
        <v>42401</v>
      </c>
      <c r="AA124" t="s">
        <v>1622</v>
      </c>
      <c r="AB124" t="s">
        <v>1628</v>
      </c>
      <c r="AC124" s="17">
        <v>2.6</v>
      </c>
      <c r="AF124" t="str">
        <f t="shared" si="21"/>
        <v>04/12/2024</v>
      </c>
      <c r="AG124" t="str">
        <f t="shared" si="22"/>
        <v>2025/01/03</v>
      </c>
      <c r="AH124" t="str">
        <f t="shared" si="23"/>
        <v>2025/01/02</v>
      </c>
      <c r="AI124" t="str">
        <f t="shared" si="24"/>
        <v/>
      </c>
      <c r="AJ124" t="str">
        <f t="shared" si="25"/>
        <v>Not Found</v>
      </c>
      <c r="AK124" t="str">
        <f t="shared" si="26"/>
        <v>Not Found</v>
      </c>
    </row>
    <row r="125" spans="1:37" x14ac:dyDescent="0.35">
      <c r="A125" t="s">
        <v>141</v>
      </c>
      <c r="B125" t="s">
        <v>519</v>
      </c>
      <c r="C125" t="s">
        <v>746</v>
      </c>
      <c r="D125" t="str">
        <f t="shared" si="27"/>
        <v>Richard Stanley</v>
      </c>
      <c r="E125" t="str">
        <f t="shared" si="28"/>
        <v>Richard</v>
      </c>
      <c r="F125" t="str">
        <f t="shared" si="29"/>
        <v>Stanley</v>
      </c>
      <c r="G125" t="s">
        <v>1023</v>
      </c>
      <c r="H125" t="str">
        <f t="shared" si="30"/>
        <v>HR Analyst</v>
      </c>
      <c r="I125" t="s">
        <v>1032</v>
      </c>
      <c r="J125" t="str">
        <f t="shared" si="31"/>
        <v>Operations</v>
      </c>
      <c r="K125" t="s">
        <v>1034</v>
      </c>
      <c r="L125" t="str">
        <f t="shared" si="32"/>
        <v>Scotland</v>
      </c>
      <c r="M125" t="s">
        <v>1042</v>
      </c>
      <c r="N125" t="s">
        <v>1048</v>
      </c>
      <c r="O125" t="str">
        <f t="shared" si="33"/>
        <v>Referral</v>
      </c>
      <c r="P125" t="s">
        <v>1169</v>
      </c>
      <c r="Q125" s="9">
        <f t="shared" si="17"/>
        <v>45388</v>
      </c>
      <c r="R125" t="s">
        <v>1428</v>
      </c>
      <c r="S125" s="9">
        <f t="shared" si="18"/>
        <v>45400</v>
      </c>
      <c r="U125" s="9" t="str">
        <f t="shared" si="19"/>
        <v/>
      </c>
      <c r="W125" s="9" t="str">
        <f t="shared" si="20"/>
        <v/>
      </c>
      <c r="X125" t="s">
        <v>1615</v>
      </c>
      <c r="Y125" s="15">
        <v>40438</v>
      </c>
      <c r="AA125" t="s">
        <v>1625</v>
      </c>
      <c r="AB125" t="s">
        <v>1627</v>
      </c>
      <c r="AC125" s="17">
        <v>4</v>
      </c>
      <c r="AF125" t="str">
        <f t="shared" si="21"/>
        <v>2024/04/06</v>
      </c>
      <c r="AG125" t="str">
        <f t="shared" si="22"/>
        <v>04-18-2024</v>
      </c>
      <c r="AH125" t="str">
        <f t="shared" si="23"/>
        <v/>
      </c>
      <c r="AI125" t="str">
        <f t="shared" si="24"/>
        <v/>
      </c>
      <c r="AJ125" t="str">
        <f t="shared" si="25"/>
        <v>Not Found</v>
      </c>
      <c r="AK125" t="str">
        <f t="shared" si="26"/>
        <v>Not Found</v>
      </c>
    </row>
    <row r="126" spans="1:37" x14ac:dyDescent="0.35">
      <c r="A126" t="s">
        <v>142</v>
      </c>
      <c r="B126" t="s">
        <v>520</v>
      </c>
      <c r="C126" t="s">
        <v>747</v>
      </c>
      <c r="D126" t="str">
        <f t="shared" si="27"/>
        <v>Francesca Barton Rowe</v>
      </c>
      <c r="E126" t="str">
        <f t="shared" si="28"/>
        <v>Francesca</v>
      </c>
      <c r="F126" t="str">
        <f t="shared" si="29"/>
        <v>Rowe</v>
      </c>
      <c r="G126" t="s">
        <v>1026</v>
      </c>
      <c r="H126" t="str">
        <f t="shared" si="30"/>
        <v>BI Analyst</v>
      </c>
      <c r="I126" t="s">
        <v>1030</v>
      </c>
      <c r="J126" t="str">
        <f t="shared" si="31"/>
        <v>Finance</v>
      </c>
      <c r="K126" t="s">
        <v>1036</v>
      </c>
      <c r="L126" t="str">
        <f t="shared" si="32"/>
        <v>London</v>
      </c>
      <c r="M126" t="s">
        <v>1043</v>
      </c>
      <c r="N126" t="s">
        <v>1048</v>
      </c>
      <c r="O126" t="str">
        <f t="shared" si="33"/>
        <v>Referral</v>
      </c>
      <c r="P126" t="s">
        <v>1170</v>
      </c>
      <c r="Q126" s="9">
        <f t="shared" si="17"/>
        <v>45373</v>
      </c>
      <c r="S126" s="9" t="str">
        <f t="shared" si="18"/>
        <v/>
      </c>
      <c r="U126" s="9" t="str">
        <f t="shared" si="19"/>
        <v/>
      </c>
      <c r="W126" s="9" t="str">
        <f t="shared" si="20"/>
        <v/>
      </c>
      <c r="X126" t="s">
        <v>1617</v>
      </c>
      <c r="Y126" s="15">
        <v>28932</v>
      </c>
      <c r="AA126" t="s">
        <v>1623</v>
      </c>
      <c r="AB126" t="s">
        <v>1626</v>
      </c>
      <c r="AC126" s="17">
        <v>3.6</v>
      </c>
      <c r="AF126" t="str">
        <f t="shared" si="21"/>
        <v>03-22-2024</v>
      </c>
      <c r="AG126" t="str">
        <f t="shared" si="22"/>
        <v/>
      </c>
      <c r="AH126" t="str">
        <f t="shared" si="23"/>
        <v/>
      </c>
      <c r="AI126" t="str">
        <f t="shared" si="24"/>
        <v/>
      </c>
      <c r="AJ126" t="str">
        <f t="shared" si="25"/>
        <v>Not Found</v>
      </c>
      <c r="AK126" t="str">
        <f t="shared" si="26"/>
        <v>Not Found</v>
      </c>
    </row>
    <row r="127" spans="1:37" x14ac:dyDescent="0.35">
      <c r="A127" t="s">
        <v>143</v>
      </c>
      <c r="B127" t="s">
        <v>521</v>
      </c>
      <c r="C127" t="s">
        <v>748</v>
      </c>
      <c r="D127" t="str">
        <f t="shared" si="27"/>
        <v>Terence Simpson</v>
      </c>
      <c r="E127" t="str">
        <f t="shared" si="28"/>
        <v>Terence</v>
      </c>
      <c r="F127" t="str">
        <f t="shared" si="29"/>
        <v>Simpson</v>
      </c>
      <c r="G127" t="s">
        <v>1026</v>
      </c>
      <c r="H127" t="str">
        <f t="shared" si="30"/>
        <v>BI Analyst</v>
      </c>
      <c r="I127" t="s">
        <v>1032</v>
      </c>
      <c r="J127" t="str">
        <f t="shared" si="31"/>
        <v>Operations</v>
      </c>
      <c r="K127" t="s">
        <v>1035</v>
      </c>
      <c r="L127" t="str">
        <f t="shared" si="32"/>
        <v>Yorkshire</v>
      </c>
      <c r="M127" t="s">
        <v>1043</v>
      </c>
      <c r="N127" t="s">
        <v>1046</v>
      </c>
      <c r="O127" t="str">
        <f t="shared" si="33"/>
        <v>Linkedln</v>
      </c>
      <c r="P127" t="s">
        <v>1171</v>
      </c>
      <c r="Q127" s="9">
        <f t="shared" si="17"/>
        <v>45342</v>
      </c>
      <c r="R127" t="s">
        <v>1429</v>
      </c>
      <c r="S127" s="9">
        <f t="shared" si="18"/>
        <v>45363</v>
      </c>
      <c r="U127" s="9" t="str">
        <f t="shared" si="19"/>
        <v/>
      </c>
      <c r="W127" s="9" t="str">
        <f t="shared" si="20"/>
        <v/>
      </c>
      <c r="X127" t="s">
        <v>1615</v>
      </c>
      <c r="Y127" s="15">
        <v>39847</v>
      </c>
      <c r="AA127" t="s">
        <v>1622</v>
      </c>
      <c r="AB127" t="s">
        <v>1628</v>
      </c>
      <c r="AC127" s="17">
        <v>2.9</v>
      </c>
      <c r="AF127" t="str">
        <f t="shared" si="21"/>
        <v>2024/02/20</v>
      </c>
      <c r="AG127" t="str">
        <f t="shared" si="22"/>
        <v>03-12-2024</v>
      </c>
      <c r="AH127" t="str">
        <f t="shared" si="23"/>
        <v/>
      </c>
      <c r="AI127" t="str">
        <f t="shared" si="24"/>
        <v/>
      </c>
      <c r="AJ127" t="str">
        <f t="shared" si="25"/>
        <v>Not Found</v>
      </c>
      <c r="AK127" t="str">
        <f t="shared" si="26"/>
        <v>Not Found</v>
      </c>
    </row>
    <row r="128" spans="1:37" x14ac:dyDescent="0.35">
      <c r="A128" t="s">
        <v>144</v>
      </c>
      <c r="B128" t="s">
        <v>436</v>
      </c>
      <c r="C128" t="s">
        <v>749</v>
      </c>
      <c r="D128" t="str">
        <f t="shared" si="27"/>
        <v>Callum King</v>
      </c>
      <c r="E128" t="str">
        <f t="shared" si="28"/>
        <v>Callum</v>
      </c>
      <c r="F128" t="str">
        <f t="shared" si="29"/>
        <v>King</v>
      </c>
      <c r="G128" t="s">
        <v>1027</v>
      </c>
      <c r="H128" t="str">
        <f t="shared" si="30"/>
        <v>Data Analyst</v>
      </c>
      <c r="I128" t="s">
        <v>1032</v>
      </c>
      <c r="J128" t="str">
        <f t="shared" si="31"/>
        <v>Operations</v>
      </c>
      <c r="K128" t="s">
        <v>1035</v>
      </c>
      <c r="L128" t="str">
        <f t="shared" si="32"/>
        <v>Yorkshire</v>
      </c>
      <c r="M128" t="s">
        <v>1043</v>
      </c>
      <c r="N128" t="s">
        <v>1049</v>
      </c>
      <c r="O128" t="str">
        <f t="shared" si="33"/>
        <v>Indeed</v>
      </c>
      <c r="P128" t="s">
        <v>1172</v>
      </c>
      <c r="Q128" s="9">
        <f t="shared" si="17"/>
        <v>45734</v>
      </c>
      <c r="R128" t="s">
        <v>1430</v>
      </c>
      <c r="S128" s="9">
        <f t="shared" si="18"/>
        <v>45750</v>
      </c>
      <c r="T128" t="s">
        <v>1538</v>
      </c>
      <c r="U128" s="9">
        <f t="shared" si="19"/>
        <v>45756</v>
      </c>
      <c r="W128" s="9" t="str">
        <f t="shared" si="20"/>
        <v/>
      </c>
      <c r="X128" t="s">
        <v>1618</v>
      </c>
      <c r="Y128" s="15">
        <v>49923</v>
      </c>
      <c r="Z128" s="15">
        <v>48271</v>
      </c>
      <c r="AA128" t="s">
        <v>1622</v>
      </c>
      <c r="AB128" t="s">
        <v>1626</v>
      </c>
      <c r="AC128" s="17">
        <v>2.8</v>
      </c>
      <c r="AF128" t="str">
        <f t="shared" si="21"/>
        <v>2025/03/18</v>
      </c>
      <c r="AG128" t="str">
        <f t="shared" si="22"/>
        <v>04-03-2025</v>
      </c>
      <c r="AH128" t="str">
        <f t="shared" si="23"/>
        <v>04-09-2025</v>
      </c>
      <c r="AI128" t="str">
        <f t="shared" si="24"/>
        <v/>
      </c>
      <c r="AJ128" t="str">
        <f t="shared" si="25"/>
        <v>Not Found</v>
      </c>
      <c r="AK128" t="str">
        <f t="shared" si="26"/>
        <v>Not Found</v>
      </c>
    </row>
    <row r="129" spans="1:37" x14ac:dyDescent="0.35">
      <c r="A129" t="s">
        <v>145</v>
      </c>
      <c r="B129" t="s">
        <v>522</v>
      </c>
      <c r="C129" t="s">
        <v>750</v>
      </c>
      <c r="D129" t="str">
        <f t="shared" si="27"/>
        <v>William Bryant</v>
      </c>
      <c r="E129" t="str">
        <f t="shared" si="28"/>
        <v>William</v>
      </c>
      <c r="F129" t="str">
        <f t="shared" si="29"/>
        <v>Bryant</v>
      </c>
      <c r="G129" t="s">
        <v>1024</v>
      </c>
      <c r="H129" t="str">
        <f t="shared" si="30"/>
        <v>Business Analyst</v>
      </c>
      <c r="I129" t="s">
        <v>1032</v>
      </c>
      <c r="J129" t="str">
        <f t="shared" si="31"/>
        <v>Operations</v>
      </c>
      <c r="K129" t="s">
        <v>1034</v>
      </c>
      <c r="L129" t="str">
        <f t="shared" si="32"/>
        <v>Scotland</v>
      </c>
      <c r="M129" t="s">
        <v>1041</v>
      </c>
      <c r="N129" t="s">
        <v>1048</v>
      </c>
      <c r="O129" t="str">
        <f t="shared" si="33"/>
        <v>Referral</v>
      </c>
      <c r="P129" t="s">
        <v>1173</v>
      </c>
      <c r="Q129" s="9">
        <f t="shared" si="17"/>
        <v>45668</v>
      </c>
      <c r="S129" s="9" t="str">
        <f t="shared" si="18"/>
        <v/>
      </c>
      <c r="U129" s="9" t="str">
        <f t="shared" si="19"/>
        <v/>
      </c>
      <c r="W129" s="9" t="str">
        <f t="shared" si="20"/>
        <v/>
      </c>
      <c r="X129" t="s">
        <v>1619</v>
      </c>
      <c r="Y129" s="15">
        <v>51921</v>
      </c>
      <c r="AA129" t="s">
        <v>1621</v>
      </c>
      <c r="AB129" t="s">
        <v>1627</v>
      </c>
      <c r="AC129" s="17">
        <v>2.4</v>
      </c>
      <c r="AF129" t="str">
        <f t="shared" si="21"/>
        <v>01-11-2025</v>
      </c>
      <c r="AG129" t="str">
        <f t="shared" si="22"/>
        <v/>
      </c>
      <c r="AH129" t="str">
        <f t="shared" si="23"/>
        <v/>
      </c>
      <c r="AI129" t="str">
        <f t="shared" si="24"/>
        <v/>
      </c>
      <c r="AJ129" t="str">
        <f t="shared" si="25"/>
        <v>Not Found</v>
      </c>
      <c r="AK129" t="str">
        <f t="shared" si="26"/>
        <v>Not Found</v>
      </c>
    </row>
    <row r="130" spans="1:37" x14ac:dyDescent="0.35">
      <c r="A130" t="s">
        <v>146</v>
      </c>
      <c r="B130" t="s">
        <v>523</v>
      </c>
      <c r="C130" t="s">
        <v>751</v>
      </c>
      <c r="D130" t="str">
        <f t="shared" si="27"/>
        <v>Henry Knight</v>
      </c>
      <c r="E130" t="str">
        <f t="shared" si="28"/>
        <v>Henry</v>
      </c>
      <c r="F130" t="str">
        <f t="shared" si="29"/>
        <v>Knight</v>
      </c>
      <c r="G130" t="s">
        <v>1022</v>
      </c>
      <c r="H130" t="str">
        <f t="shared" si="30"/>
        <v>Reporting Analyst</v>
      </c>
      <c r="I130" t="s">
        <v>1028</v>
      </c>
      <c r="J130" t="str">
        <f t="shared" si="31"/>
        <v>HR</v>
      </c>
      <c r="K130" t="s">
        <v>1033</v>
      </c>
      <c r="L130" t="str">
        <f t="shared" si="32"/>
        <v>Midlands</v>
      </c>
      <c r="M130" t="s">
        <v>1042</v>
      </c>
      <c r="N130" t="s">
        <v>1047</v>
      </c>
      <c r="O130" t="str">
        <f t="shared" si="33"/>
        <v>Linkedln</v>
      </c>
      <c r="P130" t="s">
        <v>1174</v>
      </c>
      <c r="Q130" s="9">
        <f t="shared" ref="Q130:Q193" si="34">IF(IFERROR(FIND("-",AF130),0)=3,DATE(RIGHT(AF130,4),LEFT(AF130,2),MID(AF130,4,2)), IF(IFERROR(FIND("/",AF130)=5,0), DATE(LEFT(AF130,4),MID(AF130,6,2),RIGHT(AF130,2)), DATE(RIGHT(AF130,4), MID(AF130,4,2), LEFT(AF130,2))))</f>
        <v>45482</v>
      </c>
      <c r="R130" t="s">
        <v>1250</v>
      </c>
      <c r="S130" s="9">
        <f t="shared" ref="S130:S193" si="35">IFERROR( IF(IFERROR(FIND("-",AG130),0)=3, DATE(RIGHT(AG130,4),LEFT(AG130,2),MID(AG130,4,2)),  IF(IFERROR(FIND("/",AG130)=5,0), DATE(LEFT(AG130,4),MID(AG130,6,2),RIGHT(AG130,2)), DATE(RIGHT(AG130,4), MID(AG130,4,2), LEFT(AG130,2)))),"")</f>
        <v>45509</v>
      </c>
      <c r="T130" t="s">
        <v>1539</v>
      </c>
      <c r="U130" s="9">
        <f t="shared" ref="U130:U193" si="36">IFERROR( IF(IFERROR(FIND("-",AH130),0)=3, DATE(RIGHT(AH130,4),LEFT(AH130,2),MID(AH130,4,2)),  IF(IFERROR(FIND("/",AH130)=5,0), DATE(LEFT(AH130,4),MID(AH130,6,2),RIGHT(AH130,2)), DATE(RIGHT(AH130,4), MID(AH130,4,2), LEFT(AH130,2)))),"")</f>
        <v>45522</v>
      </c>
      <c r="V130" t="s">
        <v>1590</v>
      </c>
      <c r="W130" s="9">
        <f t="shared" ref="W130:W193" si="37">IFERROR( IF(IFERROR(FIND("-",AI130),0)=3, DATE(RIGHT(AI130,4),LEFT(AI130,2),MID(AI130,4,2)),  IF(IFERROR(FIND("/",AI130)=5,0), DATE(LEFT(AI130,4),MID(AI130,6,2),RIGHT(AI130,2)), DATE(RIGHT(AI130,4), MID(AI130,4,2), LEFT(AI130,2)))),"")</f>
        <v>45542</v>
      </c>
      <c r="X130" t="s">
        <v>1620</v>
      </c>
      <c r="Y130" s="15">
        <v>35794</v>
      </c>
      <c r="Z130" s="15">
        <v>38904</v>
      </c>
      <c r="AA130" t="s">
        <v>1623</v>
      </c>
      <c r="AB130" t="s">
        <v>1628</v>
      </c>
      <c r="AC130" s="17">
        <v>3.7</v>
      </c>
      <c r="AF130" t="str">
        <f t="shared" ref="AF130:AF193" si="38">IF(IFERROR(FIND("-",P130),0) = 5, SUBSTITUTE(P130,"-","/"), P130)</f>
        <v>2024/07/09</v>
      </c>
      <c r="AG130" t="str">
        <f t="shared" ref="AG130:AG193" si="39">IF(R130 = "", "", IF(IFERROR(FIND("-",R130),0) = 5, SUBSTITUTE(R130,"-","/"), R130))</f>
        <v>05/08/2024</v>
      </c>
      <c r="AH130" t="str">
        <f t="shared" ref="AH130:AH193" si="40">IF(T130 = "", "", IF(IFERROR(FIND("-",T130),0) = 5, SUBSTITUTE(T130,"-","/"), T130))</f>
        <v>2024/08/18</v>
      </c>
      <c r="AI130" t="str">
        <f t="shared" ref="AI130:AI193" si="41">IF(V130 = "", "", IF(IFERROR(FIND("-",V130),0) = 5, SUBSTITUTE(V130,"-","/"), V130))</f>
        <v>2024/09/07</v>
      </c>
      <c r="AJ130" t="str">
        <f t="shared" ref="AJ130:AJ193" si="42">IFERROR(FIND(" ",X130),"Not Found")</f>
        <v>Not Found</v>
      </c>
      <c r="AK130" t="str">
        <f t="shared" ref="AK130:AK193" si="43">IFERROR(FIND(" ",AA130), "Not Found")</f>
        <v>Not Found</v>
      </c>
    </row>
    <row r="131" spans="1:37" x14ac:dyDescent="0.35">
      <c r="A131" t="s">
        <v>147</v>
      </c>
      <c r="B131" t="s">
        <v>524</v>
      </c>
      <c r="C131" t="s">
        <v>752</v>
      </c>
      <c r="D131" t="str">
        <f t="shared" ref="D131:D194" si="44">PROPER(TRIM(SUBSTITUTE(SUBSTITUTE(SUBSTITUTE(SUBSTITUTE(SUBSTITUTE(SUBSTITUTE(C131,"Mr "," "),"Dr "," "),"-"," "),"Miss "," "),"Mrs "," "),"Ms ", " ")))</f>
        <v>John Blake</v>
      </c>
      <c r="E131" t="str">
        <f t="shared" ref="E131:E194" si="45">_xlfn.TEXTBEFORE(D131," ",1,,,)</f>
        <v>John</v>
      </c>
      <c r="F131" t="str">
        <f t="shared" ref="F131:F194" si="46">_xlfn.TEXTAFTER(D131," ",-1,,,)</f>
        <v>Blake</v>
      </c>
      <c r="G131" t="s">
        <v>1027</v>
      </c>
      <c r="H131" t="str">
        <f t="shared" ref="H131:H194" si="47">TRIM(G131)</f>
        <v>Data Analyst</v>
      </c>
      <c r="I131" t="s">
        <v>1032</v>
      </c>
      <c r="J131" t="str">
        <f t="shared" ref="J131:J194" si="48">TRIM(I131)</f>
        <v>Operations</v>
      </c>
      <c r="K131" t="s">
        <v>1035</v>
      </c>
      <c r="L131" t="str">
        <f t="shared" ref="L131:L194" si="49">PROPER(TRIM(K131))</f>
        <v>Yorkshire</v>
      </c>
      <c r="M131" t="s">
        <v>1045</v>
      </c>
      <c r="N131" t="s">
        <v>1050</v>
      </c>
      <c r="O131" t="str">
        <f t="shared" ref="O131:O194" si="50">IF(OR(TRIM(N131) = "linkedin", TRIM(N131) = "LI"),"Linkedln",TRIM(N131))</f>
        <v>Reed</v>
      </c>
      <c r="P131" t="s">
        <v>1175</v>
      </c>
      <c r="Q131" s="9">
        <f t="shared" si="34"/>
        <v>45771</v>
      </c>
      <c r="S131" s="9" t="str">
        <f t="shared" si="35"/>
        <v/>
      </c>
      <c r="U131" s="9" t="str">
        <f t="shared" si="36"/>
        <v/>
      </c>
      <c r="W131" s="9" t="str">
        <f t="shared" si="37"/>
        <v/>
      </c>
      <c r="X131" t="s">
        <v>1619</v>
      </c>
      <c r="Y131" s="15">
        <v>34504</v>
      </c>
      <c r="AA131" t="s">
        <v>1622</v>
      </c>
      <c r="AB131" t="s">
        <v>1627</v>
      </c>
      <c r="AC131" s="17">
        <v>2.7</v>
      </c>
      <c r="AF131" t="str">
        <f t="shared" si="38"/>
        <v>04-24-2025</v>
      </c>
      <c r="AG131" t="str">
        <f t="shared" si="39"/>
        <v/>
      </c>
      <c r="AH131" t="str">
        <f t="shared" si="40"/>
        <v/>
      </c>
      <c r="AI131" t="str">
        <f t="shared" si="41"/>
        <v/>
      </c>
      <c r="AJ131" t="str">
        <f t="shared" si="42"/>
        <v>Not Found</v>
      </c>
      <c r="AK131" t="str">
        <f t="shared" si="43"/>
        <v>Not Found</v>
      </c>
    </row>
    <row r="132" spans="1:37" x14ac:dyDescent="0.35">
      <c r="A132" t="s">
        <v>148</v>
      </c>
      <c r="B132" t="s">
        <v>525</v>
      </c>
      <c r="C132" t="s">
        <v>753</v>
      </c>
      <c r="D132" t="str">
        <f t="shared" si="44"/>
        <v>Stewart Smith</v>
      </c>
      <c r="E132" t="str">
        <f t="shared" si="45"/>
        <v>Stewart</v>
      </c>
      <c r="F132" t="str">
        <f t="shared" si="46"/>
        <v>Smith</v>
      </c>
      <c r="G132" t="s">
        <v>1025</v>
      </c>
      <c r="H132" t="str">
        <f t="shared" si="47"/>
        <v>Finance Analyst</v>
      </c>
      <c r="I132" t="s">
        <v>1031</v>
      </c>
      <c r="J132" t="str">
        <f t="shared" si="48"/>
        <v>Technology</v>
      </c>
      <c r="K132" t="s">
        <v>1040</v>
      </c>
      <c r="L132" t="str">
        <f t="shared" si="49"/>
        <v>North West</v>
      </c>
      <c r="M132" t="s">
        <v>1041</v>
      </c>
      <c r="N132" t="s">
        <v>1051</v>
      </c>
      <c r="O132" t="str">
        <f t="shared" si="50"/>
        <v>CV Library</v>
      </c>
      <c r="P132" t="s">
        <v>1079</v>
      </c>
      <c r="Q132" s="9">
        <f t="shared" si="34"/>
        <v>45679</v>
      </c>
      <c r="S132" s="9" t="str">
        <f t="shared" si="35"/>
        <v/>
      </c>
      <c r="U132" s="9" t="str">
        <f t="shared" si="36"/>
        <v/>
      </c>
      <c r="W132" s="9" t="str">
        <f t="shared" si="37"/>
        <v/>
      </c>
      <c r="X132" t="s">
        <v>1619</v>
      </c>
      <c r="Y132" s="15">
        <v>43590</v>
      </c>
      <c r="AA132" t="s">
        <v>1622</v>
      </c>
      <c r="AB132" t="s">
        <v>1627</v>
      </c>
      <c r="AC132" s="17">
        <v>3.4</v>
      </c>
      <c r="AF132" t="str">
        <f t="shared" si="38"/>
        <v>01-22-2025</v>
      </c>
      <c r="AG132" t="str">
        <f t="shared" si="39"/>
        <v/>
      </c>
      <c r="AH132" t="str">
        <f t="shared" si="40"/>
        <v/>
      </c>
      <c r="AI132" t="str">
        <f t="shared" si="41"/>
        <v/>
      </c>
      <c r="AJ132" t="str">
        <f t="shared" si="42"/>
        <v>Not Found</v>
      </c>
      <c r="AK132" t="str">
        <f t="shared" si="43"/>
        <v>Not Found</v>
      </c>
    </row>
    <row r="133" spans="1:37" x14ac:dyDescent="0.35">
      <c r="A133" t="s">
        <v>149</v>
      </c>
      <c r="B133" t="s">
        <v>526</v>
      </c>
      <c r="C133" t="s">
        <v>754</v>
      </c>
      <c r="D133" t="str">
        <f t="shared" si="44"/>
        <v>Reece O'Brien Hawkins</v>
      </c>
      <c r="E133" t="str">
        <f t="shared" si="45"/>
        <v>Reece</v>
      </c>
      <c r="F133" t="str">
        <f t="shared" si="46"/>
        <v>Hawkins</v>
      </c>
      <c r="G133" t="s">
        <v>1023</v>
      </c>
      <c r="H133" t="str">
        <f t="shared" si="47"/>
        <v>HR Analyst</v>
      </c>
      <c r="I133" t="s">
        <v>1029</v>
      </c>
      <c r="J133" t="str">
        <f t="shared" si="48"/>
        <v>Commercial</v>
      </c>
      <c r="K133" t="s">
        <v>1034</v>
      </c>
      <c r="L133" t="str">
        <f t="shared" si="49"/>
        <v>Scotland</v>
      </c>
      <c r="M133" t="s">
        <v>1041</v>
      </c>
      <c r="N133" t="s">
        <v>1050</v>
      </c>
      <c r="O133" t="str">
        <f t="shared" si="50"/>
        <v>Reed</v>
      </c>
      <c r="P133" t="s">
        <v>1176</v>
      </c>
      <c r="Q133" s="9">
        <f t="shared" si="34"/>
        <v>45301</v>
      </c>
      <c r="R133" t="s">
        <v>1431</v>
      </c>
      <c r="S133" s="9">
        <f t="shared" si="35"/>
        <v>45319</v>
      </c>
      <c r="T133" t="s">
        <v>1540</v>
      </c>
      <c r="U133" s="9">
        <f t="shared" si="36"/>
        <v>45338</v>
      </c>
      <c r="V133" t="s">
        <v>1591</v>
      </c>
      <c r="W133" s="9">
        <f t="shared" si="37"/>
        <v>45331</v>
      </c>
      <c r="X133" t="s">
        <v>1620</v>
      </c>
      <c r="Y133" s="15">
        <v>41560</v>
      </c>
      <c r="Z133" s="15">
        <v>41245</v>
      </c>
      <c r="AA133" t="s">
        <v>1622</v>
      </c>
      <c r="AB133" t="s">
        <v>1627</v>
      </c>
      <c r="AC133" s="17">
        <v>3.4</v>
      </c>
      <c r="AF133" t="str">
        <f t="shared" si="38"/>
        <v>01-10-2024</v>
      </c>
      <c r="AG133" t="str">
        <f t="shared" si="39"/>
        <v>2024/01/28</v>
      </c>
      <c r="AH133" t="str">
        <f t="shared" si="40"/>
        <v>02-16-2024</v>
      </c>
      <c r="AI133" t="str">
        <f t="shared" si="41"/>
        <v>09/02/2024</v>
      </c>
      <c r="AJ133" t="str">
        <f t="shared" si="42"/>
        <v>Not Found</v>
      </c>
      <c r="AK133" t="str">
        <f t="shared" si="43"/>
        <v>Not Found</v>
      </c>
    </row>
    <row r="134" spans="1:37" x14ac:dyDescent="0.35">
      <c r="A134" t="s">
        <v>150</v>
      </c>
      <c r="B134" t="s">
        <v>451</v>
      </c>
      <c r="C134" t="s">
        <v>755</v>
      </c>
      <c r="D134" t="str">
        <f t="shared" si="44"/>
        <v>Sean Dunn</v>
      </c>
      <c r="E134" t="str">
        <f t="shared" si="45"/>
        <v>Sean</v>
      </c>
      <c r="F134" t="str">
        <f t="shared" si="46"/>
        <v>Dunn</v>
      </c>
      <c r="G134" t="s">
        <v>1027</v>
      </c>
      <c r="H134" t="str">
        <f t="shared" si="47"/>
        <v>Data Analyst</v>
      </c>
      <c r="I134" t="s">
        <v>1032</v>
      </c>
      <c r="J134" t="str">
        <f t="shared" si="48"/>
        <v>Operations</v>
      </c>
      <c r="K134" t="s">
        <v>1038</v>
      </c>
      <c r="L134" t="str">
        <f t="shared" si="49"/>
        <v>East Midlands</v>
      </c>
      <c r="M134" t="s">
        <v>1044</v>
      </c>
      <c r="N134" t="s">
        <v>1052</v>
      </c>
      <c r="O134" t="str">
        <f t="shared" si="50"/>
        <v>Linkedln</v>
      </c>
      <c r="P134" t="s">
        <v>1177</v>
      </c>
      <c r="Q134" s="9">
        <f t="shared" si="34"/>
        <v>45566</v>
      </c>
      <c r="R134" t="s">
        <v>1432</v>
      </c>
      <c r="S134" s="9">
        <f t="shared" si="35"/>
        <v>45574</v>
      </c>
      <c r="T134" t="s">
        <v>1541</v>
      </c>
      <c r="U134" s="9">
        <f t="shared" si="36"/>
        <v>45584</v>
      </c>
      <c r="V134" t="s">
        <v>1592</v>
      </c>
      <c r="W134" s="9">
        <f t="shared" si="37"/>
        <v>45637</v>
      </c>
      <c r="X134" t="s">
        <v>1620</v>
      </c>
      <c r="Y134" s="15">
        <v>47828</v>
      </c>
      <c r="Z134" s="15">
        <v>51807</v>
      </c>
      <c r="AA134" t="s">
        <v>1624</v>
      </c>
      <c r="AB134" t="s">
        <v>1626</v>
      </c>
      <c r="AF134" t="str">
        <f t="shared" si="38"/>
        <v>10-01-2024</v>
      </c>
      <c r="AG134" t="str">
        <f t="shared" si="39"/>
        <v>09/10/2024</v>
      </c>
      <c r="AH134" t="str">
        <f t="shared" si="40"/>
        <v>10-19-2024</v>
      </c>
      <c r="AI134" t="str">
        <f t="shared" si="41"/>
        <v>12-11-2024</v>
      </c>
      <c r="AJ134" t="str">
        <f t="shared" si="42"/>
        <v>Not Found</v>
      </c>
      <c r="AK134" t="str">
        <f t="shared" si="43"/>
        <v>Not Found</v>
      </c>
    </row>
    <row r="135" spans="1:37" x14ac:dyDescent="0.35">
      <c r="A135" t="s">
        <v>151</v>
      </c>
      <c r="B135" t="s">
        <v>421</v>
      </c>
      <c r="C135" t="s">
        <v>756</v>
      </c>
      <c r="D135" t="str">
        <f t="shared" si="44"/>
        <v>Sam Rees</v>
      </c>
      <c r="E135" t="str">
        <f t="shared" si="45"/>
        <v>Sam</v>
      </c>
      <c r="F135" t="str">
        <f t="shared" si="46"/>
        <v>Rees</v>
      </c>
      <c r="G135" t="s">
        <v>1022</v>
      </c>
      <c r="H135" t="str">
        <f t="shared" si="47"/>
        <v>Reporting Analyst</v>
      </c>
      <c r="I135" t="s">
        <v>1030</v>
      </c>
      <c r="J135" t="str">
        <f t="shared" si="48"/>
        <v>Finance</v>
      </c>
      <c r="K135" t="s">
        <v>1037</v>
      </c>
      <c r="L135" t="str">
        <f t="shared" si="49"/>
        <v>East Midlands</v>
      </c>
      <c r="M135" t="s">
        <v>1042</v>
      </c>
      <c r="N135" t="s">
        <v>1046</v>
      </c>
      <c r="O135" t="str">
        <f t="shared" si="50"/>
        <v>Linkedln</v>
      </c>
      <c r="P135" t="s">
        <v>1178</v>
      </c>
      <c r="Q135" s="9">
        <f t="shared" si="34"/>
        <v>45339</v>
      </c>
      <c r="S135" s="9" t="str">
        <f t="shared" si="35"/>
        <v/>
      </c>
      <c r="U135" s="9" t="str">
        <f t="shared" si="36"/>
        <v/>
      </c>
      <c r="W135" s="9" t="str">
        <f t="shared" si="37"/>
        <v/>
      </c>
      <c r="X135" t="s">
        <v>1616</v>
      </c>
      <c r="Y135" s="15">
        <v>44515</v>
      </c>
      <c r="AA135" t="s">
        <v>1621</v>
      </c>
      <c r="AB135" t="s">
        <v>1626</v>
      </c>
      <c r="AC135" s="17">
        <v>3.1</v>
      </c>
      <c r="AF135" t="str">
        <f t="shared" si="38"/>
        <v>2024/02/17</v>
      </c>
      <c r="AG135" t="str">
        <f t="shared" si="39"/>
        <v/>
      </c>
      <c r="AH135" t="str">
        <f t="shared" si="40"/>
        <v/>
      </c>
      <c r="AI135" t="str">
        <f t="shared" si="41"/>
        <v/>
      </c>
      <c r="AJ135" t="str">
        <f t="shared" si="42"/>
        <v>Not Found</v>
      </c>
      <c r="AK135" t="str">
        <f t="shared" si="43"/>
        <v>Not Found</v>
      </c>
    </row>
    <row r="136" spans="1:37" x14ac:dyDescent="0.35">
      <c r="A136" t="s">
        <v>152</v>
      </c>
      <c r="B136" t="s">
        <v>438</v>
      </c>
      <c r="C136" t="s">
        <v>757</v>
      </c>
      <c r="D136" t="str">
        <f t="shared" si="44"/>
        <v>Andrew Coles</v>
      </c>
      <c r="E136" t="str">
        <f t="shared" si="45"/>
        <v>Andrew</v>
      </c>
      <c r="F136" t="str">
        <f t="shared" si="46"/>
        <v>Coles</v>
      </c>
      <c r="G136" t="s">
        <v>1027</v>
      </c>
      <c r="H136" t="str">
        <f t="shared" si="47"/>
        <v>Data Analyst</v>
      </c>
      <c r="I136" t="s">
        <v>1032</v>
      </c>
      <c r="J136" t="str">
        <f t="shared" si="48"/>
        <v>Operations</v>
      </c>
      <c r="K136" t="s">
        <v>1036</v>
      </c>
      <c r="L136" t="str">
        <f t="shared" si="49"/>
        <v>London</v>
      </c>
      <c r="M136" t="s">
        <v>1045</v>
      </c>
      <c r="N136" t="s">
        <v>1046</v>
      </c>
      <c r="O136" t="str">
        <f t="shared" si="50"/>
        <v>Linkedln</v>
      </c>
      <c r="P136" t="s">
        <v>1179</v>
      </c>
      <c r="Q136" s="9">
        <f t="shared" si="34"/>
        <v>45503</v>
      </c>
      <c r="S136" s="9" t="str">
        <f t="shared" si="35"/>
        <v/>
      </c>
      <c r="U136" s="9" t="str">
        <f t="shared" si="36"/>
        <v/>
      </c>
      <c r="W136" s="9" t="str">
        <f t="shared" si="37"/>
        <v/>
      </c>
      <c r="X136" t="s">
        <v>1616</v>
      </c>
      <c r="Y136" s="15">
        <v>32620</v>
      </c>
      <c r="AA136" t="s">
        <v>1624</v>
      </c>
      <c r="AB136" t="s">
        <v>1626</v>
      </c>
      <c r="AF136" t="str">
        <f t="shared" si="38"/>
        <v>2024/07/30</v>
      </c>
      <c r="AG136" t="str">
        <f t="shared" si="39"/>
        <v/>
      </c>
      <c r="AH136" t="str">
        <f t="shared" si="40"/>
        <v/>
      </c>
      <c r="AI136" t="str">
        <f t="shared" si="41"/>
        <v/>
      </c>
      <c r="AJ136" t="str">
        <f t="shared" si="42"/>
        <v>Not Found</v>
      </c>
      <c r="AK136" t="str">
        <f t="shared" si="43"/>
        <v>Not Found</v>
      </c>
    </row>
    <row r="137" spans="1:37" x14ac:dyDescent="0.35">
      <c r="A137" t="s">
        <v>153</v>
      </c>
      <c r="B137" t="s">
        <v>472</v>
      </c>
      <c r="C137" t="s">
        <v>758</v>
      </c>
      <c r="D137" t="str">
        <f t="shared" si="44"/>
        <v>Marian Mccarthy</v>
      </c>
      <c r="E137" t="str">
        <f t="shared" si="45"/>
        <v>Marian</v>
      </c>
      <c r="F137" t="str">
        <f t="shared" si="46"/>
        <v>Mccarthy</v>
      </c>
      <c r="G137" t="s">
        <v>1023</v>
      </c>
      <c r="H137" t="str">
        <f t="shared" si="47"/>
        <v>HR Analyst</v>
      </c>
      <c r="I137" t="s">
        <v>1032</v>
      </c>
      <c r="J137" t="str">
        <f t="shared" si="48"/>
        <v>Operations</v>
      </c>
      <c r="K137" t="s">
        <v>1038</v>
      </c>
      <c r="L137" t="str">
        <f t="shared" si="49"/>
        <v>East Midlands</v>
      </c>
      <c r="M137" t="s">
        <v>1042</v>
      </c>
      <c r="N137" t="s">
        <v>1047</v>
      </c>
      <c r="O137" t="str">
        <f t="shared" si="50"/>
        <v>Linkedln</v>
      </c>
      <c r="P137" t="s">
        <v>1180</v>
      </c>
      <c r="Q137" s="9">
        <f t="shared" si="34"/>
        <v>45392</v>
      </c>
      <c r="R137" t="s">
        <v>1433</v>
      </c>
      <c r="S137" s="9">
        <f t="shared" si="35"/>
        <v>45412</v>
      </c>
      <c r="T137" t="s">
        <v>1542</v>
      </c>
      <c r="U137" s="9">
        <f t="shared" si="36"/>
        <v>45422</v>
      </c>
      <c r="W137" s="9" t="str">
        <f t="shared" si="37"/>
        <v/>
      </c>
      <c r="X137" t="s">
        <v>1618</v>
      </c>
      <c r="Y137" s="15">
        <v>40444</v>
      </c>
      <c r="Z137" s="15">
        <v>41387</v>
      </c>
      <c r="AA137" t="s">
        <v>1624</v>
      </c>
      <c r="AB137" t="s">
        <v>1626</v>
      </c>
      <c r="AC137" s="17">
        <v>4.5999999999999996</v>
      </c>
      <c r="AF137" t="str">
        <f t="shared" si="38"/>
        <v>2024/04/10</v>
      </c>
      <c r="AG137" t="str">
        <f t="shared" si="39"/>
        <v>04-30-2024</v>
      </c>
      <c r="AH137" t="str">
        <f t="shared" si="40"/>
        <v>10/05/2024</v>
      </c>
      <c r="AI137" t="str">
        <f t="shared" si="41"/>
        <v/>
      </c>
      <c r="AJ137" t="str">
        <f t="shared" si="42"/>
        <v>Not Found</v>
      </c>
      <c r="AK137" t="str">
        <f t="shared" si="43"/>
        <v>Not Found</v>
      </c>
    </row>
    <row r="138" spans="1:37" x14ac:dyDescent="0.35">
      <c r="A138" t="s">
        <v>154</v>
      </c>
      <c r="B138" t="s">
        <v>457</v>
      </c>
      <c r="C138" t="s">
        <v>759</v>
      </c>
      <c r="D138" t="str">
        <f t="shared" si="44"/>
        <v>Tracey Gordon</v>
      </c>
      <c r="E138" t="str">
        <f t="shared" si="45"/>
        <v>Tracey</v>
      </c>
      <c r="F138" t="str">
        <f t="shared" si="46"/>
        <v>Gordon</v>
      </c>
      <c r="G138" t="s">
        <v>1027</v>
      </c>
      <c r="H138" t="str">
        <f t="shared" si="47"/>
        <v>Data Analyst</v>
      </c>
      <c r="I138" t="s">
        <v>1028</v>
      </c>
      <c r="J138" t="str">
        <f t="shared" si="48"/>
        <v>HR</v>
      </c>
      <c r="K138" t="s">
        <v>1037</v>
      </c>
      <c r="L138" t="str">
        <f t="shared" si="49"/>
        <v>East Midlands</v>
      </c>
      <c r="M138" t="s">
        <v>1041</v>
      </c>
      <c r="N138" t="s">
        <v>1046</v>
      </c>
      <c r="O138" t="str">
        <f t="shared" si="50"/>
        <v>Linkedln</v>
      </c>
      <c r="P138" t="s">
        <v>1114</v>
      </c>
      <c r="Q138" s="9">
        <f t="shared" si="34"/>
        <v>45510</v>
      </c>
      <c r="S138" s="9" t="str">
        <f t="shared" si="35"/>
        <v/>
      </c>
      <c r="U138" s="9" t="str">
        <f t="shared" si="36"/>
        <v/>
      </c>
      <c r="W138" s="9" t="str">
        <f t="shared" si="37"/>
        <v/>
      </c>
      <c r="X138" t="s">
        <v>1616</v>
      </c>
      <c r="Y138" s="15">
        <v>31564</v>
      </c>
      <c r="AA138" t="s">
        <v>1624</v>
      </c>
      <c r="AB138" t="s">
        <v>1628</v>
      </c>
      <c r="AC138" s="17">
        <v>3.4</v>
      </c>
      <c r="AF138" t="str">
        <f t="shared" si="38"/>
        <v>2024/08/06</v>
      </c>
      <c r="AG138" t="str">
        <f t="shared" si="39"/>
        <v/>
      </c>
      <c r="AH138" t="str">
        <f t="shared" si="40"/>
        <v/>
      </c>
      <c r="AI138" t="str">
        <f t="shared" si="41"/>
        <v/>
      </c>
      <c r="AJ138" t="str">
        <f t="shared" si="42"/>
        <v>Not Found</v>
      </c>
      <c r="AK138" t="str">
        <f t="shared" si="43"/>
        <v>Not Found</v>
      </c>
    </row>
    <row r="139" spans="1:37" x14ac:dyDescent="0.35">
      <c r="A139" t="s">
        <v>155</v>
      </c>
      <c r="B139" t="s">
        <v>527</v>
      </c>
      <c r="C139" t="s">
        <v>760</v>
      </c>
      <c r="D139" t="str">
        <f t="shared" si="44"/>
        <v>Janice Thompson</v>
      </c>
      <c r="E139" t="str">
        <f t="shared" si="45"/>
        <v>Janice</v>
      </c>
      <c r="F139" t="str">
        <f t="shared" si="46"/>
        <v>Thompson</v>
      </c>
      <c r="G139" t="s">
        <v>1027</v>
      </c>
      <c r="H139" t="str">
        <f t="shared" si="47"/>
        <v>Data Analyst</v>
      </c>
      <c r="I139" t="s">
        <v>1029</v>
      </c>
      <c r="J139" t="str">
        <f t="shared" si="48"/>
        <v>Commercial</v>
      </c>
      <c r="K139" t="s">
        <v>1040</v>
      </c>
      <c r="L139" t="str">
        <f t="shared" si="49"/>
        <v>North West</v>
      </c>
      <c r="M139" t="s">
        <v>1045</v>
      </c>
      <c r="N139" t="s">
        <v>1050</v>
      </c>
      <c r="O139" t="str">
        <f t="shared" si="50"/>
        <v>Reed</v>
      </c>
      <c r="P139" t="s">
        <v>1181</v>
      </c>
      <c r="Q139" s="9">
        <f t="shared" si="34"/>
        <v>45784</v>
      </c>
      <c r="S139" s="9" t="str">
        <f t="shared" si="35"/>
        <v/>
      </c>
      <c r="U139" s="9" t="str">
        <f t="shared" si="36"/>
        <v/>
      </c>
      <c r="W139" s="9" t="str">
        <f t="shared" si="37"/>
        <v/>
      </c>
      <c r="X139" t="s">
        <v>1619</v>
      </c>
      <c r="Y139" s="15">
        <v>44997</v>
      </c>
      <c r="AA139" t="s">
        <v>1625</v>
      </c>
      <c r="AB139" t="s">
        <v>1627</v>
      </c>
      <c r="AC139" s="17">
        <v>3.5</v>
      </c>
      <c r="AF139" t="str">
        <f t="shared" si="38"/>
        <v>07/05/2025</v>
      </c>
      <c r="AG139" t="str">
        <f t="shared" si="39"/>
        <v/>
      </c>
      <c r="AH139" t="str">
        <f t="shared" si="40"/>
        <v/>
      </c>
      <c r="AI139" t="str">
        <f t="shared" si="41"/>
        <v/>
      </c>
      <c r="AJ139" t="str">
        <f t="shared" si="42"/>
        <v>Not Found</v>
      </c>
      <c r="AK139" t="str">
        <f t="shared" si="43"/>
        <v>Not Found</v>
      </c>
    </row>
    <row r="140" spans="1:37" x14ac:dyDescent="0.35">
      <c r="A140" t="s">
        <v>156</v>
      </c>
      <c r="B140" t="s">
        <v>508</v>
      </c>
      <c r="C140" t="s">
        <v>761</v>
      </c>
      <c r="D140" t="str">
        <f t="shared" si="44"/>
        <v>Jemma Anderson Woods</v>
      </c>
      <c r="E140" t="str">
        <f t="shared" si="45"/>
        <v>Jemma</v>
      </c>
      <c r="F140" t="str">
        <f t="shared" si="46"/>
        <v>Woods</v>
      </c>
      <c r="G140" t="s">
        <v>1023</v>
      </c>
      <c r="H140" t="str">
        <f t="shared" si="47"/>
        <v>HR Analyst</v>
      </c>
      <c r="I140" t="s">
        <v>1029</v>
      </c>
      <c r="J140" t="str">
        <f t="shared" si="48"/>
        <v>Commercial</v>
      </c>
      <c r="K140" t="s">
        <v>1036</v>
      </c>
      <c r="L140" t="str">
        <f t="shared" si="49"/>
        <v>London</v>
      </c>
      <c r="M140" t="s">
        <v>1043</v>
      </c>
      <c r="N140" t="s">
        <v>1052</v>
      </c>
      <c r="O140" t="str">
        <f t="shared" si="50"/>
        <v>Linkedln</v>
      </c>
      <c r="P140" t="s">
        <v>1182</v>
      </c>
      <c r="Q140" s="9">
        <f t="shared" si="34"/>
        <v>45465</v>
      </c>
      <c r="S140" s="9" t="str">
        <f t="shared" si="35"/>
        <v/>
      </c>
      <c r="U140" s="9" t="str">
        <f t="shared" si="36"/>
        <v/>
      </c>
      <c r="W140" s="9" t="str">
        <f t="shared" si="37"/>
        <v/>
      </c>
      <c r="X140" t="s">
        <v>1616</v>
      </c>
      <c r="Y140" s="15">
        <v>51982</v>
      </c>
      <c r="AA140" t="s">
        <v>1621</v>
      </c>
      <c r="AB140" t="s">
        <v>1626</v>
      </c>
      <c r="AC140" s="17">
        <v>3.4</v>
      </c>
      <c r="AF140" t="str">
        <f t="shared" si="38"/>
        <v>06-22-2024</v>
      </c>
      <c r="AG140" t="str">
        <f t="shared" si="39"/>
        <v/>
      </c>
      <c r="AH140" t="str">
        <f t="shared" si="40"/>
        <v/>
      </c>
      <c r="AI140" t="str">
        <f t="shared" si="41"/>
        <v/>
      </c>
      <c r="AJ140" t="str">
        <f t="shared" si="42"/>
        <v>Not Found</v>
      </c>
      <c r="AK140" t="str">
        <f t="shared" si="43"/>
        <v>Not Found</v>
      </c>
    </row>
    <row r="141" spans="1:37" x14ac:dyDescent="0.35">
      <c r="A141" t="s">
        <v>157</v>
      </c>
      <c r="B141" t="s">
        <v>528</v>
      </c>
      <c r="C141" t="s">
        <v>762</v>
      </c>
      <c r="D141" t="str">
        <f t="shared" si="44"/>
        <v>Brian Brown Sanders</v>
      </c>
      <c r="E141" t="str">
        <f t="shared" si="45"/>
        <v>Brian</v>
      </c>
      <c r="F141" t="str">
        <f t="shared" si="46"/>
        <v>Sanders</v>
      </c>
      <c r="G141" t="s">
        <v>1027</v>
      </c>
      <c r="H141" t="str">
        <f t="shared" si="47"/>
        <v>Data Analyst</v>
      </c>
      <c r="I141" t="s">
        <v>1029</v>
      </c>
      <c r="J141" t="str">
        <f t="shared" si="48"/>
        <v>Commercial</v>
      </c>
      <c r="K141" t="s">
        <v>1037</v>
      </c>
      <c r="L141" t="str">
        <f t="shared" si="49"/>
        <v>East Midlands</v>
      </c>
      <c r="M141" t="s">
        <v>1044</v>
      </c>
      <c r="N141" t="s">
        <v>1049</v>
      </c>
      <c r="O141" t="str">
        <f t="shared" si="50"/>
        <v>Indeed</v>
      </c>
      <c r="P141" t="s">
        <v>1183</v>
      </c>
      <c r="Q141" s="9">
        <f t="shared" si="34"/>
        <v>45573</v>
      </c>
      <c r="S141" s="9" t="str">
        <f t="shared" si="35"/>
        <v/>
      </c>
      <c r="U141" s="9" t="str">
        <f t="shared" si="36"/>
        <v/>
      </c>
      <c r="W141" s="9" t="str">
        <f t="shared" si="37"/>
        <v/>
      </c>
      <c r="X141" t="s">
        <v>1619</v>
      </c>
      <c r="Y141" s="15">
        <v>30515</v>
      </c>
      <c r="AA141" t="s">
        <v>1621</v>
      </c>
      <c r="AB141" t="s">
        <v>1626</v>
      </c>
      <c r="AC141" s="17">
        <v>3</v>
      </c>
      <c r="AF141" t="str">
        <f t="shared" si="38"/>
        <v>08/10/2024</v>
      </c>
      <c r="AG141" t="str">
        <f t="shared" si="39"/>
        <v/>
      </c>
      <c r="AH141" t="str">
        <f t="shared" si="40"/>
        <v/>
      </c>
      <c r="AI141" t="str">
        <f t="shared" si="41"/>
        <v/>
      </c>
      <c r="AJ141" t="str">
        <f t="shared" si="42"/>
        <v>Not Found</v>
      </c>
      <c r="AK141" t="str">
        <f t="shared" si="43"/>
        <v>Not Found</v>
      </c>
    </row>
    <row r="142" spans="1:37" x14ac:dyDescent="0.35">
      <c r="A142" t="s">
        <v>158</v>
      </c>
      <c r="B142" t="s">
        <v>437</v>
      </c>
      <c r="C142" t="s">
        <v>763</v>
      </c>
      <c r="D142" t="str">
        <f t="shared" si="44"/>
        <v>Amelia Jones</v>
      </c>
      <c r="E142" t="str">
        <f t="shared" si="45"/>
        <v>Amelia</v>
      </c>
      <c r="F142" t="str">
        <f t="shared" si="46"/>
        <v>Jones</v>
      </c>
      <c r="G142" t="s">
        <v>1024</v>
      </c>
      <c r="H142" t="str">
        <f t="shared" si="47"/>
        <v>Business Analyst</v>
      </c>
      <c r="I142" t="s">
        <v>1032</v>
      </c>
      <c r="J142" t="str">
        <f t="shared" si="48"/>
        <v>Operations</v>
      </c>
      <c r="K142" t="s">
        <v>1035</v>
      </c>
      <c r="L142" t="str">
        <f t="shared" si="49"/>
        <v>Yorkshire</v>
      </c>
      <c r="M142" t="s">
        <v>1045</v>
      </c>
      <c r="N142" t="s">
        <v>1050</v>
      </c>
      <c r="O142" t="str">
        <f t="shared" si="50"/>
        <v>Reed</v>
      </c>
      <c r="P142" t="s">
        <v>1184</v>
      </c>
      <c r="Q142" s="9">
        <f t="shared" si="34"/>
        <v>45455</v>
      </c>
      <c r="S142" s="9" t="str">
        <f t="shared" si="35"/>
        <v/>
      </c>
      <c r="U142" s="9" t="str">
        <f t="shared" si="36"/>
        <v/>
      </c>
      <c r="W142" s="9" t="str">
        <f t="shared" si="37"/>
        <v/>
      </c>
      <c r="X142" t="s">
        <v>1619</v>
      </c>
      <c r="Y142" s="15">
        <v>43608</v>
      </c>
      <c r="AA142" t="s">
        <v>1622</v>
      </c>
      <c r="AB142" t="s">
        <v>1626</v>
      </c>
      <c r="AC142" s="17">
        <v>4.9000000000000004</v>
      </c>
      <c r="AF142" t="str">
        <f t="shared" si="38"/>
        <v>06-12-2024</v>
      </c>
      <c r="AG142" t="str">
        <f t="shared" si="39"/>
        <v/>
      </c>
      <c r="AH142" t="str">
        <f t="shared" si="40"/>
        <v/>
      </c>
      <c r="AI142" t="str">
        <f t="shared" si="41"/>
        <v/>
      </c>
      <c r="AJ142" t="str">
        <f t="shared" si="42"/>
        <v>Not Found</v>
      </c>
      <c r="AK142" t="str">
        <f t="shared" si="43"/>
        <v>Not Found</v>
      </c>
    </row>
    <row r="143" spans="1:37" x14ac:dyDescent="0.35">
      <c r="A143" t="s">
        <v>159</v>
      </c>
      <c r="B143" t="s">
        <v>529</v>
      </c>
      <c r="C143" t="s">
        <v>764</v>
      </c>
      <c r="D143" t="str">
        <f t="shared" si="44"/>
        <v>Joseph Bradshaw Lewis</v>
      </c>
      <c r="E143" t="str">
        <f t="shared" si="45"/>
        <v>Joseph</v>
      </c>
      <c r="F143" t="str">
        <f t="shared" si="46"/>
        <v>Lewis</v>
      </c>
      <c r="G143" t="s">
        <v>1023</v>
      </c>
      <c r="H143" t="str">
        <f t="shared" si="47"/>
        <v>HR Analyst</v>
      </c>
      <c r="I143" t="s">
        <v>1032</v>
      </c>
      <c r="J143" t="str">
        <f t="shared" si="48"/>
        <v>Operations</v>
      </c>
      <c r="K143" t="s">
        <v>1040</v>
      </c>
      <c r="L143" t="str">
        <f t="shared" si="49"/>
        <v>North West</v>
      </c>
      <c r="M143" t="s">
        <v>1041</v>
      </c>
      <c r="N143" t="s">
        <v>1052</v>
      </c>
      <c r="O143" t="str">
        <f t="shared" si="50"/>
        <v>Linkedln</v>
      </c>
      <c r="P143" t="s">
        <v>1185</v>
      </c>
      <c r="Q143" s="9">
        <f t="shared" si="34"/>
        <v>45633</v>
      </c>
      <c r="R143" t="s">
        <v>1434</v>
      </c>
      <c r="S143" s="9">
        <f t="shared" si="35"/>
        <v>45657</v>
      </c>
      <c r="U143" s="9" t="str">
        <f t="shared" si="36"/>
        <v/>
      </c>
      <c r="W143" s="9" t="str">
        <f t="shared" si="37"/>
        <v/>
      </c>
      <c r="X143" t="s">
        <v>1615</v>
      </c>
      <c r="Y143" s="15">
        <v>34992</v>
      </c>
      <c r="AA143" t="s">
        <v>1621</v>
      </c>
      <c r="AB143" t="s">
        <v>1626</v>
      </c>
      <c r="AC143" s="17">
        <v>2.4</v>
      </c>
      <c r="AF143" t="str">
        <f t="shared" si="38"/>
        <v>12-07-2024</v>
      </c>
      <c r="AG143" t="str">
        <f t="shared" si="39"/>
        <v>12-31-2024</v>
      </c>
      <c r="AH143" t="str">
        <f t="shared" si="40"/>
        <v/>
      </c>
      <c r="AI143" t="str">
        <f t="shared" si="41"/>
        <v/>
      </c>
      <c r="AJ143" t="str">
        <f t="shared" si="42"/>
        <v>Not Found</v>
      </c>
      <c r="AK143" t="str">
        <f t="shared" si="43"/>
        <v>Not Found</v>
      </c>
    </row>
    <row r="144" spans="1:37" x14ac:dyDescent="0.35">
      <c r="A144" t="s">
        <v>160</v>
      </c>
      <c r="B144" t="s">
        <v>447</v>
      </c>
      <c r="C144" t="s">
        <v>765</v>
      </c>
      <c r="D144" t="str">
        <f t="shared" si="44"/>
        <v>Francesca Bolton</v>
      </c>
      <c r="E144" t="str">
        <f t="shared" si="45"/>
        <v>Francesca</v>
      </c>
      <c r="F144" t="str">
        <f t="shared" si="46"/>
        <v>Bolton</v>
      </c>
      <c r="G144" t="s">
        <v>1024</v>
      </c>
      <c r="H144" t="str">
        <f t="shared" si="47"/>
        <v>Business Analyst</v>
      </c>
      <c r="I144" t="s">
        <v>1029</v>
      </c>
      <c r="J144" t="str">
        <f t="shared" si="48"/>
        <v>Commercial</v>
      </c>
      <c r="K144" t="s">
        <v>1036</v>
      </c>
      <c r="L144" t="str">
        <f t="shared" si="49"/>
        <v>London</v>
      </c>
      <c r="M144" t="s">
        <v>1045</v>
      </c>
      <c r="N144" t="s">
        <v>1047</v>
      </c>
      <c r="O144" t="str">
        <f t="shared" si="50"/>
        <v>Linkedln</v>
      </c>
      <c r="P144" t="s">
        <v>1186</v>
      </c>
      <c r="Q144" s="9">
        <f t="shared" si="34"/>
        <v>45656</v>
      </c>
      <c r="R144" t="s">
        <v>1435</v>
      </c>
      <c r="S144" s="9">
        <f t="shared" si="35"/>
        <v>45678</v>
      </c>
      <c r="U144" s="9" t="str">
        <f t="shared" si="36"/>
        <v/>
      </c>
      <c r="W144" s="9" t="str">
        <f t="shared" si="37"/>
        <v/>
      </c>
      <c r="X144" t="s">
        <v>1615</v>
      </c>
      <c r="Y144" s="15">
        <v>31037</v>
      </c>
      <c r="AA144" t="s">
        <v>1625</v>
      </c>
      <c r="AB144" t="s">
        <v>1627</v>
      </c>
      <c r="AC144" s="17">
        <v>3.5</v>
      </c>
      <c r="AF144" t="str">
        <f t="shared" si="38"/>
        <v>12-30-2024</v>
      </c>
      <c r="AG144" t="str">
        <f t="shared" si="39"/>
        <v>21/01/2025</v>
      </c>
      <c r="AH144" t="str">
        <f t="shared" si="40"/>
        <v/>
      </c>
      <c r="AI144" t="str">
        <f t="shared" si="41"/>
        <v/>
      </c>
      <c r="AJ144" t="str">
        <f t="shared" si="42"/>
        <v>Not Found</v>
      </c>
      <c r="AK144" t="str">
        <f t="shared" si="43"/>
        <v>Not Found</v>
      </c>
    </row>
    <row r="145" spans="1:37" x14ac:dyDescent="0.35">
      <c r="A145" t="s">
        <v>161</v>
      </c>
      <c r="B145" t="s">
        <v>530</v>
      </c>
      <c r="C145" t="s">
        <v>766</v>
      </c>
      <c r="D145" t="str">
        <f t="shared" si="44"/>
        <v>Kirsty Scott</v>
      </c>
      <c r="E145" t="str">
        <f t="shared" si="45"/>
        <v>Kirsty</v>
      </c>
      <c r="F145" t="str">
        <f t="shared" si="46"/>
        <v>Scott</v>
      </c>
      <c r="G145" t="s">
        <v>1022</v>
      </c>
      <c r="H145" t="str">
        <f t="shared" si="47"/>
        <v>Reporting Analyst</v>
      </c>
      <c r="I145" t="s">
        <v>1029</v>
      </c>
      <c r="J145" t="str">
        <f t="shared" si="48"/>
        <v>Commercial</v>
      </c>
      <c r="K145" t="s">
        <v>1034</v>
      </c>
      <c r="L145" t="str">
        <f t="shared" si="49"/>
        <v>Scotland</v>
      </c>
      <c r="M145" t="s">
        <v>1045</v>
      </c>
      <c r="N145" t="s">
        <v>1047</v>
      </c>
      <c r="O145" t="str">
        <f t="shared" si="50"/>
        <v>Linkedln</v>
      </c>
      <c r="P145" t="s">
        <v>1187</v>
      </c>
      <c r="Q145" s="9">
        <f t="shared" si="34"/>
        <v>45541</v>
      </c>
      <c r="R145" t="s">
        <v>1436</v>
      </c>
      <c r="S145" s="9">
        <f t="shared" si="35"/>
        <v>45560</v>
      </c>
      <c r="T145" t="s">
        <v>1543</v>
      </c>
      <c r="U145" s="9">
        <f t="shared" si="36"/>
        <v>45565</v>
      </c>
      <c r="V145" t="s">
        <v>1593</v>
      </c>
      <c r="W145" s="9">
        <f t="shared" si="37"/>
        <v>45616</v>
      </c>
      <c r="X145" t="s">
        <v>1620</v>
      </c>
      <c r="Y145" s="15">
        <v>47971</v>
      </c>
      <c r="Z145" s="15">
        <v>49277</v>
      </c>
      <c r="AA145" t="s">
        <v>1623</v>
      </c>
      <c r="AB145" t="s">
        <v>1626</v>
      </c>
      <c r="AC145" s="17">
        <v>3</v>
      </c>
      <c r="AF145" t="str">
        <f t="shared" si="38"/>
        <v>2024/09/06</v>
      </c>
      <c r="AG145" t="str">
        <f t="shared" si="39"/>
        <v>25/09/2024</v>
      </c>
      <c r="AH145" t="str">
        <f t="shared" si="40"/>
        <v>2024/09/30</v>
      </c>
      <c r="AI145" t="str">
        <f t="shared" si="41"/>
        <v>20/11/2024</v>
      </c>
      <c r="AJ145" t="str">
        <f t="shared" si="42"/>
        <v>Not Found</v>
      </c>
      <c r="AK145" t="str">
        <f t="shared" si="43"/>
        <v>Not Found</v>
      </c>
    </row>
    <row r="146" spans="1:37" x14ac:dyDescent="0.35">
      <c r="A146" t="s">
        <v>162</v>
      </c>
      <c r="B146" t="s">
        <v>531</v>
      </c>
      <c r="C146" t="s">
        <v>767</v>
      </c>
      <c r="D146" t="str">
        <f t="shared" si="44"/>
        <v>Joseph Watson</v>
      </c>
      <c r="E146" t="str">
        <f t="shared" si="45"/>
        <v>Joseph</v>
      </c>
      <c r="F146" t="str">
        <f t="shared" si="46"/>
        <v>Watson</v>
      </c>
      <c r="G146" t="s">
        <v>1022</v>
      </c>
      <c r="H146" t="str">
        <f t="shared" si="47"/>
        <v>Reporting Analyst</v>
      </c>
      <c r="I146" t="s">
        <v>1028</v>
      </c>
      <c r="J146" t="str">
        <f t="shared" si="48"/>
        <v>HR</v>
      </c>
      <c r="K146" t="s">
        <v>1039</v>
      </c>
      <c r="L146" t="str">
        <f t="shared" si="49"/>
        <v>South East</v>
      </c>
      <c r="M146" t="s">
        <v>1044</v>
      </c>
      <c r="N146" t="s">
        <v>1047</v>
      </c>
      <c r="O146" t="str">
        <f t="shared" si="50"/>
        <v>Linkedln</v>
      </c>
      <c r="P146" t="s">
        <v>1163</v>
      </c>
      <c r="Q146" s="9">
        <f t="shared" si="34"/>
        <v>45741</v>
      </c>
      <c r="R146" t="s">
        <v>1437</v>
      </c>
      <c r="S146" s="9">
        <f t="shared" si="35"/>
        <v>45751</v>
      </c>
      <c r="T146" t="s">
        <v>1544</v>
      </c>
      <c r="U146" s="9">
        <f t="shared" si="36"/>
        <v>45768</v>
      </c>
      <c r="V146" t="s">
        <v>1594</v>
      </c>
      <c r="W146" s="9">
        <f t="shared" si="37"/>
        <v>45797</v>
      </c>
      <c r="X146" t="s">
        <v>1620</v>
      </c>
      <c r="Y146" s="15">
        <v>35185</v>
      </c>
      <c r="Z146" s="15">
        <v>33053</v>
      </c>
      <c r="AA146" t="s">
        <v>1624</v>
      </c>
      <c r="AB146" t="s">
        <v>1628</v>
      </c>
      <c r="AF146" t="str">
        <f t="shared" si="38"/>
        <v>03-25-2025</v>
      </c>
      <c r="AG146" t="str">
        <f t="shared" si="39"/>
        <v>04/04/2025</v>
      </c>
      <c r="AH146" t="str">
        <f t="shared" si="40"/>
        <v>04-21-2025</v>
      </c>
      <c r="AI146" t="str">
        <f t="shared" si="41"/>
        <v>20/05/2025</v>
      </c>
      <c r="AJ146" t="str">
        <f t="shared" si="42"/>
        <v>Not Found</v>
      </c>
      <c r="AK146" t="str">
        <f t="shared" si="43"/>
        <v>Not Found</v>
      </c>
    </row>
    <row r="147" spans="1:37" x14ac:dyDescent="0.35">
      <c r="A147" t="s">
        <v>163</v>
      </c>
      <c r="B147" t="s">
        <v>532</v>
      </c>
      <c r="C147" t="s">
        <v>768</v>
      </c>
      <c r="D147" t="str">
        <f t="shared" si="44"/>
        <v>Robin Foster</v>
      </c>
      <c r="E147" t="str">
        <f t="shared" si="45"/>
        <v>Robin</v>
      </c>
      <c r="F147" t="str">
        <f t="shared" si="46"/>
        <v>Foster</v>
      </c>
      <c r="G147" t="s">
        <v>1022</v>
      </c>
      <c r="H147" t="str">
        <f t="shared" si="47"/>
        <v>Reporting Analyst</v>
      </c>
      <c r="I147" t="s">
        <v>1032</v>
      </c>
      <c r="J147" t="str">
        <f t="shared" si="48"/>
        <v>Operations</v>
      </c>
      <c r="K147" t="s">
        <v>1034</v>
      </c>
      <c r="L147" t="str">
        <f t="shared" si="49"/>
        <v>Scotland</v>
      </c>
      <c r="M147" t="s">
        <v>1045</v>
      </c>
      <c r="N147" t="s">
        <v>1046</v>
      </c>
      <c r="O147" t="str">
        <f t="shared" si="50"/>
        <v>Linkedln</v>
      </c>
      <c r="P147" t="s">
        <v>1160</v>
      </c>
      <c r="Q147" s="9">
        <f t="shared" si="34"/>
        <v>45560</v>
      </c>
      <c r="R147" t="s">
        <v>1438</v>
      </c>
      <c r="S147" s="9">
        <f t="shared" si="35"/>
        <v>45577</v>
      </c>
      <c r="U147" s="9" t="str">
        <f t="shared" si="36"/>
        <v/>
      </c>
      <c r="W147" s="9" t="str">
        <f t="shared" si="37"/>
        <v/>
      </c>
      <c r="X147" t="s">
        <v>1615</v>
      </c>
      <c r="Y147" s="15">
        <v>39266</v>
      </c>
      <c r="AA147" t="s">
        <v>1621</v>
      </c>
      <c r="AB147" t="s">
        <v>1627</v>
      </c>
      <c r="AC147" s="17">
        <v>2.8</v>
      </c>
      <c r="AF147" t="str">
        <f t="shared" si="38"/>
        <v>2024/09/25</v>
      </c>
      <c r="AG147" t="str">
        <f t="shared" si="39"/>
        <v>12/10/2024</v>
      </c>
      <c r="AH147" t="str">
        <f t="shared" si="40"/>
        <v/>
      </c>
      <c r="AI147" t="str">
        <f t="shared" si="41"/>
        <v/>
      </c>
      <c r="AJ147" t="str">
        <f t="shared" si="42"/>
        <v>Not Found</v>
      </c>
      <c r="AK147" t="str">
        <f t="shared" si="43"/>
        <v>Not Found</v>
      </c>
    </row>
    <row r="148" spans="1:37" x14ac:dyDescent="0.35">
      <c r="A148" t="s">
        <v>164</v>
      </c>
      <c r="B148" t="s">
        <v>533</v>
      </c>
      <c r="C148" t="s">
        <v>769</v>
      </c>
      <c r="D148" t="str">
        <f t="shared" si="44"/>
        <v>Gareth Thompson</v>
      </c>
      <c r="E148" t="str">
        <f t="shared" si="45"/>
        <v>Gareth</v>
      </c>
      <c r="F148" t="str">
        <f t="shared" si="46"/>
        <v>Thompson</v>
      </c>
      <c r="G148" t="s">
        <v>1022</v>
      </c>
      <c r="H148" t="str">
        <f t="shared" si="47"/>
        <v>Reporting Analyst</v>
      </c>
      <c r="I148" t="s">
        <v>1031</v>
      </c>
      <c r="J148" t="str">
        <f t="shared" si="48"/>
        <v>Technology</v>
      </c>
      <c r="K148" t="s">
        <v>1036</v>
      </c>
      <c r="L148" t="str">
        <f t="shared" si="49"/>
        <v>London</v>
      </c>
      <c r="M148" t="s">
        <v>1045</v>
      </c>
      <c r="N148" t="s">
        <v>1046</v>
      </c>
      <c r="O148" t="str">
        <f t="shared" si="50"/>
        <v>Linkedln</v>
      </c>
      <c r="P148" t="s">
        <v>1188</v>
      </c>
      <c r="Q148" s="9">
        <f t="shared" si="34"/>
        <v>45573</v>
      </c>
      <c r="S148" s="9" t="str">
        <f t="shared" si="35"/>
        <v/>
      </c>
      <c r="U148" s="9" t="str">
        <f t="shared" si="36"/>
        <v/>
      </c>
      <c r="W148" s="9" t="str">
        <f t="shared" si="37"/>
        <v/>
      </c>
      <c r="X148" t="s">
        <v>1616</v>
      </c>
      <c r="Y148" s="15">
        <v>28126</v>
      </c>
      <c r="AA148" t="s">
        <v>1623</v>
      </c>
      <c r="AB148" t="s">
        <v>1627</v>
      </c>
      <c r="AC148" s="17">
        <v>3.5</v>
      </c>
      <c r="AF148" t="str">
        <f t="shared" si="38"/>
        <v>10-08-2024</v>
      </c>
      <c r="AG148" t="str">
        <f t="shared" si="39"/>
        <v/>
      </c>
      <c r="AH148" t="str">
        <f t="shared" si="40"/>
        <v/>
      </c>
      <c r="AI148" t="str">
        <f t="shared" si="41"/>
        <v/>
      </c>
      <c r="AJ148" t="str">
        <f t="shared" si="42"/>
        <v>Not Found</v>
      </c>
      <c r="AK148" t="str">
        <f t="shared" si="43"/>
        <v>Not Found</v>
      </c>
    </row>
    <row r="149" spans="1:37" x14ac:dyDescent="0.35">
      <c r="A149" t="s">
        <v>165</v>
      </c>
      <c r="B149" t="s">
        <v>452</v>
      </c>
      <c r="C149" t="s">
        <v>770</v>
      </c>
      <c r="D149" t="str">
        <f t="shared" si="44"/>
        <v>Elliot Williams</v>
      </c>
      <c r="E149" t="str">
        <f t="shared" si="45"/>
        <v>Elliot</v>
      </c>
      <c r="F149" t="str">
        <f t="shared" si="46"/>
        <v>Williams</v>
      </c>
      <c r="G149" t="s">
        <v>1023</v>
      </c>
      <c r="H149" t="str">
        <f t="shared" si="47"/>
        <v>HR Analyst</v>
      </c>
      <c r="I149" t="s">
        <v>1032</v>
      </c>
      <c r="J149" t="str">
        <f t="shared" si="48"/>
        <v>Operations</v>
      </c>
      <c r="K149" t="s">
        <v>1036</v>
      </c>
      <c r="L149" t="str">
        <f t="shared" si="49"/>
        <v>London</v>
      </c>
      <c r="M149" t="s">
        <v>1041</v>
      </c>
      <c r="N149" t="s">
        <v>1047</v>
      </c>
      <c r="O149" t="str">
        <f t="shared" si="50"/>
        <v>Linkedln</v>
      </c>
      <c r="P149" t="s">
        <v>1189</v>
      </c>
      <c r="Q149" s="9">
        <f t="shared" si="34"/>
        <v>45448</v>
      </c>
      <c r="S149" s="9" t="str">
        <f t="shared" si="35"/>
        <v/>
      </c>
      <c r="U149" s="9" t="str">
        <f t="shared" si="36"/>
        <v/>
      </c>
      <c r="W149" s="9" t="str">
        <f t="shared" si="37"/>
        <v/>
      </c>
      <c r="X149" t="s">
        <v>1617</v>
      </c>
      <c r="Y149" s="15">
        <v>33089</v>
      </c>
      <c r="AA149" t="s">
        <v>1624</v>
      </c>
      <c r="AB149" t="s">
        <v>1627</v>
      </c>
      <c r="AC149" s="17">
        <v>2.9</v>
      </c>
      <c r="AF149" t="str">
        <f t="shared" si="38"/>
        <v>2024/06/05</v>
      </c>
      <c r="AG149" t="str">
        <f t="shared" si="39"/>
        <v/>
      </c>
      <c r="AH149" t="str">
        <f t="shared" si="40"/>
        <v/>
      </c>
      <c r="AI149" t="str">
        <f t="shared" si="41"/>
        <v/>
      </c>
      <c r="AJ149" t="str">
        <f t="shared" si="42"/>
        <v>Not Found</v>
      </c>
      <c r="AK149" t="str">
        <f t="shared" si="43"/>
        <v>Not Found</v>
      </c>
    </row>
    <row r="150" spans="1:37" x14ac:dyDescent="0.35">
      <c r="A150" t="s">
        <v>166</v>
      </c>
      <c r="B150" t="s">
        <v>534</v>
      </c>
      <c r="C150" t="s">
        <v>771</v>
      </c>
      <c r="D150" t="str">
        <f t="shared" si="44"/>
        <v>Sheila Jones</v>
      </c>
      <c r="E150" t="str">
        <f t="shared" si="45"/>
        <v>Sheila</v>
      </c>
      <c r="F150" t="str">
        <f t="shared" si="46"/>
        <v>Jones</v>
      </c>
      <c r="G150" t="s">
        <v>1025</v>
      </c>
      <c r="H150" t="str">
        <f t="shared" si="47"/>
        <v>Finance Analyst</v>
      </c>
      <c r="I150" t="s">
        <v>1032</v>
      </c>
      <c r="J150" t="str">
        <f t="shared" si="48"/>
        <v>Operations</v>
      </c>
      <c r="K150" t="s">
        <v>1037</v>
      </c>
      <c r="L150" t="str">
        <f t="shared" si="49"/>
        <v>East Midlands</v>
      </c>
      <c r="M150" t="s">
        <v>1042</v>
      </c>
      <c r="N150" t="s">
        <v>1046</v>
      </c>
      <c r="O150" t="str">
        <f t="shared" si="50"/>
        <v>Linkedln</v>
      </c>
      <c r="P150" t="s">
        <v>1190</v>
      </c>
      <c r="Q150" s="9">
        <f t="shared" si="34"/>
        <v>45325</v>
      </c>
      <c r="R150" t="s">
        <v>1439</v>
      </c>
      <c r="S150" s="9">
        <f t="shared" si="35"/>
        <v>45352</v>
      </c>
      <c r="U150" s="9" t="str">
        <f t="shared" si="36"/>
        <v/>
      </c>
      <c r="W150" s="9" t="str">
        <f t="shared" si="37"/>
        <v/>
      </c>
      <c r="X150" t="s">
        <v>1615</v>
      </c>
      <c r="Y150" s="15">
        <v>48863</v>
      </c>
      <c r="AA150" t="s">
        <v>1621</v>
      </c>
      <c r="AB150" t="s">
        <v>1628</v>
      </c>
      <c r="AC150" s="17">
        <v>3.1</v>
      </c>
      <c r="AF150" t="str">
        <f t="shared" si="38"/>
        <v>02-03-2024</v>
      </c>
      <c r="AG150" t="str">
        <f t="shared" si="39"/>
        <v>01/03/2024</v>
      </c>
      <c r="AH150" t="str">
        <f t="shared" si="40"/>
        <v/>
      </c>
      <c r="AI150" t="str">
        <f t="shared" si="41"/>
        <v/>
      </c>
      <c r="AJ150" t="str">
        <f t="shared" si="42"/>
        <v>Not Found</v>
      </c>
      <c r="AK150" t="str">
        <f t="shared" si="43"/>
        <v>Not Found</v>
      </c>
    </row>
    <row r="151" spans="1:37" x14ac:dyDescent="0.35">
      <c r="A151" t="s">
        <v>167</v>
      </c>
      <c r="B151" t="s">
        <v>535</v>
      </c>
      <c r="C151" t="s">
        <v>772</v>
      </c>
      <c r="D151" t="str">
        <f t="shared" si="44"/>
        <v>Daniel Gray</v>
      </c>
      <c r="E151" t="str">
        <f t="shared" si="45"/>
        <v>Daniel</v>
      </c>
      <c r="F151" t="str">
        <f t="shared" si="46"/>
        <v>Gray</v>
      </c>
      <c r="G151" t="s">
        <v>1025</v>
      </c>
      <c r="H151" t="str">
        <f t="shared" si="47"/>
        <v>Finance Analyst</v>
      </c>
      <c r="I151" t="s">
        <v>1030</v>
      </c>
      <c r="J151" t="str">
        <f t="shared" si="48"/>
        <v>Finance</v>
      </c>
      <c r="K151" t="s">
        <v>1038</v>
      </c>
      <c r="L151" t="str">
        <f t="shared" si="49"/>
        <v>East Midlands</v>
      </c>
      <c r="M151" t="s">
        <v>1045</v>
      </c>
      <c r="N151" t="s">
        <v>1050</v>
      </c>
      <c r="O151" t="str">
        <f t="shared" si="50"/>
        <v>Reed</v>
      </c>
      <c r="P151" t="s">
        <v>1191</v>
      </c>
      <c r="Q151" s="9">
        <f t="shared" si="34"/>
        <v>45306</v>
      </c>
      <c r="S151" s="9" t="str">
        <f t="shared" si="35"/>
        <v/>
      </c>
      <c r="U151" s="9" t="str">
        <f t="shared" si="36"/>
        <v/>
      </c>
      <c r="W151" s="9" t="str">
        <f t="shared" si="37"/>
        <v/>
      </c>
      <c r="X151" t="s">
        <v>1619</v>
      </c>
      <c r="Y151" s="15">
        <v>49201</v>
      </c>
      <c r="AA151" t="s">
        <v>1621</v>
      </c>
      <c r="AB151" t="s">
        <v>1626</v>
      </c>
      <c r="AC151" s="17">
        <v>4.0999999999999996</v>
      </c>
      <c r="AF151" t="str">
        <f t="shared" si="38"/>
        <v>15/01/2024</v>
      </c>
      <c r="AG151" t="str">
        <f t="shared" si="39"/>
        <v/>
      </c>
      <c r="AH151" t="str">
        <f t="shared" si="40"/>
        <v/>
      </c>
      <c r="AI151" t="str">
        <f t="shared" si="41"/>
        <v/>
      </c>
      <c r="AJ151" t="str">
        <f t="shared" si="42"/>
        <v>Not Found</v>
      </c>
      <c r="AK151" t="str">
        <f t="shared" si="43"/>
        <v>Not Found</v>
      </c>
    </row>
    <row r="152" spans="1:37" x14ac:dyDescent="0.35">
      <c r="A152" t="s">
        <v>168</v>
      </c>
      <c r="B152" t="s">
        <v>428</v>
      </c>
      <c r="C152" t="s">
        <v>773</v>
      </c>
      <c r="D152" t="str">
        <f t="shared" si="44"/>
        <v>Michelle Dickinson</v>
      </c>
      <c r="E152" t="str">
        <f t="shared" si="45"/>
        <v>Michelle</v>
      </c>
      <c r="F152" t="str">
        <f t="shared" si="46"/>
        <v>Dickinson</v>
      </c>
      <c r="G152" t="s">
        <v>1023</v>
      </c>
      <c r="H152" t="str">
        <f t="shared" si="47"/>
        <v>HR Analyst</v>
      </c>
      <c r="I152" t="s">
        <v>1029</v>
      </c>
      <c r="J152" t="str">
        <f t="shared" si="48"/>
        <v>Commercial</v>
      </c>
      <c r="K152" t="s">
        <v>1033</v>
      </c>
      <c r="L152" t="str">
        <f t="shared" si="49"/>
        <v>Midlands</v>
      </c>
      <c r="M152" t="s">
        <v>1041</v>
      </c>
      <c r="N152" t="s">
        <v>1052</v>
      </c>
      <c r="O152" t="str">
        <f t="shared" si="50"/>
        <v>Linkedln</v>
      </c>
      <c r="P152" t="s">
        <v>1192</v>
      </c>
      <c r="Q152" s="9">
        <f t="shared" si="34"/>
        <v>45319</v>
      </c>
      <c r="R152" t="s">
        <v>1178</v>
      </c>
      <c r="S152" s="9">
        <f t="shared" si="35"/>
        <v>45339</v>
      </c>
      <c r="U152" s="9" t="str">
        <f t="shared" si="36"/>
        <v/>
      </c>
      <c r="W152" s="9" t="str">
        <f t="shared" si="37"/>
        <v/>
      </c>
      <c r="X152" t="s">
        <v>1615</v>
      </c>
      <c r="Y152" s="15">
        <v>47410</v>
      </c>
      <c r="AA152" t="s">
        <v>1623</v>
      </c>
      <c r="AB152" t="s">
        <v>1627</v>
      </c>
      <c r="AC152" s="17">
        <v>4.3</v>
      </c>
      <c r="AF152" t="str">
        <f t="shared" si="38"/>
        <v>01-28-2024</v>
      </c>
      <c r="AG152" t="str">
        <f t="shared" si="39"/>
        <v>2024/02/17</v>
      </c>
      <c r="AH152" t="str">
        <f t="shared" si="40"/>
        <v/>
      </c>
      <c r="AI152" t="str">
        <f t="shared" si="41"/>
        <v/>
      </c>
      <c r="AJ152" t="str">
        <f t="shared" si="42"/>
        <v>Not Found</v>
      </c>
      <c r="AK152" t="str">
        <f t="shared" si="43"/>
        <v>Not Found</v>
      </c>
    </row>
    <row r="153" spans="1:37" x14ac:dyDescent="0.35">
      <c r="A153" t="s">
        <v>169</v>
      </c>
      <c r="B153" t="s">
        <v>536</v>
      </c>
      <c r="C153" t="s">
        <v>774</v>
      </c>
      <c r="D153" t="str">
        <f t="shared" si="44"/>
        <v>Katherine Chamberlain</v>
      </c>
      <c r="E153" t="str">
        <f t="shared" si="45"/>
        <v>Katherine</v>
      </c>
      <c r="F153" t="str">
        <f t="shared" si="46"/>
        <v>Chamberlain</v>
      </c>
      <c r="G153" t="s">
        <v>1027</v>
      </c>
      <c r="H153" t="str">
        <f t="shared" si="47"/>
        <v>Data Analyst</v>
      </c>
      <c r="I153" t="s">
        <v>1028</v>
      </c>
      <c r="J153" t="str">
        <f t="shared" si="48"/>
        <v>HR</v>
      </c>
      <c r="K153" t="s">
        <v>1040</v>
      </c>
      <c r="L153" t="str">
        <f t="shared" si="49"/>
        <v>North West</v>
      </c>
      <c r="M153" t="s">
        <v>1041</v>
      </c>
      <c r="N153" t="s">
        <v>1047</v>
      </c>
      <c r="O153" t="str">
        <f t="shared" si="50"/>
        <v>Linkedln</v>
      </c>
      <c r="P153" t="s">
        <v>1193</v>
      </c>
      <c r="Q153" s="9">
        <f t="shared" si="34"/>
        <v>45352</v>
      </c>
      <c r="S153" s="9" t="str">
        <f t="shared" si="35"/>
        <v/>
      </c>
      <c r="U153" s="9" t="str">
        <f t="shared" si="36"/>
        <v/>
      </c>
      <c r="W153" s="9" t="str">
        <f t="shared" si="37"/>
        <v/>
      </c>
      <c r="X153" t="s">
        <v>1616</v>
      </c>
      <c r="Y153" s="15">
        <v>33803</v>
      </c>
      <c r="AA153" t="s">
        <v>1624</v>
      </c>
      <c r="AB153" t="s">
        <v>1627</v>
      </c>
      <c r="AC153" s="17">
        <v>3.8</v>
      </c>
      <c r="AF153" t="str">
        <f t="shared" si="38"/>
        <v>2024/03/01</v>
      </c>
      <c r="AG153" t="str">
        <f t="shared" si="39"/>
        <v/>
      </c>
      <c r="AH153" t="str">
        <f t="shared" si="40"/>
        <v/>
      </c>
      <c r="AI153" t="str">
        <f t="shared" si="41"/>
        <v/>
      </c>
      <c r="AJ153" t="str">
        <f t="shared" si="42"/>
        <v>Not Found</v>
      </c>
      <c r="AK153" t="str">
        <f t="shared" si="43"/>
        <v>Not Found</v>
      </c>
    </row>
    <row r="154" spans="1:37" x14ac:dyDescent="0.35">
      <c r="A154" t="s">
        <v>170</v>
      </c>
      <c r="B154" t="s">
        <v>537</v>
      </c>
      <c r="C154" t="s">
        <v>775</v>
      </c>
      <c r="D154" t="str">
        <f t="shared" si="44"/>
        <v>Russell Brown</v>
      </c>
      <c r="E154" t="str">
        <f t="shared" si="45"/>
        <v>Russell</v>
      </c>
      <c r="F154" t="str">
        <f t="shared" si="46"/>
        <v>Brown</v>
      </c>
      <c r="G154" t="s">
        <v>1025</v>
      </c>
      <c r="H154" t="str">
        <f t="shared" si="47"/>
        <v>Finance Analyst</v>
      </c>
      <c r="I154" t="s">
        <v>1030</v>
      </c>
      <c r="J154" t="str">
        <f t="shared" si="48"/>
        <v>Finance</v>
      </c>
      <c r="K154" t="s">
        <v>1040</v>
      </c>
      <c r="L154" t="str">
        <f t="shared" si="49"/>
        <v>North West</v>
      </c>
      <c r="M154" t="s">
        <v>1045</v>
      </c>
      <c r="N154" t="s">
        <v>1046</v>
      </c>
      <c r="O154" t="str">
        <f t="shared" si="50"/>
        <v>Linkedln</v>
      </c>
      <c r="P154" t="s">
        <v>1194</v>
      </c>
      <c r="Q154" s="9">
        <f t="shared" si="34"/>
        <v>45573</v>
      </c>
      <c r="R154" t="s">
        <v>1440</v>
      </c>
      <c r="S154" s="9">
        <f t="shared" si="35"/>
        <v>45595</v>
      </c>
      <c r="T154" t="s">
        <v>1376</v>
      </c>
      <c r="U154" s="9">
        <f t="shared" si="36"/>
        <v>45613</v>
      </c>
      <c r="W154" s="9" t="str">
        <f t="shared" si="37"/>
        <v/>
      </c>
      <c r="X154" t="s">
        <v>1618</v>
      </c>
      <c r="Y154" s="15">
        <v>34822</v>
      </c>
      <c r="Z154" s="15">
        <v>36720</v>
      </c>
      <c r="AA154" t="s">
        <v>1622</v>
      </c>
      <c r="AB154" t="s">
        <v>1628</v>
      </c>
      <c r="AC154" s="17">
        <v>3.8</v>
      </c>
      <c r="AF154" t="str">
        <f t="shared" si="38"/>
        <v>2024/10/08</v>
      </c>
      <c r="AG154" t="str">
        <f t="shared" si="39"/>
        <v>10-30-2024</v>
      </c>
      <c r="AH154" t="str">
        <f t="shared" si="40"/>
        <v>17/11/2024</v>
      </c>
      <c r="AI154" t="str">
        <f t="shared" si="41"/>
        <v/>
      </c>
      <c r="AJ154" t="str">
        <f t="shared" si="42"/>
        <v>Not Found</v>
      </c>
      <c r="AK154" t="str">
        <f t="shared" si="43"/>
        <v>Not Found</v>
      </c>
    </row>
    <row r="155" spans="1:37" x14ac:dyDescent="0.35">
      <c r="A155" t="s">
        <v>171</v>
      </c>
      <c r="B155" t="s">
        <v>538</v>
      </c>
      <c r="C155" t="s">
        <v>776</v>
      </c>
      <c r="D155" t="str">
        <f t="shared" si="44"/>
        <v>Lee Gilbert Williams</v>
      </c>
      <c r="E155" t="str">
        <f t="shared" si="45"/>
        <v>Lee</v>
      </c>
      <c r="F155" t="str">
        <f t="shared" si="46"/>
        <v>Williams</v>
      </c>
      <c r="G155" t="s">
        <v>1022</v>
      </c>
      <c r="H155" t="str">
        <f t="shared" si="47"/>
        <v>Reporting Analyst</v>
      </c>
      <c r="I155" t="s">
        <v>1032</v>
      </c>
      <c r="J155" t="str">
        <f t="shared" si="48"/>
        <v>Operations</v>
      </c>
      <c r="K155" t="s">
        <v>1033</v>
      </c>
      <c r="L155" t="str">
        <f t="shared" si="49"/>
        <v>Midlands</v>
      </c>
      <c r="M155" t="s">
        <v>1044</v>
      </c>
      <c r="N155" t="s">
        <v>1051</v>
      </c>
      <c r="O155" t="str">
        <f t="shared" si="50"/>
        <v>CV Library</v>
      </c>
      <c r="P155" t="s">
        <v>1195</v>
      </c>
      <c r="Q155" s="9">
        <f t="shared" si="34"/>
        <v>45455</v>
      </c>
      <c r="R155" t="s">
        <v>1441</v>
      </c>
      <c r="S155" s="9">
        <f t="shared" si="35"/>
        <v>45467</v>
      </c>
      <c r="U155" s="9" t="str">
        <f t="shared" si="36"/>
        <v/>
      </c>
      <c r="W155" s="9" t="str">
        <f t="shared" si="37"/>
        <v/>
      </c>
      <c r="X155" t="s">
        <v>1615</v>
      </c>
      <c r="Y155" s="15">
        <v>29854</v>
      </c>
      <c r="AA155" t="s">
        <v>1624</v>
      </c>
      <c r="AB155" t="s">
        <v>1628</v>
      </c>
      <c r="AC155" s="17">
        <v>5</v>
      </c>
      <c r="AF155" t="str">
        <f t="shared" si="38"/>
        <v>12/06/2024</v>
      </c>
      <c r="AG155" t="str">
        <f t="shared" si="39"/>
        <v>2024/06/24</v>
      </c>
      <c r="AH155" t="str">
        <f t="shared" si="40"/>
        <v/>
      </c>
      <c r="AI155" t="str">
        <f t="shared" si="41"/>
        <v/>
      </c>
      <c r="AJ155" t="str">
        <f t="shared" si="42"/>
        <v>Not Found</v>
      </c>
      <c r="AK155" t="str">
        <f t="shared" si="43"/>
        <v>Not Found</v>
      </c>
    </row>
    <row r="156" spans="1:37" x14ac:dyDescent="0.35">
      <c r="A156" t="s">
        <v>172</v>
      </c>
      <c r="B156" t="s">
        <v>539</v>
      </c>
      <c r="C156" t="s">
        <v>777</v>
      </c>
      <c r="D156" t="str">
        <f t="shared" si="44"/>
        <v>Roger King</v>
      </c>
      <c r="E156" t="str">
        <f t="shared" si="45"/>
        <v>Roger</v>
      </c>
      <c r="F156" t="str">
        <f t="shared" si="46"/>
        <v>King</v>
      </c>
      <c r="G156" t="s">
        <v>1022</v>
      </c>
      <c r="H156" t="str">
        <f t="shared" si="47"/>
        <v>Reporting Analyst</v>
      </c>
      <c r="I156" t="s">
        <v>1029</v>
      </c>
      <c r="J156" t="str">
        <f t="shared" si="48"/>
        <v>Commercial</v>
      </c>
      <c r="K156" t="s">
        <v>1040</v>
      </c>
      <c r="L156" t="str">
        <f t="shared" si="49"/>
        <v>North West</v>
      </c>
      <c r="M156" t="s">
        <v>1043</v>
      </c>
      <c r="N156" t="s">
        <v>1051</v>
      </c>
      <c r="O156" t="str">
        <f t="shared" si="50"/>
        <v>CV Library</v>
      </c>
      <c r="P156" t="s">
        <v>1196</v>
      </c>
      <c r="Q156" s="9">
        <f t="shared" si="34"/>
        <v>45690</v>
      </c>
      <c r="R156" t="s">
        <v>1442</v>
      </c>
      <c r="S156" s="9">
        <f t="shared" si="35"/>
        <v>45705</v>
      </c>
      <c r="U156" s="9" t="str">
        <f t="shared" si="36"/>
        <v/>
      </c>
      <c r="W156" s="9" t="str">
        <f t="shared" si="37"/>
        <v/>
      </c>
      <c r="X156" t="s">
        <v>1615</v>
      </c>
      <c r="Y156" s="15">
        <v>51869</v>
      </c>
      <c r="AA156" t="s">
        <v>1624</v>
      </c>
      <c r="AB156" t="s">
        <v>1626</v>
      </c>
      <c r="AC156" s="17">
        <v>2.8</v>
      </c>
      <c r="AF156" t="str">
        <f t="shared" si="38"/>
        <v>02/02/2025</v>
      </c>
      <c r="AG156" t="str">
        <f t="shared" si="39"/>
        <v>17/02/2025</v>
      </c>
      <c r="AH156" t="str">
        <f t="shared" si="40"/>
        <v/>
      </c>
      <c r="AI156" t="str">
        <f t="shared" si="41"/>
        <v/>
      </c>
      <c r="AJ156" t="str">
        <f t="shared" si="42"/>
        <v>Not Found</v>
      </c>
      <c r="AK156" t="str">
        <f t="shared" si="43"/>
        <v>Not Found</v>
      </c>
    </row>
    <row r="157" spans="1:37" x14ac:dyDescent="0.35">
      <c r="A157" t="s">
        <v>173</v>
      </c>
      <c r="B157" t="s">
        <v>540</v>
      </c>
      <c r="C157" t="s">
        <v>778</v>
      </c>
      <c r="D157" t="str">
        <f t="shared" si="44"/>
        <v>Martyn Collins Elliott</v>
      </c>
      <c r="E157" t="str">
        <f t="shared" si="45"/>
        <v>Martyn</v>
      </c>
      <c r="F157" t="str">
        <f t="shared" si="46"/>
        <v>Elliott</v>
      </c>
      <c r="G157" t="s">
        <v>1024</v>
      </c>
      <c r="H157" t="str">
        <f t="shared" si="47"/>
        <v>Business Analyst</v>
      </c>
      <c r="I157" t="s">
        <v>1029</v>
      </c>
      <c r="J157" t="str">
        <f t="shared" si="48"/>
        <v>Commercial</v>
      </c>
      <c r="K157" t="s">
        <v>1040</v>
      </c>
      <c r="L157" t="str">
        <f t="shared" si="49"/>
        <v>North West</v>
      </c>
      <c r="M157" t="s">
        <v>1041</v>
      </c>
      <c r="N157" t="s">
        <v>1048</v>
      </c>
      <c r="O157" t="str">
        <f t="shared" si="50"/>
        <v>Referral</v>
      </c>
      <c r="P157" t="s">
        <v>1197</v>
      </c>
      <c r="Q157" s="9">
        <f t="shared" si="34"/>
        <v>45691</v>
      </c>
      <c r="S157" s="9" t="str">
        <f t="shared" si="35"/>
        <v/>
      </c>
      <c r="U157" s="9" t="str">
        <f t="shared" si="36"/>
        <v/>
      </c>
      <c r="W157" s="9" t="str">
        <f t="shared" si="37"/>
        <v/>
      </c>
      <c r="X157" t="s">
        <v>1619</v>
      </c>
      <c r="Y157" s="15">
        <v>32470</v>
      </c>
      <c r="AA157" t="s">
        <v>1624</v>
      </c>
      <c r="AB157" t="s">
        <v>1627</v>
      </c>
      <c r="AC157" s="17">
        <v>2.7</v>
      </c>
      <c r="AF157" t="str">
        <f t="shared" si="38"/>
        <v>02-03-2025</v>
      </c>
      <c r="AG157" t="str">
        <f t="shared" si="39"/>
        <v/>
      </c>
      <c r="AH157" t="str">
        <f t="shared" si="40"/>
        <v/>
      </c>
      <c r="AI157" t="str">
        <f t="shared" si="41"/>
        <v/>
      </c>
      <c r="AJ157" t="str">
        <f t="shared" si="42"/>
        <v>Not Found</v>
      </c>
      <c r="AK157" t="str">
        <f t="shared" si="43"/>
        <v>Not Found</v>
      </c>
    </row>
    <row r="158" spans="1:37" x14ac:dyDescent="0.35">
      <c r="A158" t="s">
        <v>174</v>
      </c>
      <c r="B158" t="s">
        <v>541</v>
      </c>
      <c r="C158" t="s">
        <v>779</v>
      </c>
      <c r="D158" t="str">
        <f t="shared" si="44"/>
        <v>James Barber</v>
      </c>
      <c r="E158" t="str">
        <f t="shared" si="45"/>
        <v>James</v>
      </c>
      <c r="F158" t="str">
        <f t="shared" si="46"/>
        <v>Barber</v>
      </c>
      <c r="G158" t="s">
        <v>1027</v>
      </c>
      <c r="H158" t="str">
        <f t="shared" si="47"/>
        <v>Data Analyst</v>
      </c>
      <c r="I158" t="s">
        <v>1029</v>
      </c>
      <c r="J158" t="str">
        <f t="shared" si="48"/>
        <v>Commercial</v>
      </c>
      <c r="K158" t="s">
        <v>1038</v>
      </c>
      <c r="L158" t="str">
        <f t="shared" si="49"/>
        <v>East Midlands</v>
      </c>
      <c r="M158" t="s">
        <v>1042</v>
      </c>
      <c r="N158" t="s">
        <v>1047</v>
      </c>
      <c r="O158" t="str">
        <f t="shared" si="50"/>
        <v>Linkedln</v>
      </c>
      <c r="P158" t="s">
        <v>1198</v>
      </c>
      <c r="Q158" s="9">
        <f t="shared" si="34"/>
        <v>45462</v>
      </c>
      <c r="S158" s="9" t="str">
        <f t="shared" si="35"/>
        <v/>
      </c>
      <c r="U158" s="9" t="str">
        <f t="shared" si="36"/>
        <v/>
      </c>
      <c r="W158" s="9" t="str">
        <f t="shared" si="37"/>
        <v/>
      </c>
      <c r="X158" t="s">
        <v>1619</v>
      </c>
      <c r="Y158" s="15">
        <v>37524</v>
      </c>
      <c r="AA158" t="s">
        <v>1621</v>
      </c>
      <c r="AB158" t="s">
        <v>1628</v>
      </c>
      <c r="AC158" s="17">
        <v>4</v>
      </c>
      <c r="AF158" t="str">
        <f t="shared" si="38"/>
        <v>06-19-2024</v>
      </c>
      <c r="AG158" t="str">
        <f t="shared" si="39"/>
        <v/>
      </c>
      <c r="AH158" t="str">
        <f t="shared" si="40"/>
        <v/>
      </c>
      <c r="AI158" t="str">
        <f t="shared" si="41"/>
        <v/>
      </c>
      <c r="AJ158" t="str">
        <f t="shared" si="42"/>
        <v>Not Found</v>
      </c>
      <c r="AK158" t="str">
        <f t="shared" si="43"/>
        <v>Not Found</v>
      </c>
    </row>
    <row r="159" spans="1:37" x14ac:dyDescent="0.35">
      <c r="A159" t="s">
        <v>175</v>
      </c>
      <c r="B159" t="s">
        <v>448</v>
      </c>
      <c r="C159" t="s">
        <v>780</v>
      </c>
      <c r="D159" t="str">
        <f t="shared" si="44"/>
        <v>Amy Miah Robinson</v>
      </c>
      <c r="E159" t="str">
        <f t="shared" si="45"/>
        <v>Amy</v>
      </c>
      <c r="F159" t="str">
        <f t="shared" si="46"/>
        <v>Robinson</v>
      </c>
      <c r="G159" t="s">
        <v>1025</v>
      </c>
      <c r="H159" t="str">
        <f t="shared" si="47"/>
        <v>Finance Analyst</v>
      </c>
      <c r="I159" t="s">
        <v>1032</v>
      </c>
      <c r="J159" t="str">
        <f t="shared" si="48"/>
        <v>Operations</v>
      </c>
      <c r="K159" t="s">
        <v>1039</v>
      </c>
      <c r="L159" t="str">
        <f t="shared" si="49"/>
        <v>South East</v>
      </c>
      <c r="M159" t="s">
        <v>1043</v>
      </c>
      <c r="N159" t="s">
        <v>1051</v>
      </c>
      <c r="O159" t="str">
        <f t="shared" si="50"/>
        <v>CV Library</v>
      </c>
      <c r="P159" t="s">
        <v>1199</v>
      </c>
      <c r="Q159" s="9">
        <f t="shared" si="34"/>
        <v>45296</v>
      </c>
      <c r="S159" s="9" t="str">
        <f t="shared" si="35"/>
        <v/>
      </c>
      <c r="U159" s="9" t="str">
        <f t="shared" si="36"/>
        <v/>
      </c>
      <c r="W159" s="9" t="str">
        <f t="shared" si="37"/>
        <v/>
      </c>
      <c r="X159" t="s">
        <v>1616</v>
      </c>
      <c r="Y159" s="15">
        <v>36407</v>
      </c>
      <c r="AA159" t="s">
        <v>1624</v>
      </c>
      <c r="AB159" t="s">
        <v>1628</v>
      </c>
      <c r="AC159" s="17">
        <v>4.7</v>
      </c>
      <c r="AF159" t="str">
        <f t="shared" si="38"/>
        <v>2024/01/05</v>
      </c>
      <c r="AG159" t="str">
        <f t="shared" si="39"/>
        <v/>
      </c>
      <c r="AH159" t="str">
        <f t="shared" si="40"/>
        <v/>
      </c>
      <c r="AI159" t="str">
        <f t="shared" si="41"/>
        <v/>
      </c>
      <c r="AJ159" t="str">
        <f t="shared" si="42"/>
        <v>Not Found</v>
      </c>
      <c r="AK159" t="str">
        <f t="shared" si="43"/>
        <v>Not Found</v>
      </c>
    </row>
    <row r="160" spans="1:37" x14ac:dyDescent="0.35">
      <c r="A160" t="s">
        <v>176</v>
      </c>
      <c r="B160" t="s">
        <v>542</v>
      </c>
      <c r="C160" t="s">
        <v>781</v>
      </c>
      <c r="D160" t="str">
        <f t="shared" si="44"/>
        <v>Lauren Davies</v>
      </c>
      <c r="E160" t="str">
        <f t="shared" si="45"/>
        <v>Lauren</v>
      </c>
      <c r="F160" t="str">
        <f t="shared" si="46"/>
        <v>Davies</v>
      </c>
      <c r="G160" t="s">
        <v>1023</v>
      </c>
      <c r="H160" t="str">
        <f t="shared" si="47"/>
        <v>HR Analyst</v>
      </c>
      <c r="I160" t="s">
        <v>1029</v>
      </c>
      <c r="J160" t="str">
        <f t="shared" si="48"/>
        <v>Commercial</v>
      </c>
      <c r="K160" t="s">
        <v>1038</v>
      </c>
      <c r="L160" t="str">
        <f t="shared" si="49"/>
        <v>East Midlands</v>
      </c>
      <c r="M160" t="s">
        <v>1043</v>
      </c>
      <c r="N160" t="s">
        <v>1047</v>
      </c>
      <c r="O160" t="str">
        <f t="shared" si="50"/>
        <v>Linkedln</v>
      </c>
      <c r="P160" t="s">
        <v>1200</v>
      </c>
      <c r="Q160" s="9">
        <f t="shared" si="34"/>
        <v>45428</v>
      </c>
      <c r="S160" s="9" t="str">
        <f t="shared" si="35"/>
        <v/>
      </c>
      <c r="U160" s="9" t="str">
        <f t="shared" si="36"/>
        <v/>
      </c>
      <c r="W160" s="9" t="str">
        <f t="shared" si="37"/>
        <v/>
      </c>
      <c r="X160" t="s">
        <v>1616</v>
      </c>
      <c r="Y160" s="15">
        <v>41795</v>
      </c>
      <c r="AA160" t="s">
        <v>1625</v>
      </c>
      <c r="AB160" t="s">
        <v>1627</v>
      </c>
      <c r="AC160" s="17">
        <v>4.7</v>
      </c>
      <c r="AF160" t="str">
        <f t="shared" si="38"/>
        <v>16/05/2024</v>
      </c>
      <c r="AG160" t="str">
        <f t="shared" si="39"/>
        <v/>
      </c>
      <c r="AH160" t="str">
        <f t="shared" si="40"/>
        <v/>
      </c>
      <c r="AI160" t="str">
        <f t="shared" si="41"/>
        <v/>
      </c>
      <c r="AJ160" t="str">
        <f t="shared" si="42"/>
        <v>Not Found</v>
      </c>
      <c r="AK160" t="str">
        <f t="shared" si="43"/>
        <v>Not Found</v>
      </c>
    </row>
    <row r="161" spans="1:37" x14ac:dyDescent="0.35">
      <c r="A161" t="s">
        <v>177</v>
      </c>
      <c r="B161" t="s">
        <v>439</v>
      </c>
      <c r="C161" t="s">
        <v>782</v>
      </c>
      <c r="D161" t="str">
        <f t="shared" si="44"/>
        <v>Naomi Kirk</v>
      </c>
      <c r="E161" t="str">
        <f t="shared" si="45"/>
        <v>Naomi</v>
      </c>
      <c r="F161" t="str">
        <f t="shared" si="46"/>
        <v>Kirk</v>
      </c>
      <c r="G161" t="s">
        <v>1025</v>
      </c>
      <c r="H161" t="str">
        <f t="shared" si="47"/>
        <v>Finance Analyst</v>
      </c>
      <c r="I161" t="s">
        <v>1029</v>
      </c>
      <c r="J161" t="str">
        <f t="shared" si="48"/>
        <v>Commercial</v>
      </c>
      <c r="K161" t="s">
        <v>1034</v>
      </c>
      <c r="L161" t="str">
        <f t="shared" si="49"/>
        <v>Scotland</v>
      </c>
      <c r="M161" t="s">
        <v>1045</v>
      </c>
      <c r="N161" t="s">
        <v>1046</v>
      </c>
      <c r="O161" t="str">
        <f t="shared" si="50"/>
        <v>Linkedln</v>
      </c>
      <c r="P161" t="s">
        <v>1138</v>
      </c>
      <c r="Q161" s="9">
        <f t="shared" si="34"/>
        <v>45583</v>
      </c>
      <c r="R161" t="s">
        <v>1443</v>
      </c>
      <c r="S161" s="9">
        <f t="shared" si="35"/>
        <v>45610</v>
      </c>
      <c r="T161" t="s">
        <v>1135</v>
      </c>
      <c r="U161" s="9">
        <f t="shared" si="36"/>
        <v>45618</v>
      </c>
      <c r="V161" t="s">
        <v>1595</v>
      </c>
      <c r="W161" s="9">
        <f t="shared" si="37"/>
        <v>45632</v>
      </c>
      <c r="X161" t="s">
        <v>1620</v>
      </c>
      <c r="Y161" s="15">
        <v>38506</v>
      </c>
      <c r="Z161" s="15">
        <v>41622</v>
      </c>
      <c r="AA161" t="s">
        <v>1622</v>
      </c>
      <c r="AB161" t="s">
        <v>1628</v>
      </c>
      <c r="AC161" s="17">
        <v>3.8</v>
      </c>
      <c r="AF161" t="str">
        <f t="shared" si="38"/>
        <v>2024/10/18</v>
      </c>
      <c r="AG161" t="str">
        <f t="shared" si="39"/>
        <v>11-14-2024</v>
      </c>
      <c r="AH161" t="str">
        <f t="shared" si="40"/>
        <v>11-22-2024</v>
      </c>
      <c r="AI161" t="str">
        <f t="shared" si="41"/>
        <v>06/12/2024</v>
      </c>
      <c r="AJ161" t="str">
        <f t="shared" si="42"/>
        <v>Not Found</v>
      </c>
      <c r="AK161" t="str">
        <f t="shared" si="43"/>
        <v>Not Found</v>
      </c>
    </row>
    <row r="162" spans="1:37" x14ac:dyDescent="0.35">
      <c r="A162" t="s">
        <v>178</v>
      </c>
      <c r="B162" t="s">
        <v>492</v>
      </c>
      <c r="C162" t="s">
        <v>783</v>
      </c>
      <c r="D162" t="str">
        <f t="shared" si="44"/>
        <v>Katie Smith</v>
      </c>
      <c r="E162" t="str">
        <f t="shared" si="45"/>
        <v>Katie</v>
      </c>
      <c r="F162" t="str">
        <f t="shared" si="46"/>
        <v>Smith</v>
      </c>
      <c r="G162" t="s">
        <v>1025</v>
      </c>
      <c r="H162" t="str">
        <f t="shared" si="47"/>
        <v>Finance Analyst</v>
      </c>
      <c r="I162" t="s">
        <v>1029</v>
      </c>
      <c r="J162" t="str">
        <f t="shared" si="48"/>
        <v>Commercial</v>
      </c>
      <c r="K162" t="s">
        <v>1034</v>
      </c>
      <c r="L162" t="str">
        <f t="shared" si="49"/>
        <v>Scotland</v>
      </c>
      <c r="M162" t="s">
        <v>1041</v>
      </c>
      <c r="N162" t="s">
        <v>1048</v>
      </c>
      <c r="O162" t="str">
        <f t="shared" si="50"/>
        <v>Referral</v>
      </c>
      <c r="P162" t="s">
        <v>1201</v>
      </c>
      <c r="Q162" s="9">
        <f t="shared" si="34"/>
        <v>45392</v>
      </c>
      <c r="S162" s="9" t="str">
        <f t="shared" si="35"/>
        <v/>
      </c>
      <c r="U162" s="9" t="str">
        <f t="shared" si="36"/>
        <v/>
      </c>
      <c r="W162" s="9" t="str">
        <f t="shared" si="37"/>
        <v/>
      </c>
      <c r="X162" t="s">
        <v>1616</v>
      </c>
      <c r="Y162" s="15">
        <v>29896</v>
      </c>
      <c r="AA162" t="s">
        <v>1624</v>
      </c>
      <c r="AB162" t="s">
        <v>1626</v>
      </c>
      <c r="AC162" s="17">
        <v>3.2</v>
      </c>
      <c r="AF162" t="str">
        <f t="shared" si="38"/>
        <v>04-10-2024</v>
      </c>
      <c r="AG162" t="str">
        <f t="shared" si="39"/>
        <v/>
      </c>
      <c r="AH162" t="str">
        <f t="shared" si="40"/>
        <v/>
      </c>
      <c r="AI162" t="str">
        <f t="shared" si="41"/>
        <v/>
      </c>
      <c r="AJ162" t="str">
        <f t="shared" si="42"/>
        <v>Not Found</v>
      </c>
      <c r="AK162" t="str">
        <f t="shared" si="43"/>
        <v>Not Found</v>
      </c>
    </row>
    <row r="163" spans="1:37" x14ac:dyDescent="0.35">
      <c r="A163" t="s">
        <v>179</v>
      </c>
      <c r="B163" t="s">
        <v>543</v>
      </c>
      <c r="C163" t="s">
        <v>784</v>
      </c>
      <c r="D163" t="str">
        <f t="shared" si="44"/>
        <v>Ross Khan</v>
      </c>
      <c r="E163" t="str">
        <f t="shared" si="45"/>
        <v>Ross</v>
      </c>
      <c r="F163" t="str">
        <f t="shared" si="46"/>
        <v>Khan</v>
      </c>
      <c r="G163" t="s">
        <v>1023</v>
      </c>
      <c r="H163" t="str">
        <f t="shared" si="47"/>
        <v>HR Analyst</v>
      </c>
      <c r="I163" t="s">
        <v>1032</v>
      </c>
      <c r="J163" t="str">
        <f t="shared" si="48"/>
        <v>Operations</v>
      </c>
      <c r="K163" t="s">
        <v>1039</v>
      </c>
      <c r="L163" t="str">
        <f t="shared" si="49"/>
        <v>South East</v>
      </c>
      <c r="M163" t="s">
        <v>1042</v>
      </c>
      <c r="N163" t="s">
        <v>1052</v>
      </c>
      <c r="O163" t="str">
        <f t="shared" si="50"/>
        <v>Linkedln</v>
      </c>
      <c r="P163" t="s">
        <v>1174</v>
      </c>
      <c r="Q163" s="9">
        <f t="shared" si="34"/>
        <v>45482</v>
      </c>
      <c r="S163" s="9" t="str">
        <f t="shared" si="35"/>
        <v/>
      </c>
      <c r="U163" s="9" t="str">
        <f t="shared" si="36"/>
        <v/>
      </c>
      <c r="W163" s="9" t="str">
        <f t="shared" si="37"/>
        <v/>
      </c>
      <c r="X163" t="s">
        <v>1616</v>
      </c>
      <c r="Y163" s="15">
        <v>37535</v>
      </c>
      <c r="AA163" t="s">
        <v>1625</v>
      </c>
      <c r="AB163" t="s">
        <v>1626</v>
      </c>
      <c r="AC163" s="17">
        <v>4.7</v>
      </c>
      <c r="AF163" t="str">
        <f t="shared" si="38"/>
        <v>2024/07/09</v>
      </c>
      <c r="AG163" t="str">
        <f t="shared" si="39"/>
        <v/>
      </c>
      <c r="AH163" t="str">
        <f t="shared" si="40"/>
        <v/>
      </c>
      <c r="AI163" t="str">
        <f t="shared" si="41"/>
        <v/>
      </c>
      <c r="AJ163" t="str">
        <f t="shared" si="42"/>
        <v>Not Found</v>
      </c>
      <c r="AK163" t="str">
        <f t="shared" si="43"/>
        <v>Not Found</v>
      </c>
    </row>
    <row r="164" spans="1:37" x14ac:dyDescent="0.35">
      <c r="A164" t="s">
        <v>180</v>
      </c>
      <c r="B164" t="s">
        <v>544</v>
      </c>
      <c r="C164" t="s">
        <v>785</v>
      </c>
      <c r="D164" t="str">
        <f t="shared" si="44"/>
        <v>Leonard Fuller</v>
      </c>
      <c r="E164" t="str">
        <f t="shared" si="45"/>
        <v>Leonard</v>
      </c>
      <c r="F164" t="str">
        <f t="shared" si="46"/>
        <v>Fuller</v>
      </c>
      <c r="G164" t="s">
        <v>1024</v>
      </c>
      <c r="H164" t="str">
        <f t="shared" si="47"/>
        <v>Business Analyst</v>
      </c>
      <c r="I164" t="s">
        <v>1029</v>
      </c>
      <c r="J164" t="str">
        <f t="shared" si="48"/>
        <v>Commercial</v>
      </c>
      <c r="K164" t="s">
        <v>1035</v>
      </c>
      <c r="L164" t="str">
        <f t="shared" si="49"/>
        <v>Yorkshire</v>
      </c>
      <c r="M164" t="s">
        <v>1043</v>
      </c>
      <c r="N164" t="s">
        <v>1052</v>
      </c>
      <c r="O164" t="str">
        <f t="shared" si="50"/>
        <v>Linkedln</v>
      </c>
      <c r="P164" t="s">
        <v>1125</v>
      </c>
      <c r="Q164" s="9">
        <f t="shared" si="34"/>
        <v>45414</v>
      </c>
      <c r="R164" t="s">
        <v>1200</v>
      </c>
      <c r="S164" s="9">
        <f t="shared" si="35"/>
        <v>45428</v>
      </c>
      <c r="T164" t="s">
        <v>1545</v>
      </c>
      <c r="U164" s="9">
        <f t="shared" si="36"/>
        <v>45447</v>
      </c>
      <c r="V164" t="s">
        <v>1596</v>
      </c>
      <c r="W164" s="9">
        <f t="shared" si="37"/>
        <v>45478</v>
      </c>
      <c r="X164" t="s">
        <v>1620</v>
      </c>
      <c r="Y164" s="15">
        <v>38300</v>
      </c>
      <c r="Z164" s="15">
        <v>41107</v>
      </c>
      <c r="AA164" t="s">
        <v>1622</v>
      </c>
      <c r="AB164" t="s">
        <v>1628</v>
      </c>
      <c r="AC164" s="17">
        <v>4.9000000000000004</v>
      </c>
      <c r="AF164" t="str">
        <f t="shared" si="38"/>
        <v>02/05/2024</v>
      </c>
      <c r="AG164" t="str">
        <f t="shared" si="39"/>
        <v>16/05/2024</v>
      </c>
      <c r="AH164" t="str">
        <f t="shared" si="40"/>
        <v>04/06/2024</v>
      </c>
      <c r="AI164" t="str">
        <f t="shared" si="41"/>
        <v>2024/07/05</v>
      </c>
      <c r="AJ164" t="str">
        <f t="shared" si="42"/>
        <v>Not Found</v>
      </c>
      <c r="AK164" t="str">
        <f t="shared" si="43"/>
        <v>Not Found</v>
      </c>
    </row>
    <row r="165" spans="1:37" x14ac:dyDescent="0.35">
      <c r="A165" t="s">
        <v>181</v>
      </c>
      <c r="B165" t="s">
        <v>470</v>
      </c>
      <c r="C165" t="s">
        <v>786</v>
      </c>
      <c r="D165" t="str">
        <f t="shared" si="44"/>
        <v>Douglas Collins</v>
      </c>
      <c r="E165" t="str">
        <f t="shared" si="45"/>
        <v>Douglas</v>
      </c>
      <c r="F165" t="str">
        <f t="shared" si="46"/>
        <v>Collins</v>
      </c>
      <c r="G165" t="s">
        <v>1025</v>
      </c>
      <c r="H165" t="str">
        <f t="shared" si="47"/>
        <v>Finance Analyst</v>
      </c>
      <c r="I165" t="s">
        <v>1028</v>
      </c>
      <c r="J165" t="str">
        <f t="shared" si="48"/>
        <v>HR</v>
      </c>
      <c r="K165" t="s">
        <v>1034</v>
      </c>
      <c r="L165" t="str">
        <f t="shared" si="49"/>
        <v>Scotland</v>
      </c>
      <c r="M165" t="s">
        <v>1045</v>
      </c>
      <c r="N165" t="s">
        <v>1047</v>
      </c>
      <c r="O165" t="str">
        <f t="shared" si="50"/>
        <v>Linkedln</v>
      </c>
      <c r="P165" t="s">
        <v>1202</v>
      </c>
      <c r="Q165" s="9">
        <f t="shared" si="34"/>
        <v>45408</v>
      </c>
      <c r="S165" s="9" t="str">
        <f t="shared" si="35"/>
        <v/>
      </c>
      <c r="U165" s="9" t="str">
        <f t="shared" si="36"/>
        <v/>
      </c>
      <c r="W165" s="9" t="str">
        <f t="shared" si="37"/>
        <v/>
      </c>
      <c r="X165" t="s">
        <v>1616</v>
      </c>
      <c r="Y165" s="15">
        <v>36124</v>
      </c>
      <c r="AA165" t="s">
        <v>1621</v>
      </c>
      <c r="AB165" t="s">
        <v>1626</v>
      </c>
      <c r="AC165" s="17">
        <v>4.3</v>
      </c>
      <c r="AF165" t="str">
        <f t="shared" si="38"/>
        <v>04-26-2024</v>
      </c>
      <c r="AG165" t="str">
        <f t="shared" si="39"/>
        <v/>
      </c>
      <c r="AH165" t="str">
        <f t="shared" si="40"/>
        <v/>
      </c>
      <c r="AI165" t="str">
        <f t="shared" si="41"/>
        <v/>
      </c>
      <c r="AJ165" t="str">
        <f t="shared" si="42"/>
        <v>Not Found</v>
      </c>
      <c r="AK165" t="str">
        <f t="shared" si="43"/>
        <v>Not Found</v>
      </c>
    </row>
    <row r="166" spans="1:37" x14ac:dyDescent="0.35">
      <c r="A166" t="s">
        <v>182</v>
      </c>
      <c r="B166" t="s">
        <v>545</v>
      </c>
      <c r="C166" t="s">
        <v>787</v>
      </c>
      <c r="D166" t="str">
        <f t="shared" si="44"/>
        <v>Jasmine Campbell</v>
      </c>
      <c r="E166" t="str">
        <f t="shared" si="45"/>
        <v>Jasmine</v>
      </c>
      <c r="F166" t="str">
        <f t="shared" si="46"/>
        <v>Campbell</v>
      </c>
      <c r="G166" t="s">
        <v>1027</v>
      </c>
      <c r="H166" t="str">
        <f t="shared" si="47"/>
        <v>Data Analyst</v>
      </c>
      <c r="I166" t="s">
        <v>1030</v>
      </c>
      <c r="J166" t="str">
        <f t="shared" si="48"/>
        <v>Finance</v>
      </c>
      <c r="K166" t="s">
        <v>1034</v>
      </c>
      <c r="L166" t="str">
        <f t="shared" si="49"/>
        <v>Scotland</v>
      </c>
      <c r="M166" t="s">
        <v>1041</v>
      </c>
      <c r="N166" t="s">
        <v>1047</v>
      </c>
      <c r="O166" t="str">
        <f t="shared" si="50"/>
        <v>Linkedln</v>
      </c>
      <c r="P166" t="s">
        <v>1203</v>
      </c>
      <c r="Q166" s="9">
        <f t="shared" si="34"/>
        <v>45304</v>
      </c>
      <c r="R166" t="s">
        <v>1444</v>
      </c>
      <c r="S166" s="9">
        <f t="shared" si="35"/>
        <v>45315</v>
      </c>
      <c r="U166" s="9" t="str">
        <f t="shared" si="36"/>
        <v/>
      </c>
      <c r="W166" s="9" t="str">
        <f t="shared" si="37"/>
        <v/>
      </c>
      <c r="X166" t="s">
        <v>1615</v>
      </c>
      <c r="Y166" s="15">
        <v>33339</v>
      </c>
      <c r="AA166" t="s">
        <v>1624</v>
      </c>
      <c r="AB166" t="s">
        <v>1628</v>
      </c>
      <c r="AC166" s="17">
        <v>4.5999999999999996</v>
      </c>
      <c r="AF166" t="str">
        <f t="shared" si="38"/>
        <v>01-13-2024</v>
      </c>
      <c r="AG166" t="str">
        <f t="shared" si="39"/>
        <v>2024/01/24</v>
      </c>
      <c r="AH166" t="str">
        <f t="shared" si="40"/>
        <v/>
      </c>
      <c r="AI166" t="str">
        <f t="shared" si="41"/>
        <v/>
      </c>
      <c r="AJ166" t="str">
        <f t="shared" si="42"/>
        <v>Not Found</v>
      </c>
      <c r="AK166" t="str">
        <f t="shared" si="43"/>
        <v>Not Found</v>
      </c>
    </row>
    <row r="167" spans="1:37" x14ac:dyDescent="0.35">
      <c r="A167" t="s">
        <v>183</v>
      </c>
      <c r="B167" t="s">
        <v>546</v>
      </c>
      <c r="C167" t="s">
        <v>788</v>
      </c>
      <c r="D167" t="str">
        <f t="shared" si="44"/>
        <v>Julia Evans</v>
      </c>
      <c r="E167" t="str">
        <f t="shared" si="45"/>
        <v>Julia</v>
      </c>
      <c r="F167" t="str">
        <f t="shared" si="46"/>
        <v>Evans</v>
      </c>
      <c r="G167" t="s">
        <v>1024</v>
      </c>
      <c r="H167" t="str">
        <f t="shared" si="47"/>
        <v>Business Analyst</v>
      </c>
      <c r="I167" t="s">
        <v>1031</v>
      </c>
      <c r="J167" t="str">
        <f t="shared" si="48"/>
        <v>Technology</v>
      </c>
      <c r="K167" t="s">
        <v>1036</v>
      </c>
      <c r="L167" t="str">
        <f t="shared" si="49"/>
        <v>London</v>
      </c>
      <c r="M167" t="s">
        <v>1041</v>
      </c>
      <c r="N167" t="s">
        <v>1047</v>
      </c>
      <c r="O167" t="str">
        <f t="shared" si="50"/>
        <v>Linkedln</v>
      </c>
      <c r="P167" t="s">
        <v>1115</v>
      </c>
      <c r="Q167" s="9">
        <f t="shared" si="34"/>
        <v>45653</v>
      </c>
      <c r="R167" t="s">
        <v>1093</v>
      </c>
      <c r="S167" s="9">
        <f t="shared" si="35"/>
        <v>45674</v>
      </c>
      <c r="T167" t="s">
        <v>1435</v>
      </c>
      <c r="U167" s="9">
        <f t="shared" si="36"/>
        <v>45678</v>
      </c>
      <c r="V167" t="s">
        <v>1597</v>
      </c>
      <c r="W167" s="9">
        <f t="shared" si="37"/>
        <v>45711</v>
      </c>
      <c r="X167" t="s">
        <v>1620</v>
      </c>
      <c r="Y167" s="15">
        <v>38163</v>
      </c>
      <c r="Z167" s="15">
        <v>36462</v>
      </c>
      <c r="AA167" t="s">
        <v>1621</v>
      </c>
      <c r="AB167" t="s">
        <v>1626</v>
      </c>
      <c r="AC167" s="17">
        <v>3.6</v>
      </c>
      <c r="AF167" t="str">
        <f t="shared" si="38"/>
        <v>12-27-2024</v>
      </c>
      <c r="AG167" t="str">
        <f t="shared" si="39"/>
        <v>17/01/2025</v>
      </c>
      <c r="AH167" t="str">
        <f t="shared" si="40"/>
        <v>21/01/2025</v>
      </c>
      <c r="AI167" t="str">
        <f t="shared" si="41"/>
        <v>02-23-2025</v>
      </c>
      <c r="AJ167" t="str">
        <f t="shared" si="42"/>
        <v>Not Found</v>
      </c>
      <c r="AK167" t="str">
        <f t="shared" si="43"/>
        <v>Not Found</v>
      </c>
    </row>
    <row r="168" spans="1:37" x14ac:dyDescent="0.35">
      <c r="A168" t="s">
        <v>184</v>
      </c>
      <c r="B168" t="s">
        <v>547</v>
      </c>
      <c r="C168" t="s">
        <v>789</v>
      </c>
      <c r="D168" t="str">
        <f t="shared" si="44"/>
        <v>Beverley Hale</v>
      </c>
      <c r="E168" t="str">
        <f t="shared" si="45"/>
        <v>Beverley</v>
      </c>
      <c r="F168" t="str">
        <f t="shared" si="46"/>
        <v>Hale</v>
      </c>
      <c r="G168" t="s">
        <v>1027</v>
      </c>
      <c r="H168" t="str">
        <f t="shared" si="47"/>
        <v>Data Analyst</v>
      </c>
      <c r="I168" t="s">
        <v>1029</v>
      </c>
      <c r="J168" t="str">
        <f t="shared" si="48"/>
        <v>Commercial</v>
      </c>
      <c r="K168" t="s">
        <v>1039</v>
      </c>
      <c r="L168" t="str">
        <f t="shared" si="49"/>
        <v>South East</v>
      </c>
      <c r="M168" t="s">
        <v>1045</v>
      </c>
      <c r="N168" t="s">
        <v>1052</v>
      </c>
      <c r="O168" t="str">
        <f t="shared" si="50"/>
        <v>Linkedln</v>
      </c>
      <c r="P168" t="s">
        <v>1204</v>
      </c>
      <c r="Q168" s="9">
        <f t="shared" si="34"/>
        <v>45441</v>
      </c>
      <c r="S168" s="9" t="str">
        <f t="shared" si="35"/>
        <v/>
      </c>
      <c r="U168" s="9" t="str">
        <f t="shared" si="36"/>
        <v/>
      </c>
      <c r="W168" s="9" t="str">
        <f t="shared" si="37"/>
        <v/>
      </c>
      <c r="X168" t="s">
        <v>1619</v>
      </c>
      <c r="Y168" s="15">
        <v>47050</v>
      </c>
      <c r="AA168" t="s">
        <v>1625</v>
      </c>
      <c r="AB168" t="s">
        <v>1626</v>
      </c>
      <c r="AC168" s="17">
        <v>4</v>
      </c>
      <c r="AF168" t="str">
        <f t="shared" si="38"/>
        <v>2024/05/29</v>
      </c>
      <c r="AG168" t="str">
        <f t="shared" si="39"/>
        <v/>
      </c>
      <c r="AH168" t="str">
        <f t="shared" si="40"/>
        <v/>
      </c>
      <c r="AI168" t="str">
        <f t="shared" si="41"/>
        <v/>
      </c>
      <c r="AJ168" t="str">
        <f t="shared" si="42"/>
        <v>Not Found</v>
      </c>
      <c r="AK168" t="str">
        <f t="shared" si="43"/>
        <v>Not Found</v>
      </c>
    </row>
    <row r="169" spans="1:37" x14ac:dyDescent="0.35">
      <c r="A169" t="s">
        <v>185</v>
      </c>
      <c r="B169" t="s">
        <v>546</v>
      </c>
      <c r="C169" t="s">
        <v>790</v>
      </c>
      <c r="D169" t="str">
        <f t="shared" si="44"/>
        <v>Kyle Jordan</v>
      </c>
      <c r="E169" t="str">
        <f t="shared" si="45"/>
        <v>Kyle</v>
      </c>
      <c r="F169" t="str">
        <f t="shared" si="46"/>
        <v>Jordan</v>
      </c>
      <c r="G169" t="s">
        <v>1024</v>
      </c>
      <c r="H169" t="str">
        <f t="shared" si="47"/>
        <v>Business Analyst</v>
      </c>
      <c r="I169" t="s">
        <v>1032</v>
      </c>
      <c r="J169" t="str">
        <f t="shared" si="48"/>
        <v>Operations</v>
      </c>
      <c r="K169" t="s">
        <v>1039</v>
      </c>
      <c r="L169" t="str">
        <f t="shared" si="49"/>
        <v>South East</v>
      </c>
      <c r="M169" t="s">
        <v>1041</v>
      </c>
      <c r="N169" t="s">
        <v>1047</v>
      </c>
      <c r="O169" t="str">
        <f t="shared" si="50"/>
        <v>Linkedln</v>
      </c>
      <c r="P169" t="s">
        <v>1205</v>
      </c>
      <c r="Q169" s="9">
        <f t="shared" si="34"/>
        <v>45347</v>
      </c>
      <c r="R169" t="s">
        <v>1445</v>
      </c>
      <c r="S169" s="9">
        <f t="shared" si="35"/>
        <v>45366</v>
      </c>
      <c r="T169" t="s">
        <v>1546</v>
      </c>
      <c r="U169" s="9">
        <f t="shared" si="36"/>
        <v>45363</v>
      </c>
      <c r="V169" t="s">
        <v>1598</v>
      </c>
      <c r="W169" s="9">
        <f t="shared" si="37"/>
        <v>45397</v>
      </c>
      <c r="X169" t="s">
        <v>1620</v>
      </c>
      <c r="Y169" s="15">
        <v>31567</v>
      </c>
      <c r="Z169" s="15">
        <v>35288</v>
      </c>
      <c r="AA169" t="s">
        <v>1625</v>
      </c>
      <c r="AB169" t="s">
        <v>1626</v>
      </c>
      <c r="AC169" s="17">
        <v>4.5999999999999996</v>
      </c>
      <c r="AF169" t="str">
        <f t="shared" si="38"/>
        <v>02-25-2024</v>
      </c>
      <c r="AG169" t="str">
        <f t="shared" si="39"/>
        <v>15/03/2024</v>
      </c>
      <c r="AH169" t="str">
        <f t="shared" si="40"/>
        <v>12/03/2024</v>
      </c>
      <c r="AI169" t="str">
        <f t="shared" si="41"/>
        <v>15/04/2024</v>
      </c>
      <c r="AJ169" t="str">
        <f t="shared" si="42"/>
        <v>Not Found</v>
      </c>
      <c r="AK169" t="str">
        <f t="shared" si="43"/>
        <v>Not Found</v>
      </c>
    </row>
    <row r="170" spans="1:37" x14ac:dyDescent="0.35">
      <c r="A170" t="s">
        <v>186</v>
      </c>
      <c r="B170" t="s">
        <v>451</v>
      </c>
      <c r="C170" t="s">
        <v>791</v>
      </c>
      <c r="D170" t="str">
        <f t="shared" si="44"/>
        <v>Lindsey Coles Simmons</v>
      </c>
      <c r="E170" t="str">
        <f t="shared" si="45"/>
        <v>Lindsey</v>
      </c>
      <c r="F170" t="str">
        <f t="shared" si="46"/>
        <v>Simmons</v>
      </c>
      <c r="G170" t="s">
        <v>1023</v>
      </c>
      <c r="H170" t="str">
        <f t="shared" si="47"/>
        <v>HR Analyst</v>
      </c>
      <c r="I170" t="s">
        <v>1029</v>
      </c>
      <c r="J170" t="str">
        <f t="shared" si="48"/>
        <v>Commercial</v>
      </c>
      <c r="K170" t="s">
        <v>1040</v>
      </c>
      <c r="L170" t="str">
        <f t="shared" si="49"/>
        <v>North West</v>
      </c>
      <c r="M170" t="s">
        <v>1045</v>
      </c>
      <c r="N170" t="s">
        <v>1049</v>
      </c>
      <c r="O170" t="str">
        <f t="shared" si="50"/>
        <v>Indeed</v>
      </c>
      <c r="P170" t="s">
        <v>1206</v>
      </c>
      <c r="Q170" s="9">
        <f t="shared" si="34"/>
        <v>45772</v>
      </c>
      <c r="S170" s="9" t="str">
        <f t="shared" si="35"/>
        <v/>
      </c>
      <c r="U170" s="9" t="str">
        <f t="shared" si="36"/>
        <v/>
      </c>
      <c r="W170" s="9" t="str">
        <f t="shared" si="37"/>
        <v/>
      </c>
      <c r="X170" t="s">
        <v>1616</v>
      </c>
      <c r="Y170" s="15">
        <v>43794</v>
      </c>
      <c r="AA170" t="s">
        <v>1623</v>
      </c>
      <c r="AB170" t="s">
        <v>1626</v>
      </c>
      <c r="AC170" s="17">
        <v>2.2000000000000002</v>
      </c>
      <c r="AF170" t="str">
        <f t="shared" si="38"/>
        <v>25/04/2025</v>
      </c>
      <c r="AG170" t="str">
        <f t="shared" si="39"/>
        <v/>
      </c>
      <c r="AH170" t="str">
        <f t="shared" si="40"/>
        <v/>
      </c>
      <c r="AI170" t="str">
        <f t="shared" si="41"/>
        <v/>
      </c>
      <c r="AJ170" t="str">
        <f t="shared" si="42"/>
        <v>Not Found</v>
      </c>
      <c r="AK170" t="str">
        <f t="shared" si="43"/>
        <v>Not Found</v>
      </c>
    </row>
    <row r="171" spans="1:37" x14ac:dyDescent="0.35">
      <c r="A171" t="s">
        <v>187</v>
      </c>
      <c r="B171" t="s">
        <v>437</v>
      </c>
      <c r="C171" t="s">
        <v>792</v>
      </c>
      <c r="D171" t="str">
        <f t="shared" si="44"/>
        <v>Marian Jones</v>
      </c>
      <c r="E171" t="str">
        <f t="shared" si="45"/>
        <v>Marian</v>
      </c>
      <c r="F171" t="str">
        <f t="shared" si="46"/>
        <v>Jones</v>
      </c>
      <c r="G171" t="s">
        <v>1024</v>
      </c>
      <c r="H171" t="str">
        <f t="shared" si="47"/>
        <v>Business Analyst</v>
      </c>
      <c r="I171" t="s">
        <v>1032</v>
      </c>
      <c r="J171" t="str">
        <f t="shared" si="48"/>
        <v>Operations</v>
      </c>
      <c r="K171" t="s">
        <v>1038</v>
      </c>
      <c r="L171" t="str">
        <f t="shared" si="49"/>
        <v>East Midlands</v>
      </c>
      <c r="M171" t="s">
        <v>1043</v>
      </c>
      <c r="N171" t="s">
        <v>1052</v>
      </c>
      <c r="O171" t="str">
        <f t="shared" si="50"/>
        <v>Linkedln</v>
      </c>
      <c r="P171" t="s">
        <v>1207</v>
      </c>
      <c r="Q171" s="9">
        <f t="shared" si="34"/>
        <v>45698</v>
      </c>
      <c r="R171" t="s">
        <v>1446</v>
      </c>
      <c r="S171" s="9">
        <f t="shared" si="35"/>
        <v>45711</v>
      </c>
      <c r="T171" t="s">
        <v>1547</v>
      </c>
      <c r="U171" s="9">
        <f t="shared" si="36"/>
        <v>45729</v>
      </c>
      <c r="V171" t="s">
        <v>1599</v>
      </c>
      <c r="W171" s="9">
        <f t="shared" si="37"/>
        <v>45726</v>
      </c>
      <c r="X171" t="s">
        <v>1620</v>
      </c>
      <c r="Y171" s="15">
        <v>29132</v>
      </c>
      <c r="Z171" s="15">
        <v>31765</v>
      </c>
      <c r="AA171" t="s">
        <v>1625</v>
      </c>
      <c r="AB171" t="s">
        <v>1628</v>
      </c>
      <c r="AC171" s="17">
        <v>2.9</v>
      </c>
      <c r="AF171" t="str">
        <f t="shared" si="38"/>
        <v>2025/02/10</v>
      </c>
      <c r="AG171" t="str">
        <f t="shared" si="39"/>
        <v>2025/02/23</v>
      </c>
      <c r="AH171" t="str">
        <f t="shared" si="40"/>
        <v>13/03/2025</v>
      </c>
      <c r="AI171" t="str">
        <f t="shared" si="41"/>
        <v>2025/03/10</v>
      </c>
      <c r="AJ171" t="str">
        <f t="shared" si="42"/>
        <v>Not Found</v>
      </c>
      <c r="AK171" t="str">
        <f t="shared" si="43"/>
        <v>Not Found</v>
      </c>
    </row>
    <row r="172" spans="1:37" x14ac:dyDescent="0.35">
      <c r="A172" t="s">
        <v>188</v>
      </c>
      <c r="B172" t="s">
        <v>548</v>
      </c>
      <c r="C172" t="s">
        <v>793</v>
      </c>
      <c r="D172" t="str">
        <f t="shared" si="44"/>
        <v>Barry Akhtar Greenwood</v>
      </c>
      <c r="E172" t="str">
        <f t="shared" si="45"/>
        <v>Barry</v>
      </c>
      <c r="F172" t="str">
        <f t="shared" si="46"/>
        <v>Greenwood</v>
      </c>
      <c r="G172" t="s">
        <v>1027</v>
      </c>
      <c r="H172" t="str">
        <f t="shared" si="47"/>
        <v>Data Analyst</v>
      </c>
      <c r="I172" t="s">
        <v>1030</v>
      </c>
      <c r="J172" t="str">
        <f t="shared" si="48"/>
        <v>Finance</v>
      </c>
      <c r="K172" t="s">
        <v>1034</v>
      </c>
      <c r="L172" t="str">
        <f t="shared" si="49"/>
        <v>Scotland</v>
      </c>
      <c r="M172" t="s">
        <v>1045</v>
      </c>
      <c r="N172" t="s">
        <v>1050</v>
      </c>
      <c r="O172" t="str">
        <f t="shared" si="50"/>
        <v>Reed</v>
      </c>
      <c r="P172" t="s">
        <v>1208</v>
      </c>
      <c r="Q172" s="9">
        <f t="shared" si="34"/>
        <v>45397</v>
      </c>
      <c r="S172" s="9" t="str">
        <f t="shared" si="35"/>
        <v/>
      </c>
      <c r="U172" s="9" t="str">
        <f t="shared" si="36"/>
        <v/>
      </c>
      <c r="W172" s="9" t="str">
        <f t="shared" si="37"/>
        <v/>
      </c>
      <c r="X172" t="s">
        <v>1619</v>
      </c>
      <c r="Y172" s="15">
        <v>44185</v>
      </c>
      <c r="AA172" t="s">
        <v>1621</v>
      </c>
      <c r="AB172" t="s">
        <v>1628</v>
      </c>
      <c r="AC172" s="17">
        <v>3.9</v>
      </c>
      <c r="AF172" t="str">
        <f t="shared" si="38"/>
        <v>04-15-2024</v>
      </c>
      <c r="AG172" t="str">
        <f t="shared" si="39"/>
        <v/>
      </c>
      <c r="AH172" t="str">
        <f t="shared" si="40"/>
        <v/>
      </c>
      <c r="AI172" t="str">
        <f t="shared" si="41"/>
        <v/>
      </c>
      <c r="AJ172" t="str">
        <f t="shared" si="42"/>
        <v>Not Found</v>
      </c>
      <c r="AK172" t="str">
        <f t="shared" si="43"/>
        <v>Not Found</v>
      </c>
    </row>
    <row r="173" spans="1:37" x14ac:dyDescent="0.35">
      <c r="A173" t="s">
        <v>189</v>
      </c>
      <c r="B173" t="s">
        <v>539</v>
      </c>
      <c r="C173" t="s">
        <v>794</v>
      </c>
      <c r="D173" t="str">
        <f t="shared" si="44"/>
        <v>Declan Allen</v>
      </c>
      <c r="E173" t="str">
        <f t="shared" si="45"/>
        <v>Declan</v>
      </c>
      <c r="F173" t="str">
        <f t="shared" si="46"/>
        <v>Allen</v>
      </c>
      <c r="G173" t="s">
        <v>1023</v>
      </c>
      <c r="H173" t="str">
        <f t="shared" si="47"/>
        <v>HR Analyst</v>
      </c>
      <c r="I173" t="s">
        <v>1029</v>
      </c>
      <c r="J173" t="str">
        <f t="shared" si="48"/>
        <v>Commercial</v>
      </c>
      <c r="K173" t="s">
        <v>1039</v>
      </c>
      <c r="L173" t="str">
        <f t="shared" si="49"/>
        <v>South East</v>
      </c>
      <c r="M173" t="s">
        <v>1043</v>
      </c>
      <c r="N173" t="s">
        <v>1046</v>
      </c>
      <c r="O173" t="str">
        <f t="shared" si="50"/>
        <v>Linkedln</v>
      </c>
      <c r="P173" t="s">
        <v>1209</v>
      </c>
      <c r="Q173" s="9">
        <f t="shared" si="34"/>
        <v>45745</v>
      </c>
      <c r="S173" s="9" t="str">
        <f t="shared" si="35"/>
        <v/>
      </c>
      <c r="U173" s="9" t="str">
        <f t="shared" si="36"/>
        <v/>
      </c>
      <c r="W173" s="9" t="str">
        <f t="shared" si="37"/>
        <v/>
      </c>
      <c r="X173" t="s">
        <v>1616</v>
      </c>
      <c r="Y173" s="15">
        <v>28992</v>
      </c>
      <c r="AA173" t="s">
        <v>1621</v>
      </c>
      <c r="AB173" t="s">
        <v>1627</v>
      </c>
      <c r="AC173" s="17">
        <v>2.7</v>
      </c>
      <c r="AF173" t="str">
        <f t="shared" si="38"/>
        <v>03-29-2025</v>
      </c>
      <c r="AG173" t="str">
        <f t="shared" si="39"/>
        <v/>
      </c>
      <c r="AH173" t="str">
        <f t="shared" si="40"/>
        <v/>
      </c>
      <c r="AI173" t="str">
        <f t="shared" si="41"/>
        <v/>
      </c>
      <c r="AJ173" t="str">
        <f t="shared" si="42"/>
        <v>Not Found</v>
      </c>
      <c r="AK173" t="str">
        <f t="shared" si="43"/>
        <v>Not Found</v>
      </c>
    </row>
    <row r="174" spans="1:37" x14ac:dyDescent="0.35">
      <c r="A174" t="s">
        <v>190</v>
      </c>
      <c r="B174" t="s">
        <v>473</v>
      </c>
      <c r="C174" t="s">
        <v>795</v>
      </c>
      <c r="D174" t="str">
        <f t="shared" si="44"/>
        <v>Gary Taylor</v>
      </c>
      <c r="E174" t="str">
        <f t="shared" si="45"/>
        <v>Gary</v>
      </c>
      <c r="F174" t="str">
        <f t="shared" si="46"/>
        <v>Taylor</v>
      </c>
      <c r="G174" t="s">
        <v>1025</v>
      </c>
      <c r="H174" t="str">
        <f t="shared" si="47"/>
        <v>Finance Analyst</v>
      </c>
      <c r="I174" t="s">
        <v>1029</v>
      </c>
      <c r="J174" t="str">
        <f t="shared" si="48"/>
        <v>Commercial</v>
      </c>
      <c r="K174" t="s">
        <v>1033</v>
      </c>
      <c r="L174" t="str">
        <f t="shared" si="49"/>
        <v>Midlands</v>
      </c>
      <c r="M174" t="s">
        <v>1044</v>
      </c>
      <c r="N174" t="s">
        <v>1052</v>
      </c>
      <c r="O174" t="str">
        <f t="shared" si="50"/>
        <v>Linkedln</v>
      </c>
      <c r="P174" t="s">
        <v>1210</v>
      </c>
      <c r="Q174" s="9">
        <f t="shared" si="34"/>
        <v>45703</v>
      </c>
      <c r="S174" s="9" t="str">
        <f t="shared" si="35"/>
        <v/>
      </c>
      <c r="U174" s="9" t="str">
        <f t="shared" si="36"/>
        <v/>
      </c>
      <c r="W174" s="9" t="str">
        <f t="shared" si="37"/>
        <v/>
      </c>
      <c r="X174" t="s">
        <v>1617</v>
      </c>
      <c r="Y174" s="15">
        <v>35818</v>
      </c>
      <c r="AA174" t="s">
        <v>1621</v>
      </c>
      <c r="AB174" t="s">
        <v>1628</v>
      </c>
      <c r="AC174" s="17">
        <v>4.9000000000000004</v>
      </c>
      <c r="AF174" t="str">
        <f t="shared" si="38"/>
        <v>2025/02/15</v>
      </c>
      <c r="AG174" t="str">
        <f t="shared" si="39"/>
        <v/>
      </c>
      <c r="AH174" t="str">
        <f t="shared" si="40"/>
        <v/>
      </c>
      <c r="AI174" t="str">
        <f t="shared" si="41"/>
        <v/>
      </c>
      <c r="AJ174" t="str">
        <f t="shared" si="42"/>
        <v>Not Found</v>
      </c>
      <c r="AK174" t="str">
        <f t="shared" si="43"/>
        <v>Not Found</v>
      </c>
    </row>
    <row r="175" spans="1:37" x14ac:dyDescent="0.35">
      <c r="A175" t="s">
        <v>191</v>
      </c>
      <c r="B175" t="s">
        <v>549</v>
      </c>
      <c r="C175" t="s">
        <v>796</v>
      </c>
      <c r="D175" t="str">
        <f t="shared" si="44"/>
        <v>Alexandra Rice</v>
      </c>
      <c r="E175" t="str">
        <f t="shared" si="45"/>
        <v>Alexandra</v>
      </c>
      <c r="F175" t="str">
        <f t="shared" si="46"/>
        <v>Rice</v>
      </c>
      <c r="G175" t="s">
        <v>1022</v>
      </c>
      <c r="H175" t="str">
        <f t="shared" si="47"/>
        <v>Reporting Analyst</v>
      </c>
      <c r="I175" t="s">
        <v>1028</v>
      </c>
      <c r="J175" t="str">
        <f t="shared" si="48"/>
        <v>HR</v>
      </c>
      <c r="K175" t="s">
        <v>1039</v>
      </c>
      <c r="L175" t="str">
        <f t="shared" si="49"/>
        <v>South East</v>
      </c>
      <c r="M175" t="s">
        <v>1043</v>
      </c>
      <c r="N175" t="s">
        <v>1047</v>
      </c>
      <c r="O175" t="str">
        <f t="shared" si="50"/>
        <v>Linkedln</v>
      </c>
      <c r="P175" t="s">
        <v>1211</v>
      </c>
      <c r="Q175" s="9">
        <f t="shared" si="34"/>
        <v>45791</v>
      </c>
      <c r="R175" t="s">
        <v>1447</v>
      </c>
      <c r="S175" s="9">
        <f t="shared" si="35"/>
        <v>45807</v>
      </c>
      <c r="T175" t="s">
        <v>1548</v>
      </c>
      <c r="U175" s="9">
        <f t="shared" si="36"/>
        <v>45828</v>
      </c>
      <c r="V175" t="s">
        <v>1600</v>
      </c>
      <c r="W175" s="9">
        <f t="shared" si="37"/>
        <v>45849</v>
      </c>
      <c r="X175" t="s">
        <v>1620</v>
      </c>
      <c r="Y175" s="15">
        <v>42243</v>
      </c>
      <c r="Z175" s="15">
        <v>41164</v>
      </c>
      <c r="AA175" t="s">
        <v>1623</v>
      </c>
      <c r="AB175" t="s">
        <v>1627</v>
      </c>
      <c r="AC175" s="17">
        <v>4</v>
      </c>
      <c r="AF175" t="str">
        <f t="shared" si="38"/>
        <v>05-14-2025</v>
      </c>
      <c r="AG175" t="str">
        <f t="shared" si="39"/>
        <v>30/05/2025</v>
      </c>
      <c r="AH175" t="str">
        <f t="shared" si="40"/>
        <v>06-20-2025</v>
      </c>
      <c r="AI175" t="str">
        <f t="shared" si="41"/>
        <v>11/07/2025</v>
      </c>
      <c r="AJ175" t="str">
        <f t="shared" si="42"/>
        <v>Not Found</v>
      </c>
      <c r="AK175" t="str">
        <f t="shared" si="43"/>
        <v>Not Found</v>
      </c>
    </row>
    <row r="176" spans="1:37" x14ac:dyDescent="0.35">
      <c r="A176" t="s">
        <v>192</v>
      </c>
      <c r="B176" t="s">
        <v>550</v>
      </c>
      <c r="C176" t="s">
        <v>797</v>
      </c>
      <c r="D176" t="str">
        <f t="shared" si="44"/>
        <v>Alexander Davis Weston</v>
      </c>
      <c r="E176" t="str">
        <f t="shared" si="45"/>
        <v>Alexander</v>
      </c>
      <c r="F176" t="str">
        <f t="shared" si="46"/>
        <v>Weston</v>
      </c>
      <c r="G176" t="s">
        <v>1026</v>
      </c>
      <c r="H176" t="str">
        <f t="shared" si="47"/>
        <v>BI Analyst</v>
      </c>
      <c r="I176" t="s">
        <v>1031</v>
      </c>
      <c r="J176" t="str">
        <f t="shared" si="48"/>
        <v>Technology</v>
      </c>
      <c r="K176" t="s">
        <v>1038</v>
      </c>
      <c r="L176" t="str">
        <f t="shared" si="49"/>
        <v>East Midlands</v>
      </c>
      <c r="M176" t="s">
        <v>1043</v>
      </c>
      <c r="N176" t="s">
        <v>1052</v>
      </c>
      <c r="O176" t="str">
        <f t="shared" si="50"/>
        <v>Linkedln</v>
      </c>
      <c r="P176" t="s">
        <v>1212</v>
      </c>
      <c r="Q176" s="9">
        <f t="shared" si="34"/>
        <v>45427</v>
      </c>
      <c r="R176" t="s">
        <v>1401</v>
      </c>
      <c r="S176" s="9">
        <f t="shared" si="35"/>
        <v>45452</v>
      </c>
      <c r="U176" s="9" t="str">
        <f t="shared" si="36"/>
        <v/>
      </c>
      <c r="W176" s="9" t="str">
        <f t="shared" si="37"/>
        <v/>
      </c>
      <c r="X176" t="s">
        <v>1615</v>
      </c>
      <c r="Y176" s="15">
        <v>46226</v>
      </c>
      <c r="AA176" t="s">
        <v>1625</v>
      </c>
      <c r="AB176" t="s">
        <v>1628</v>
      </c>
      <c r="AF176" t="str">
        <f t="shared" si="38"/>
        <v>05-15-2024</v>
      </c>
      <c r="AG176" t="str">
        <f t="shared" si="39"/>
        <v>2024/06/09</v>
      </c>
      <c r="AH176" t="str">
        <f t="shared" si="40"/>
        <v/>
      </c>
      <c r="AI176" t="str">
        <f t="shared" si="41"/>
        <v/>
      </c>
      <c r="AJ176" t="str">
        <f t="shared" si="42"/>
        <v>Not Found</v>
      </c>
      <c r="AK176" t="str">
        <f t="shared" si="43"/>
        <v>Not Found</v>
      </c>
    </row>
    <row r="177" spans="1:37" x14ac:dyDescent="0.35">
      <c r="A177" t="s">
        <v>193</v>
      </c>
      <c r="B177" t="s">
        <v>551</v>
      </c>
      <c r="C177" t="s">
        <v>798</v>
      </c>
      <c r="D177" t="str">
        <f t="shared" si="44"/>
        <v>Pauline Wilson Bryant</v>
      </c>
      <c r="E177" t="str">
        <f t="shared" si="45"/>
        <v>Pauline</v>
      </c>
      <c r="F177" t="str">
        <f t="shared" si="46"/>
        <v>Bryant</v>
      </c>
      <c r="G177" t="s">
        <v>1024</v>
      </c>
      <c r="H177" t="str">
        <f t="shared" si="47"/>
        <v>Business Analyst</v>
      </c>
      <c r="I177" t="s">
        <v>1031</v>
      </c>
      <c r="J177" t="str">
        <f t="shared" si="48"/>
        <v>Technology</v>
      </c>
      <c r="K177" t="s">
        <v>1038</v>
      </c>
      <c r="L177" t="str">
        <f t="shared" si="49"/>
        <v>East Midlands</v>
      </c>
      <c r="M177" t="s">
        <v>1045</v>
      </c>
      <c r="N177" t="s">
        <v>1048</v>
      </c>
      <c r="O177" t="str">
        <f t="shared" si="50"/>
        <v>Referral</v>
      </c>
      <c r="P177" t="s">
        <v>1213</v>
      </c>
      <c r="Q177" s="9">
        <f t="shared" si="34"/>
        <v>45743</v>
      </c>
      <c r="S177" s="9" t="str">
        <f t="shared" si="35"/>
        <v/>
      </c>
      <c r="U177" s="9" t="str">
        <f t="shared" si="36"/>
        <v/>
      </c>
      <c r="W177" s="9" t="str">
        <f t="shared" si="37"/>
        <v/>
      </c>
      <c r="X177" t="s">
        <v>1619</v>
      </c>
      <c r="Y177" s="15">
        <v>40652</v>
      </c>
      <c r="AA177" t="s">
        <v>1624</v>
      </c>
      <c r="AB177" t="s">
        <v>1627</v>
      </c>
      <c r="AC177" s="17">
        <v>3.1</v>
      </c>
      <c r="AF177" t="str">
        <f t="shared" si="38"/>
        <v>03-27-2025</v>
      </c>
      <c r="AG177" t="str">
        <f t="shared" si="39"/>
        <v/>
      </c>
      <c r="AH177" t="str">
        <f t="shared" si="40"/>
        <v/>
      </c>
      <c r="AI177" t="str">
        <f t="shared" si="41"/>
        <v/>
      </c>
      <c r="AJ177" t="str">
        <f t="shared" si="42"/>
        <v>Not Found</v>
      </c>
      <c r="AK177" t="str">
        <f t="shared" si="43"/>
        <v>Not Found</v>
      </c>
    </row>
    <row r="178" spans="1:37" x14ac:dyDescent="0.35">
      <c r="A178" t="s">
        <v>194</v>
      </c>
      <c r="B178" t="s">
        <v>552</v>
      </c>
      <c r="C178" t="s">
        <v>799</v>
      </c>
      <c r="D178" t="str">
        <f t="shared" si="44"/>
        <v>Jay Dixon Atkins</v>
      </c>
      <c r="E178" t="str">
        <f t="shared" si="45"/>
        <v>Jay</v>
      </c>
      <c r="F178" t="str">
        <f t="shared" si="46"/>
        <v>Atkins</v>
      </c>
      <c r="G178" t="s">
        <v>1023</v>
      </c>
      <c r="H178" t="str">
        <f t="shared" si="47"/>
        <v>HR Analyst</v>
      </c>
      <c r="I178" t="s">
        <v>1032</v>
      </c>
      <c r="J178" t="str">
        <f t="shared" si="48"/>
        <v>Operations</v>
      </c>
      <c r="K178" t="s">
        <v>1036</v>
      </c>
      <c r="L178" t="str">
        <f t="shared" si="49"/>
        <v>London</v>
      </c>
      <c r="M178" t="s">
        <v>1045</v>
      </c>
      <c r="N178" t="s">
        <v>1050</v>
      </c>
      <c r="O178" t="str">
        <f t="shared" si="50"/>
        <v>Reed</v>
      </c>
      <c r="P178" t="s">
        <v>1141</v>
      </c>
      <c r="Q178" s="9">
        <f t="shared" si="34"/>
        <v>45372</v>
      </c>
      <c r="S178" s="9" t="str">
        <f t="shared" si="35"/>
        <v/>
      </c>
      <c r="U178" s="9" t="str">
        <f t="shared" si="36"/>
        <v/>
      </c>
      <c r="W178" s="9" t="str">
        <f t="shared" si="37"/>
        <v/>
      </c>
      <c r="X178" t="s">
        <v>1616</v>
      </c>
      <c r="Y178" s="15">
        <v>38544</v>
      </c>
      <c r="AA178" t="s">
        <v>1623</v>
      </c>
      <c r="AB178" t="s">
        <v>1627</v>
      </c>
      <c r="AC178" s="17">
        <v>4.0999999999999996</v>
      </c>
      <c r="AF178" t="str">
        <f t="shared" si="38"/>
        <v>2024/03/21</v>
      </c>
      <c r="AG178" t="str">
        <f t="shared" si="39"/>
        <v/>
      </c>
      <c r="AH178" t="str">
        <f t="shared" si="40"/>
        <v/>
      </c>
      <c r="AI178" t="str">
        <f t="shared" si="41"/>
        <v/>
      </c>
      <c r="AJ178" t="str">
        <f t="shared" si="42"/>
        <v>Not Found</v>
      </c>
      <c r="AK178" t="str">
        <f t="shared" si="43"/>
        <v>Not Found</v>
      </c>
    </row>
    <row r="179" spans="1:37" x14ac:dyDescent="0.35">
      <c r="A179" t="s">
        <v>195</v>
      </c>
      <c r="B179" t="s">
        <v>553</v>
      </c>
      <c r="C179" t="s">
        <v>800</v>
      </c>
      <c r="D179" t="str">
        <f t="shared" si="44"/>
        <v>Julia Warner</v>
      </c>
      <c r="E179" t="str">
        <f t="shared" si="45"/>
        <v>Julia</v>
      </c>
      <c r="F179" t="str">
        <f t="shared" si="46"/>
        <v>Warner</v>
      </c>
      <c r="G179" t="s">
        <v>1024</v>
      </c>
      <c r="H179" t="str">
        <f t="shared" si="47"/>
        <v>Business Analyst</v>
      </c>
      <c r="I179" t="s">
        <v>1032</v>
      </c>
      <c r="J179" t="str">
        <f t="shared" si="48"/>
        <v>Operations</v>
      </c>
      <c r="K179" t="s">
        <v>1040</v>
      </c>
      <c r="L179" t="str">
        <f t="shared" si="49"/>
        <v>North West</v>
      </c>
      <c r="M179" t="s">
        <v>1044</v>
      </c>
      <c r="N179" t="s">
        <v>1052</v>
      </c>
      <c r="O179" t="str">
        <f t="shared" si="50"/>
        <v>Linkedln</v>
      </c>
      <c r="P179" t="s">
        <v>1190</v>
      </c>
      <c r="Q179" s="9">
        <f t="shared" si="34"/>
        <v>45325</v>
      </c>
      <c r="S179" s="9" t="str">
        <f t="shared" si="35"/>
        <v/>
      </c>
      <c r="U179" s="9" t="str">
        <f t="shared" si="36"/>
        <v/>
      </c>
      <c r="W179" s="9" t="str">
        <f t="shared" si="37"/>
        <v/>
      </c>
      <c r="X179" t="s">
        <v>1616</v>
      </c>
      <c r="Y179" s="15">
        <v>34444</v>
      </c>
      <c r="AA179" t="s">
        <v>1623</v>
      </c>
      <c r="AB179" t="s">
        <v>1626</v>
      </c>
      <c r="AF179" t="str">
        <f t="shared" si="38"/>
        <v>02-03-2024</v>
      </c>
      <c r="AG179" t="str">
        <f t="shared" si="39"/>
        <v/>
      </c>
      <c r="AH179" t="str">
        <f t="shared" si="40"/>
        <v/>
      </c>
      <c r="AI179" t="str">
        <f t="shared" si="41"/>
        <v/>
      </c>
      <c r="AJ179" t="str">
        <f t="shared" si="42"/>
        <v>Not Found</v>
      </c>
      <c r="AK179" t="str">
        <f t="shared" si="43"/>
        <v>Not Found</v>
      </c>
    </row>
    <row r="180" spans="1:37" x14ac:dyDescent="0.35">
      <c r="A180" t="s">
        <v>196</v>
      </c>
      <c r="B180" t="s">
        <v>420</v>
      </c>
      <c r="C180" t="s">
        <v>801</v>
      </c>
      <c r="D180" t="str">
        <f t="shared" si="44"/>
        <v>Alex Patel</v>
      </c>
      <c r="E180" t="str">
        <f t="shared" si="45"/>
        <v>Alex</v>
      </c>
      <c r="F180" t="str">
        <f t="shared" si="46"/>
        <v>Patel</v>
      </c>
      <c r="G180" t="s">
        <v>1026</v>
      </c>
      <c r="H180" t="str">
        <f t="shared" si="47"/>
        <v>BI Analyst</v>
      </c>
      <c r="I180" t="s">
        <v>1031</v>
      </c>
      <c r="J180" t="str">
        <f t="shared" si="48"/>
        <v>Technology</v>
      </c>
      <c r="K180" t="s">
        <v>1035</v>
      </c>
      <c r="L180" t="str">
        <f t="shared" si="49"/>
        <v>Yorkshire</v>
      </c>
      <c r="M180" t="s">
        <v>1042</v>
      </c>
      <c r="N180" t="s">
        <v>1050</v>
      </c>
      <c r="O180" t="str">
        <f t="shared" si="50"/>
        <v>Reed</v>
      </c>
      <c r="P180" t="s">
        <v>1214</v>
      </c>
      <c r="Q180" s="9">
        <f t="shared" si="34"/>
        <v>45735</v>
      </c>
      <c r="S180" s="9" t="str">
        <f t="shared" si="35"/>
        <v/>
      </c>
      <c r="U180" s="9" t="str">
        <f t="shared" si="36"/>
        <v/>
      </c>
      <c r="W180" s="9" t="str">
        <f t="shared" si="37"/>
        <v/>
      </c>
      <c r="X180" t="s">
        <v>1619</v>
      </c>
      <c r="Y180" s="15">
        <v>38734</v>
      </c>
      <c r="AA180" t="s">
        <v>1624</v>
      </c>
      <c r="AB180" t="s">
        <v>1628</v>
      </c>
      <c r="AF180" t="str">
        <f t="shared" si="38"/>
        <v>19/03/2025</v>
      </c>
      <c r="AG180" t="str">
        <f t="shared" si="39"/>
        <v/>
      </c>
      <c r="AH180" t="str">
        <f t="shared" si="40"/>
        <v/>
      </c>
      <c r="AI180" t="str">
        <f t="shared" si="41"/>
        <v/>
      </c>
      <c r="AJ180" t="str">
        <f t="shared" si="42"/>
        <v>Not Found</v>
      </c>
      <c r="AK180" t="str">
        <f t="shared" si="43"/>
        <v>Not Found</v>
      </c>
    </row>
    <row r="181" spans="1:37" x14ac:dyDescent="0.35">
      <c r="A181" t="s">
        <v>197</v>
      </c>
      <c r="B181" t="s">
        <v>554</v>
      </c>
      <c r="C181" t="s">
        <v>802</v>
      </c>
      <c r="D181" t="str">
        <f t="shared" si="44"/>
        <v>Gail Elliott</v>
      </c>
      <c r="E181" t="str">
        <f t="shared" si="45"/>
        <v>Gail</v>
      </c>
      <c r="F181" t="str">
        <f t="shared" si="46"/>
        <v>Elliott</v>
      </c>
      <c r="G181" t="s">
        <v>1025</v>
      </c>
      <c r="H181" t="str">
        <f t="shared" si="47"/>
        <v>Finance Analyst</v>
      </c>
      <c r="I181" t="s">
        <v>1031</v>
      </c>
      <c r="J181" t="str">
        <f t="shared" si="48"/>
        <v>Technology</v>
      </c>
      <c r="K181" t="s">
        <v>1037</v>
      </c>
      <c r="L181" t="str">
        <f t="shared" si="49"/>
        <v>East Midlands</v>
      </c>
      <c r="M181" t="s">
        <v>1044</v>
      </c>
      <c r="N181" t="s">
        <v>1050</v>
      </c>
      <c r="O181" t="str">
        <f t="shared" si="50"/>
        <v>Reed</v>
      </c>
      <c r="P181" t="s">
        <v>1215</v>
      </c>
      <c r="Q181" s="9">
        <f t="shared" si="34"/>
        <v>45605</v>
      </c>
      <c r="R181" t="s">
        <v>1448</v>
      </c>
      <c r="S181" s="9">
        <f t="shared" si="35"/>
        <v>45612</v>
      </c>
      <c r="U181" s="9" t="str">
        <f t="shared" si="36"/>
        <v/>
      </c>
      <c r="W181" s="9" t="str">
        <f t="shared" si="37"/>
        <v/>
      </c>
      <c r="X181" t="s">
        <v>1615</v>
      </c>
      <c r="Y181" s="15">
        <v>42623</v>
      </c>
      <c r="AA181" t="s">
        <v>1621</v>
      </c>
      <c r="AB181" t="s">
        <v>1627</v>
      </c>
      <c r="AC181" s="17">
        <v>2.2999999999999998</v>
      </c>
      <c r="AF181" t="str">
        <f t="shared" si="38"/>
        <v>11-09-2024</v>
      </c>
      <c r="AG181" t="str">
        <f t="shared" si="39"/>
        <v>16/11/2024</v>
      </c>
      <c r="AH181" t="str">
        <f t="shared" si="40"/>
        <v/>
      </c>
      <c r="AI181" t="str">
        <f t="shared" si="41"/>
        <v/>
      </c>
      <c r="AJ181" t="str">
        <f t="shared" si="42"/>
        <v>Not Found</v>
      </c>
      <c r="AK181" t="str">
        <f t="shared" si="43"/>
        <v>Not Found</v>
      </c>
    </row>
    <row r="182" spans="1:37" x14ac:dyDescent="0.35">
      <c r="A182" t="s">
        <v>198</v>
      </c>
      <c r="B182" t="s">
        <v>459</v>
      </c>
      <c r="C182" t="s">
        <v>803</v>
      </c>
      <c r="D182" t="str">
        <f t="shared" si="44"/>
        <v>Charles May</v>
      </c>
      <c r="E182" t="str">
        <f t="shared" si="45"/>
        <v>Charles</v>
      </c>
      <c r="F182" t="str">
        <f t="shared" si="46"/>
        <v>May</v>
      </c>
      <c r="G182" t="s">
        <v>1023</v>
      </c>
      <c r="H182" t="str">
        <f t="shared" si="47"/>
        <v>HR Analyst</v>
      </c>
      <c r="I182" t="s">
        <v>1032</v>
      </c>
      <c r="J182" t="str">
        <f t="shared" si="48"/>
        <v>Operations</v>
      </c>
      <c r="K182" t="s">
        <v>1034</v>
      </c>
      <c r="L182" t="str">
        <f t="shared" si="49"/>
        <v>Scotland</v>
      </c>
      <c r="M182" t="s">
        <v>1041</v>
      </c>
      <c r="N182" t="s">
        <v>1049</v>
      </c>
      <c r="O182" t="str">
        <f t="shared" si="50"/>
        <v>Indeed</v>
      </c>
      <c r="P182" t="s">
        <v>1216</v>
      </c>
      <c r="Q182" s="9">
        <f t="shared" si="34"/>
        <v>45521</v>
      </c>
      <c r="R182" t="s">
        <v>1449</v>
      </c>
      <c r="S182" s="9">
        <f t="shared" si="35"/>
        <v>45531</v>
      </c>
      <c r="T182" t="s">
        <v>1549</v>
      </c>
      <c r="U182" s="9">
        <f t="shared" si="36"/>
        <v>45556</v>
      </c>
      <c r="W182" s="9" t="str">
        <f t="shared" si="37"/>
        <v/>
      </c>
      <c r="X182" t="s">
        <v>1618</v>
      </c>
      <c r="Y182" s="15">
        <v>43195</v>
      </c>
      <c r="Z182" s="15">
        <v>41847</v>
      </c>
      <c r="AA182" t="s">
        <v>1625</v>
      </c>
      <c r="AB182" t="s">
        <v>1627</v>
      </c>
      <c r="AC182" s="17">
        <v>2.2999999999999998</v>
      </c>
      <c r="AF182" t="str">
        <f t="shared" si="38"/>
        <v>08-17-2024</v>
      </c>
      <c r="AG182" t="str">
        <f t="shared" si="39"/>
        <v>27/08/2024</v>
      </c>
      <c r="AH182" t="str">
        <f t="shared" si="40"/>
        <v>09-21-2024</v>
      </c>
      <c r="AI182" t="str">
        <f t="shared" si="41"/>
        <v/>
      </c>
      <c r="AJ182" t="str">
        <f t="shared" si="42"/>
        <v>Not Found</v>
      </c>
      <c r="AK182" t="str">
        <f t="shared" si="43"/>
        <v>Not Found</v>
      </c>
    </row>
    <row r="183" spans="1:37" x14ac:dyDescent="0.35">
      <c r="A183" t="s">
        <v>199</v>
      </c>
      <c r="B183" t="s">
        <v>555</v>
      </c>
      <c r="C183" t="s">
        <v>804</v>
      </c>
      <c r="D183" t="str">
        <f t="shared" si="44"/>
        <v>Lisa Ball</v>
      </c>
      <c r="E183" t="str">
        <f t="shared" si="45"/>
        <v>Lisa</v>
      </c>
      <c r="F183" t="str">
        <f t="shared" si="46"/>
        <v>Ball</v>
      </c>
      <c r="G183" t="s">
        <v>1024</v>
      </c>
      <c r="H183" t="str">
        <f t="shared" si="47"/>
        <v>Business Analyst</v>
      </c>
      <c r="I183" t="s">
        <v>1028</v>
      </c>
      <c r="J183" t="str">
        <f t="shared" si="48"/>
        <v>HR</v>
      </c>
      <c r="K183" t="s">
        <v>1037</v>
      </c>
      <c r="L183" t="str">
        <f t="shared" si="49"/>
        <v>East Midlands</v>
      </c>
      <c r="M183" t="s">
        <v>1044</v>
      </c>
      <c r="N183" t="s">
        <v>1047</v>
      </c>
      <c r="O183" t="str">
        <f t="shared" si="50"/>
        <v>Linkedln</v>
      </c>
      <c r="P183" t="s">
        <v>1217</v>
      </c>
      <c r="Q183" s="9">
        <f t="shared" si="34"/>
        <v>45732</v>
      </c>
      <c r="R183" t="s">
        <v>1450</v>
      </c>
      <c r="S183" s="9">
        <f t="shared" si="35"/>
        <v>45759</v>
      </c>
      <c r="T183" t="s">
        <v>1550</v>
      </c>
      <c r="U183" s="9">
        <f t="shared" si="36"/>
        <v>45761</v>
      </c>
      <c r="V183" t="s">
        <v>1601</v>
      </c>
      <c r="W183" s="9">
        <f t="shared" si="37"/>
        <v>45785</v>
      </c>
      <c r="X183" t="s">
        <v>1620</v>
      </c>
      <c r="Y183" s="15">
        <v>42752</v>
      </c>
      <c r="Z183" s="15">
        <v>42199</v>
      </c>
      <c r="AA183" t="s">
        <v>1625</v>
      </c>
      <c r="AB183" t="s">
        <v>1627</v>
      </c>
      <c r="AC183" s="17">
        <v>2.5</v>
      </c>
      <c r="AF183" t="str">
        <f t="shared" si="38"/>
        <v>16/03/2025</v>
      </c>
      <c r="AG183" t="str">
        <f t="shared" si="39"/>
        <v>2025/04/12</v>
      </c>
      <c r="AH183" t="str">
        <f t="shared" si="40"/>
        <v>14/04/2025</v>
      </c>
      <c r="AI183" t="str">
        <f t="shared" si="41"/>
        <v>08/05/2025</v>
      </c>
      <c r="AJ183" t="str">
        <f t="shared" si="42"/>
        <v>Not Found</v>
      </c>
      <c r="AK183" t="str">
        <f t="shared" si="43"/>
        <v>Not Found</v>
      </c>
    </row>
    <row r="184" spans="1:37" x14ac:dyDescent="0.35">
      <c r="A184" t="s">
        <v>200</v>
      </c>
      <c r="B184" t="s">
        <v>556</v>
      </c>
      <c r="C184" t="s">
        <v>805</v>
      </c>
      <c r="D184" t="str">
        <f t="shared" si="44"/>
        <v>Callum Roberts</v>
      </c>
      <c r="E184" t="str">
        <f t="shared" si="45"/>
        <v>Callum</v>
      </c>
      <c r="F184" t="str">
        <f t="shared" si="46"/>
        <v>Roberts</v>
      </c>
      <c r="G184" t="s">
        <v>1025</v>
      </c>
      <c r="H184" t="str">
        <f t="shared" si="47"/>
        <v>Finance Analyst</v>
      </c>
      <c r="I184" t="s">
        <v>1031</v>
      </c>
      <c r="J184" t="str">
        <f t="shared" si="48"/>
        <v>Technology</v>
      </c>
      <c r="K184" t="s">
        <v>1035</v>
      </c>
      <c r="L184" t="str">
        <f t="shared" si="49"/>
        <v>Yorkshire</v>
      </c>
      <c r="M184" t="s">
        <v>1042</v>
      </c>
      <c r="N184" t="s">
        <v>1052</v>
      </c>
      <c r="O184" t="str">
        <f t="shared" si="50"/>
        <v>Linkedln</v>
      </c>
      <c r="P184" t="s">
        <v>1218</v>
      </c>
      <c r="Q184" s="9">
        <f t="shared" si="34"/>
        <v>45692</v>
      </c>
      <c r="R184" t="s">
        <v>1451</v>
      </c>
      <c r="S184" s="9">
        <f t="shared" si="35"/>
        <v>45710</v>
      </c>
      <c r="U184" s="9" t="str">
        <f t="shared" si="36"/>
        <v/>
      </c>
      <c r="W184" s="9" t="str">
        <f t="shared" si="37"/>
        <v/>
      </c>
      <c r="X184" t="s">
        <v>1615</v>
      </c>
      <c r="Y184" s="15">
        <v>47790</v>
      </c>
      <c r="AA184" t="s">
        <v>1624</v>
      </c>
      <c r="AB184" t="s">
        <v>1628</v>
      </c>
      <c r="AC184" s="17">
        <v>3.3</v>
      </c>
      <c r="AF184" t="str">
        <f t="shared" si="38"/>
        <v>02-04-2025</v>
      </c>
      <c r="AG184" t="str">
        <f t="shared" si="39"/>
        <v>02-22-2025</v>
      </c>
      <c r="AH184" t="str">
        <f t="shared" si="40"/>
        <v/>
      </c>
      <c r="AI184" t="str">
        <f t="shared" si="41"/>
        <v/>
      </c>
      <c r="AJ184" t="str">
        <f t="shared" si="42"/>
        <v>Not Found</v>
      </c>
      <c r="AK184" t="str">
        <f t="shared" si="43"/>
        <v>Not Found</v>
      </c>
    </row>
    <row r="185" spans="1:37" x14ac:dyDescent="0.35">
      <c r="A185" t="s">
        <v>201</v>
      </c>
      <c r="B185" t="s">
        <v>557</v>
      </c>
      <c r="C185" t="s">
        <v>806</v>
      </c>
      <c r="D185" t="str">
        <f t="shared" si="44"/>
        <v>Danny Williamson</v>
      </c>
      <c r="E185" t="str">
        <f t="shared" si="45"/>
        <v>Danny</v>
      </c>
      <c r="F185" t="str">
        <f t="shared" si="46"/>
        <v>Williamson</v>
      </c>
      <c r="G185" t="s">
        <v>1022</v>
      </c>
      <c r="H185" t="str">
        <f t="shared" si="47"/>
        <v>Reporting Analyst</v>
      </c>
      <c r="I185" t="s">
        <v>1030</v>
      </c>
      <c r="J185" t="str">
        <f t="shared" si="48"/>
        <v>Finance</v>
      </c>
      <c r="K185" t="s">
        <v>1034</v>
      </c>
      <c r="L185" t="str">
        <f t="shared" si="49"/>
        <v>Scotland</v>
      </c>
      <c r="M185" t="s">
        <v>1045</v>
      </c>
      <c r="N185" t="s">
        <v>1046</v>
      </c>
      <c r="O185" t="str">
        <f t="shared" si="50"/>
        <v>Linkedln</v>
      </c>
      <c r="P185" t="s">
        <v>1219</v>
      </c>
      <c r="Q185" s="9">
        <f t="shared" si="34"/>
        <v>45665</v>
      </c>
      <c r="R185" t="s">
        <v>1452</v>
      </c>
      <c r="S185" s="9">
        <f t="shared" si="35"/>
        <v>45685</v>
      </c>
      <c r="T185" t="s">
        <v>1551</v>
      </c>
      <c r="U185" s="9">
        <f t="shared" si="36"/>
        <v>45686</v>
      </c>
      <c r="W185" s="9" t="str">
        <f t="shared" si="37"/>
        <v/>
      </c>
      <c r="X185" t="s">
        <v>1618</v>
      </c>
      <c r="Y185" s="15">
        <v>44669</v>
      </c>
      <c r="Z185" s="15">
        <v>43129</v>
      </c>
      <c r="AA185" t="s">
        <v>1622</v>
      </c>
      <c r="AB185" t="s">
        <v>1626</v>
      </c>
      <c r="AF185" t="str">
        <f t="shared" si="38"/>
        <v>08/01/2025</v>
      </c>
      <c r="AG185" t="str">
        <f t="shared" si="39"/>
        <v>01-28-2025</v>
      </c>
      <c r="AH185" t="str">
        <f t="shared" si="40"/>
        <v>01-29-2025</v>
      </c>
      <c r="AI185" t="str">
        <f t="shared" si="41"/>
        <v/>
      </c>
      <c r="AJ185" t="str">
        <f t="shared" si="42"/>
        <v>Not Found</v>
      </c>
      <c r="AK185" t="str">
        <f t="shared" si="43"/>
        <v>Not Found</v>
      </c>
    </row>
    <row r="186" spans="1:37" x14ac:dyDescent="0.35">
      <c r="A186" t="s">
        <v>202</v>
      </c>
      <c r="B186" t="s">
        <v>558</v>
      </c>
      <c r="C186" t="s">
        <v>807</v>
      </c>
      <c r="D186" t="str">
        <f t="shared" si="44"/>
        <v>Sian Cooper Knight</v>
      </c>
      <c r="E186" t="str">
        <f t="shared" si="45"/>
        <v>Sian</v>
      </c>
      <c r="F186" t="str">
        <f t="shared" si="46"/>
        <v>Knight</v>
      </c>
      <c r="G186" t="s">
        <v>1022</v>
      </c>
      <c r="H186" t="str">
        <f t="shared" si="47"/>
        <v>Reporting Analyst</v>
      </c>
      <c r="I186" t="s">
        <v>1032</v>
      </c>
      <c r="J186" t="str">
        <f t="shared" si="48"/>
        <v>Operations</v>
      </c>
      <c r="K186" t="s">
        <v>1037</v>
      </c>
      <c r="L186" t="str">
        <f t="shared" si="49"/>
        <v>East Midlands</v>
      </c>
      <c r="M186" t="s">
        <v>1041</v>
      </c>
      <c r="N186" t="s">
        <v>1050</v>
      </c>
      <c r="O186" t="str">
        <f t="shared" si="50"/>
        <v>Reed</v>
      </c>
      <c r="P186" t="s">
        <v>1220</v>
      </c>
      <c r="Q186" s="9">
        <f t="shared" si="34"/>
        <v>45497</v>
      </c>
      <c r="R186" t="s">
        <v>1453</v>
      </c>
      <c r="S186" s="9">
        <f t="shared" si="35"/>
        <v>45523</v>
      </c>
      <c r="T186" t="s">
        <v>1552</v>
      </c>
      <c r="U186" s="9">
        <f t="shared" si="36"/>
        <v>45532</v>
      </c>
      <c r="V186" t="s">
        <v>1574</v>
      </c>
      <c r="W186" s="9">
        <f t="shared" si="37"/>
        <v>45561</v>
      </c>
      <c r="X186" t="s">
        <v>1620</v>
      </c>
      <c r="Y186" s="15">
        <v>37661</v>
      </c>
      <c r="Z186" s="15">
        <v>36961</v>
      </c>
      <c r="AA186" t="s">
        <v>1625</v>
      </c>
      <c r="AB186" t="s">
        <v>1626</v>
      </c>
      <c r="AC186" s="17">
        <v>4.7</v>
      </c>
      <c r="AF186" t="str">
        <f t="shared" si="38"/>
        <v>07-24-2024</v>
      </c>
      <c r="AG186" t="str">
        <f t="shared" si="39"/>
        <v>08-19-2024</v>
      </c>
      <c r="AH186" t="str">
        <f t="shared" si="40"/>
        <v>08-28-2024</v>
      </c>
      <c r="AI186" t="str">
        <f t="shared" si="41"/>
        <v>26/09/2024</v>
      </c>
      <c r="AJ186" t="str">
        <f t="shared" si="42"/>
        <v>Not Found</v>
      </c>
      <c r="AK186" t="str">
        <f t="shared" si="43"/>
        <v>Not Found</v>
      </c>
    </row>
    <row r="187" spans="1:37" x14ac:dyDescent="0.35">
      <c r="A187" t="s">
        <v>203</v>
      </c>
      <c r="B187" t="s">
        <v>507</v>
      </c>
      <c r="C187" t="s">
        <v>808</v>
      </c>
      <c r="D187" t="str">
        <f t="shared" si="44"/>
        <v>Joshua Cunningham</v>
      </c>
      <c r="E187" t="str">
        <f t="shared" si="45"/>
        <v>Joshua</v>
      </c>
      <c r="F187" t="str">
        <f t="shared" si="46"/>
        <v>Cunningham</v>
      </c>
      <c r="G187" t="s">
        <v>1026</v>
      </c>
      <c r="H187" t="str">
        <f t="shared" si="47"/>
        <v>BI Analyst</v>
      </c>
      <c r="I187" t="s">
        <v>1030</v>
      </c>
      <c r="J187" t="str">
        <f t="shared" si="48"/>
        <v>Finance</v>
      </c>
      <c r="K187" t="s">
        <v>1033</v>
      </c>
      <c r="L187" t="str">
        <f t="shared" si="49"/>
        <v>Midlands</v>
      </c>
      <c r="M187" t="s">
        <v>1045</v>
      </c>
      <c r="N187" t="s">
        <v>1049</v>
      </c>
      <c r="O187" t="str">
        <f t="shared" si="50"/>
        <v>Indeed</v>
      </c>
      <c r="P187" t="s">
        <v>1221</v>
      </c>
      <c r="Q187" s="9">
        <f t="shared" si="34"/>
        <v>45345</v>
      </c>
      <c r="S187" s="9" t="str">
        <f t="shared" si="35"/>
        <v/>
      </c>
      <c r="U187" s="9" t="str">
        <f t="shared" si="36"/>
        <v/>
      </c>
      <c r="W187" s="9" t="str">
        <f t="shared" si="37"/>
        <v/>
      </c>
      <c r="X187" t="s">
        <v>1617</v>
      </c>
      <c r="Y187" s="15">
        <v>40813</v>
      </c>
      <c r="AA187" t="s">
        <v>1625</v>
      </c>
      <c r="AB187" t="s">
        <v>1628</v>
      </c>
      <c r="AC187" s="17">
        <v>2.4</v>
      </c>
      <c r="AF187" t="str">
        <f t="shared" si="38"/>
        <v>23/02/2024</v>
      </c>
      <c r="AG187" t="str">
        <f t="shared" si="39"/>
        <v/>
      </c>
      <c r="AH187" t="str">
        <f t="shared" si="40"/>
        <v/>
      </c>
      <c r="AI187" t="str">
        <f t="shared" si="41"/>
        <v/>
      </c>
      <c r="AJ187" t="str">
        <f t="shared" si="42"/>
        <v>Not Found</v>
      </c>
      <c r="AK187" t="str">
        <f t="shared" si="43"/>
        <v>Not Found</v>
      </c>
    </row>
    <row r="188" spans="1:37" x14ac:dyDescent="0.35">
      <c r="A188" t="s">
        <v>204</v>
      </c>
      <c r="B188" t="s">
        <v>509</v>
      </c>
      <c r="C188" t="s">
        <v>809</v>
      </c>
      <c r="D188" t="str">
        <f t="shared" si="44"/>
        <v>Aaron Wright</v>
      </c>
      <c r="E188" t="str">
        <f t="shared" si="45"/>
        <v>Aaron</v>
      </c>
      <c r="F188" t="str">
        <f t="shared" si="46"/>
        <v>Wright</v>
      </c>
      <c r="G188" t="s">
        <v>1022</v>
      </c>
      <c r="H188" t="str">
        <f t="shared" si="47"/>
        <v>Reporting Analyst</v>
      </c>
      <c r="I188" t="s">
        <v>1028</v>
      </c>
      <c r="J188" t="str">
        <f t="shared" si="48"/>
        <v>HR</v>
      </c>
      <c r="K188" t="s">
        <v>1034</v>
      </c>
      <c r="L188" t="str">
        <f t="shared" si="49"/>
        <v>Scotland</v>
      </c>
      <c r="M188" t="s">
        <v>1042</v>
      </c>
      <c r="N188" t="s">
        <v>1047</v>
      </c>
      <c r="O188" t="str">
        <f t="shared" si="50"/>
        <v>Linkedln</v>
      </c>
      <c r="P188" t="s">
        <v>1222</v>
      </c>
      <c r="Q188" s="9">
        <f t="shared" si="34"/>
        <v>45361</v>
      </c>
      <c r="S188" s="9" t="str">
        <f t="shared" si="35"/>
        <v/>
      </c>
      <c r="U188" s="9" t="str">
        <f t="shared" si="36"/>
        <v/>
      </c>
      <c r="W188" s="9" t="str">
        <f t="shared" si="37"/>
        <v/>
      </c>
      <c r="X188" t="s">
        <v>1619</v>
      </c>
      <c r="Y188" s="15">
        <v>36587</v>
      </c>
      <c r="AA188" t="s">
        <v>1621</v>
      </c>
      <c r="AB188" t="s">
        <v>1628</v>
      </c>
      <c r="AC188" s="17">
        <v>4</v>
      </c>
      <c r="AF188" t="str">
        <f t="shared" si="38"/>
        <v>03-10-2024</v>
      </c>
      <c r="AG188" t="str">
        <f t="shared" si="39"/>
        <v/>
      </c>
      <c r="AH188" t="str">
        <f t="shared" si="40"/>
        <v/>
      </c>
      <c r="AI188" t="str">
        <f t="shared" si="41"/>
        <v/>
      </c>
      <c r="AJ188" t="str">
        <f t="shared" si="42"/>
        <v>Not Found</v>
      </c>
      <c r="AK188" t="str">
        <f t="shared" si="43"/>
        <v>Not Found</v>
      </c>
    </row>
    <row r="189" spans="1:37" x14ac:dyDescent="0.35">
      <c r="A189" t="s">
        <v>205</v>
      </c>
      <c r="B189" t="s">
        <v>452</v>
      </c>
      <c r="C189" t="s">
        <v>810</v>
      </c>
      <c r="D189" t="str">
        <f t="shared" si="44"/>
        <v>George Smith</v>
      </c>
      <c r="E189" t="str">
        <f t="shared" si="45"/>
        <v>George</v>
      </c>
      <c r="F189" t="str">
        <f t="shared" si="46"/>
        <v>Smith</v>
      </c>
      <c r="G189" t="s">
        <v>1026</v>
      </c>
      <c r="H189" t="str">
        <f t="shared" si="47"/>
        <v>BI Analyst</v>
      </c>
      <c r="I189" t="s">
        <v>1030</v>
      </c>
      <c r="J189" t="str">
        <f t="shared" si="48"/>
        <v>Finance</v>
      </c>
      <c r="K189" t="s">
        <v>1039</v>
      </c>
      <c r="L189" t="str">
        <f t="shared" si="49"/>
        <v>South East</v>
      </c>
      <c r="M189" t="s">
        <v>1041</v>
      </c>
      <c r="N189" t="s">
        <v>1046</v>
      </c>
      <c r="O189" t="str">
        <f t="shared" si="50"/>
        <v>Linkedln</v>
      </c>
      <c r="P189" t="s">
        <v>1223</v>
      </c>
      <c r="Q189" s="9">
        <f t="shared" si="34"/>
        <v>45631</v>
      </c>
      <c r="R189" t="s">
        <v>1454</v>
      </c>
      <c r="S189" s="9">
        <f t="shared" si="35"/>
        <v>45647</v>
      </c>
      <c r="T189" t="s">
        <v>1553</v>
      </c>
      <c r="U189" s="9">
        <f t="shared" si="36"/>
        <v>45655</v>
      </c>
      <c r="V189" t="s">
        <v>1602</v>
      </c>
      <c r="W189" s="9">
        <f t="shared" si="37"/>
        <v>45682</v>
      </c>
      <c r="X189" t="s">
        <v>1620</v>
      </c>
      <c r="Y189" s="15">
        <v>31681</v>
      </c>
      <c r="Z189" s="15">
        <v>33118</v>
      </c>
      <c r="AA189" t="s">
        <v>1624</v>
      </c>
      <c r="AB189" t="s">
        <v>1626</v>
      </c>
      <c r="AC189" s="17">
        <v>4</v>
      </c>
      <c r="AF189" t="str">
        <f t="shared" si="38"/>
        <v>12-05-2024</v>
      </c>
      <c r="AG189" t="str">
        <f t="shared" si="39"/>
        <v>12-21-2024</v>
      </c>
      <c r="AH189" t="str">
        <f t="shared" si="40"/>
        <v>12-29-2024</v>
      </c>
      <c r="AI189" t="str">
        <f t="shared" si="41"/>
        <v>25/01/2025</v>
      </c>
      <c r="AJ189" t="str">
        <f t="shared" si="42"/>
        <v>Not Found</v>
      </c>
      <c r="AK189" t="str">
        <f t="shared" si="43"/>
        <v>Not Found</v>
      </c>
    </row>
    <row r="190" spans="1:37" x14ac:dyDescent="0.35">
      <c r="A190" t="s">
        <v>206</v>
      </c>
      <c r="B190" t="s">
        <v>537</v>
      </c>
      <c r="C190" t="s">
        <v>811</v>
      </c>
      <c r="D190" t="str">
        <f t="shared" si="44"/>
        <v>Grace Osborne</v>
      </c>
      <c r="E190" t="str">
        <f t="shared" si="45"/>
        <v>Grace</v>
      </c>
      <c r="F190" t="str">
        <f t="shared" si="46"/>
        <v>Osborne</v>
      </c>
      <c r="G190" t="s">
        <v>1024</v>
      </c>
      <c r="H190" t="str">
        <f t="shared" si="47"/>
        <v>Business Analyst</v>
      </c>
      <c r="I190" t="s">
        <v>1030</v>
      </c>
      <c r="J190" t="str">
        <f t="shared" si="48"/>
        <v>Finance</v>
      </c>
      <c r="K190" t="s">
        <v>1038</v>
      </c>
      <c r="L190" t="str">
        <f t="shared" si="49"/>
        <v>East Midlands</v>
      </c>
      <c r="M190" t="s">
        <v>1044</v>
      </c>
      <c r="N190" t="s">
        <v>1051</v>
      </c>
      <c r="O190" t="str">
        <f t="shared" si="50"/>
        <v>CV Library</v>
      </c>
      <c r="P190" t="s">
        <v>1224</v>
      </c>
      <c r="Q190" s="9">
        <f t="shared" si="34"/>
        <v>45459</v>
      </c>
      <c r="R190" t="s">
        <v>1455</v>
      </c>
      <c r="S190" s="9">
        <f t="shared" si="35"/>
        <v>45469</v>
      </c>
      <c r="U190" s="9" t="str">
        <f t="shared" si="36"/>
        <v/>
      </c>
      <c r="W190" s="9" t="str">
        <f t="shared" si="37"/>
        <v/>
      </c>
      <c r="X190" t="s">
        <v>1615</v>
      </c>
      <c r="Y190" s="15">
        <v>42920</v>
      </c>
      <c r="AA190" t="s">
        <v>1621</v>
      </c>
      <c r="AB190" t="s">
        <v>1627</v>
      </c>
      <c r="AC190" s="17">
        <v>3.7</v>
      </c>
      <c r="AF190" t="str">
        <f t="shared" si="38"/>
        <v>06-16-2024</v>
      </c>
      <c r="AG190" t="str">
        <f t="shared" si="39"/>
        <v>06-26-2024</v>
      </c>
      <c r="AH190" t="str">
        <f t="shared" si="40"/>
        <v/>
      </c>
      <c r="AI190" t="str">
        <f t="shared" si="41"/>
        <v/>
      </c>
      <c r="AJ190" t="str">
        <f t="shared" si="42"/>
        <v>Not Found</v>
      </c>
      <c r="AK190" t="str">
        <f t="shared" si="43"/>
        <v>Not Found</v>
      </c>
    </row>
    <row r="191" spans="1:37" x14ac:dyDescent="0.35">
      <c r="A191" t="s">
        <v>207</v>
      </c>
      <c r="B191" t="s">
        <v>515</v>
      </c>
      <c r="C191" t="s">
        <v>812</v>
      </c>
      <c r="D191" t="str">
        <f t="shared" si="44"/>
        <v>Justin Hill</v>
      </c>
      <c r="E191" t="str">
        <f t="shared" si="45"/>
        <v>Justin</v>
      </c>
      <c r="F191" t="str">
        <f t="shared" si="46"/>
        <v>Hill</v>
      </c>
      <c r="G191" t="s">
        <v>1023</v>
      </c>
      <c r="H191" t="str">
        <f t="shared" si="47"/>
        <v>HR Analyst</v>
      </c>
      <c r="I191" t="s">
        <v>1029</v>
      </c>
      <c r="J191" t="str">
        <f t="shared" si="48"/>
        <v>Commercial</v>
      </c>
      <c r="K191" t="s">
        <v>1040</v>
      </c>
      <c r="L191" t="str">
        <f t="shared" si="49"/>
        <v>North West</v>
      </c>
      <c r="M191" t="s">
        <v>1045</v>
      </c>
      <c r="N191" t="s">
        <v>1049</v>
      </c>
      <c r="O191" t="str">
        <f t="shared" si="50"/>
        <v>Indeed</v>
      </c>
      <c r="P191" t="s">
        <v>1225</v>
      </c>
      <c r="Q191" s="9">
        <f t="shared" si="34"/>
        <v>45770</v>
      </c>
      <c r="R191" t="s">
        <v>1456</v>
      </c>
      <c r="S191" s="9">
        <f t="shared" si="35"/>
        <v>45796</v>
      </c>
      <c r="T191" t="s">
        <v>1456</v>
      </c>
      <c r="U191" s="9">
        <f t="shared" si="36"/>
        <v>45796</v>
      </c>
      <c r="V191" t="s">
        <v>1603</v>
      </c>
      <c r="W191" s="9">
        <f t="shared" si="37"/>
        <v>45833</v>
      </c>
      <c r="X191" t="s">
        <v>1620</v>
      </c>
      <c r="Y191" s="15">
        <v>46556</v>
      </c>
      <c r="Z191" s="15">
        <v>45086</v>
      </c>
      <c r="AA191" t="s">
        <v>1624</v>
      </c>
      <c r="AB191" t="s">
        <v>1627</v>
      </c>
      <c r="AC191" s="17">
        <v>3.1</v>
      </c>
      <c r="AF191" t="str">
        <f t="shared" si="38"/>
        <v>04-23-2025</v>
      </c>
      <c r="AG191" t="str">
        <f t="shared" si="39"/>
        <v>05-19-2025</v>
      </c>
      <c r="AH191" t="str">
        <f t="shared" si="40"/>
        <v>05-19-2025</v>
      </c>
      <c r="AI191" t="str">
        <f t="shared" si="41"/>
        <v>2025/06/25</v>
      </c>
      <c r="AJ191" t="str">
        <f t="shared" si="42"/>
        <v>Not Found</v>
      </c>
      <c r="AK191" t="str">
        <f t="shared" si="43"/>
        <v>Not Found</v>
      </c>
    </row>
    <row r="192" spans="1:37" x14ac:dyDescent="0.35">
      <c r="A192" t="s">
        <v>208</v>
      </c>
      <c r="B192" t="s">
        <v>559</v>
      </c>
      <c r="C192" t="s">
        <v>813</v>
      </c>
      <c r="D192" t="str">
        <f t="shared" si="44"/>
        <v>Carole Martin</v>
      </c>
      <c r="E192" t="str">
        <f t="shared" si="45"/>
        <v>Carole</v>
      </c>
      <c r="F192" t="str">
        <f t="shared" si="46"/>
        <v>Martin</v>
      </c>
      <c r="G192" t="s">
        <v>1025</v>
      </c>
      <c r="H192" t="str">
        <f t="shared" si="47"/>
        <v>Finance Analyst</v>
      </c>
      <c r="I192" t="s">
        <v>1032</v>
      </c>
      <c r="J192" t="str">
        <f t="shared" si="48"/>
        <v>Operations</v>
      </c>
      <c r="K192" t="s">
        <v>1033</v>
      </c>
      <c r="L192" t="str">
        <f t="shared" si="49"/>
        <v>Midlands</v>
      </c>
      <c r="M192" t="s">
        <v>1043</v>
      </c>
      <c r="N192" t="s">
        <v>1049</v>
      </c>
      <c r="O192" t="str">
        <f t="shared" si="50"/>
        <v>Indeed</v>
      </c>
      <c r="P192" t="s">
        <v>1226</v>
      </c>
      <c r="Q192" s="9">
        <f t="shared" si="34"/>
        <v>45403</v>
      </c>
      <c r="S192" s="9" t="str">
        <f t="shared" si="35"/>
        <v/>
      </c>
      <c r="U192" s="9" t="str">
        <f t="shared" si="36"/>
        <v/>
      </c>
      <c r="W192" s="9" t="str">
        <f t="shared" si="37"/>
        <v/>
      </c>
      <c r="X192" t="s">
        <v>1616</v>
      </c>
      <c r="Y192" s="15">
        <v>41416</v>
      </c>
      <c r="AA192" t="s">
        <v>1625</v>
      </c>
      <c r="AB192" t="s">
        <v>1626</v>
      </c>
      <c r="AC192" s="17">
        <v>3.6</v>
      </c>
      <c r="AF192" t="str">
        <f t="shared" si="38"/>
        <v>21/04/2024</v>
      </c>
      <c r="AG192" t="str">
        <f t="shared" si="39"/>
        <v/>
      </c>
      <c r="AH192" t="str">
        <f t="shared" si="40"/>
        <v/>
      </c>
      <c r="AI192" t="str">
        <f t="shared" si="41"/>
        <v/>
      </c>
      <c r="AJ192" t="str">
        <f t="shared" si="42"/>
        <v>Not Found</v>
      </c>
      <c r="AK192" t="str">
        <f t="shared" si="43"/>
        <v>Not Found</v>
      </c>
    </row>
    <row r="193" spans="1:37" x14ac:dyDescent="0.35">
      <c r="A193" t="s">
        <v>209</v>
      </c>
      <c r="B193" t="s">
        <v>468</v>
      </c>
      <c r="C193" t="s">
        <v>814</v>
      </c>
      <c r="D193" t="str">
        <f t="shared" si="44"/>
        <v>Paul Jones</v>
      </c>
      <c r="E193" t="str">
        <f t="shared" si="45"/>
        <v>Paul</v>
      </c>
      <c r="F193" t="str">
        <f t="shared" si="46"/>
        <v>Jones</v>
      </c>
      <c r="G193" t="s">
        <v>1022</v>
      </c>
      <c r="H193" t="str">
        <f t="shared" si="47"/>
        <v>Reporting Analyst</v>
      </c>
      <c r="I193" t="s">
        <v>1032</v>
      </c>
      <c r="J193" t="str">
        <f t="shared" si="48"/>
        <v>Operations</v>
      </c>
      <c r="K193" t="s">
        <v>1037</v>
      </c>
      <c r="L193" t="str">
        <f t="shared" si="49"/>
        <v>East Midlands</v>
      </c>
      <c r="M193" t="s">
        <v>1044</v>
      </c>
      <c r="N193" t="s">
        <v>1048</v>
      </c>
      <c r="O193" t="str">
        <f t="shared" si="50"/>
        <v>Referral</v>
      </c>
      <c r="P193" t="s">
        <v>1227</v>
      </c>
      <c r="Q193" s="9">
        <f t="shared" si="34"/>
        <v>45610</v>
      </c>
      <c r="S193" s="9" t="str">
        <f t="shared" si="35"/>
        <v/>
      </c>
      <c r="U193" s="9" t="str">
        <f t="shared" si="36"/>
        <v/>
      </c>
      <c r="W193" s="9" t="str">
        <f t="shared" si="37"/>
        <v/>
      </c>
      <c r="X193" t="s">
        <v>1616</v>
      </c>
      <c r="Y193" s="15">
        <v>31453</v>
      </c>
      <c r="AA193" t="s">
        <v>1621</v>
      </c>
      <c r="AB193" t="s">
        <v>1627</v>
      </c>
      <c r="AC193" s="17">
        <v>2.5</v>
      </c>
      <c r="AF193" t="str">
        <f t="shared" si="38"/>
        <v>2024/11/14</v>
      </c>
      <c r="AG193" t="str">
        <f t="shared" si="39"/>
        <v/>
      </c>
      <c r="AH193" t="str">
        <f t="shared" si="40"/>
        <v/>
      </c>
      <c r="AI193" t="str">
        <f t="shared" si="41"/>
        <v/>
      </c>
      <c r="AJ193" t="str">
        <f t="shared" si="42"/>
        <v>Not Found</v>
      </c>
      <c r="AK193" t="str">
        <f t="shared" si="43"/>
        <v>Not Found</v>
      </c>
    </row>
    <row r="194" spans="1:37" x14ac:dyDescent="0.35">
      <c r="A194" t="s">
        <v>210</v>
      </c>
      <c r="B194" t="s">
        <v>560</v>
      </c>
      <c r="C194" t="s">
        <v>815</v>
      </c>
      <c r="D194" t="str">
        <f t="shared" si="44"/>
        <v>Christine James Williams</v>
      </c>
      <c r="E194" t="str">
        <f t="shared" si="45"/>
        <v>Christine</v>
      </c>
      <c r="F194" t="str">
        <f t="shared" si="46"/>
        <v>Williams</v>
      </c>
      <c r="G194" t="s">
        <v>1022</v>
      </c>
      <c r="H194" t="str">
        <f t="shared" si="47"/>
        <v>Reporting Analyst</v>
      </c>
      <c r="I194" t="s">
        <v>1028</v>
      </c>
      <c r="J194" t="str">
        <f t="shared" si="48"/>
        <v>HR</v>
      </c>
      <c r="K194" t="s">
        <v>1036</v>
      </c>
      <c r="L194" t="str">
        <f t="shared" si="49"/>
        <v>London</v>
      </c>
      <c r="M194" t="s">
        <v>1042</v>
      </c>
      <c r="N194" t="s">
        <v>1050</v>
      </c>
      <c r="O194" t="str">
        <f t="shared" si="50"/>
        <v>Reed</v>
      </c>
      <c r="P194" t="s">
        <v>1228</v>
      </c>
      <c r="Q194" s="9">
        <f t="shared" ref="Q194:Q257" si="51">IF(IFERROR(FIND("-",AF194),0)=3,DATE(RIGHT(AF194,4),LEFT(AF194,2),MID(AF194,4,2)), IF(IFERROR(FIND("/",AF194)=5,0), DATE(LEFT(AF194,4),MID(AF194,6,2),RIGHT(AF194,2)), DATE(RIGHT(AF194,4), MID(AF194,4,2), LEFT(AF194,2))))</f>
        <v>45591</v>
      </c>
      <c r="S194" s="9" t="str">
        <f t="shared" ref="S194:S257" si="52">IFERROR( IF(IFERROR(FIND("-",AG194),0)=3, DATE(RIGHT(AG194,4),LEFT(AG194,2),MID(AG194,4,2)),  IF(IFERROR(FIND("/",AG194)=5,0), DATE(LEFT(AG194,4),MID(AG194,6,2),RIGHT(AG194,2)), DATE(RIGHT(AG194,4), MID(AG194,4,2), LEFT(AG194,2)))),"")</f>
        <v/>
      </c>
      <c r="U194" s="9" t="str">
        <f t="shared" ref="U194:U257" si="53">IFERROR( IF(IFERROR(FIND("-",AH194),0)=3, DATE(RIGHT(AH194,4),LEFT(AH194,2),MID(AH194,4,2)),  IF(IFERROR(FIND("/",AH194)=5,0), DATE(LEFT(AH194,4),MID(AH194,6,2),RIGHT(AH194,2)), DATE(RIGHT(AH194,4), MID(AH194,4,2), LEFT(AH194,2)))),"")</f>
        <v/>
      </c>
      <c r="W194" s="9" t="str">
        <f t="shared" ref="W194:W257" si="54">IFERROR( IF(IFERROR(FIND("-",AI194),0)=3, DATE(RIGHT(AI194,4),LEFT(AI194,2),MID(AI194,4,2)),  IF(IFERROR(FIND("/",AI194)=5,0), DATE(LEFT(AI194,4),MID(AI194,6,2),RIGHT(AI194,2)), DATE(RIGHT(AI194,4), MID(AI194,4,2), LEFT(AI194,2)))),"")</f>
        <v/>
      </c>
      <c r="X194" t="s">
        <v>1619</v>
      </c>
      <c r="Y194" s="15">
        <v>47040</v>
      </c>
      <c r="AA194" t="s">
        <v>1624</v>
      </c>
      <c r="AB194" t="s">
        <v>1628</v>
      </c>
      <c r="AC194" s="17">
        <v>2.5</v>
      </c>
      <c r="AF194" t="str">
        <f t="shared" ref="AF194:AF257" si="55">IF(IFERROR(FIND("-",P194),0) = 5, SUBSTITUTE(P194,"-","/"), P194)</f>
        <v>2024/10/26</v>
      </c>
      <c r="AG194" t="str">
        <f t="shared" ref="AG194:AG257" si="56">IF(R194 = "", "", IF(IFERROR(FIND("-",R194),0) = 5, SUBSTITUTE(R194,"-","/"), R194))</f>
        <v/>
      </c>
      <c r="AH194" t="str">
        <f t="shared" ref="AH194:AH257" si="57">IF(T194 = "", "", IF(IFERROR(FIND("-",T194),0) = 5, SUBSTITUTE(T194,"-","/"), T194))</f>
        <v/>
      </c>
      <c r="AI194" t="str">
        <f t="shared" ref="AI194:AI257" si="58">IF(V194 = "", "", IF(IFERROR(FIND("-",V194),0) = 5, SUBSTITUTE(V194,"-","/"), V194))</f>
        <v/>
      </c>
      <c r="AJ194" t="str">
        <f t="shared" ref="AJ194:AJ257" si="59">IFERROR(FIND(" ",X194),"Not Found")</f>
        <v>Not Found</v>
      </c>
      <c r="AK194" t="str">
        <f t="shared" ref="AK194:AK257" si="60">IFERROR(FIND(" ",AA194), "Not Found")</f>
        <v>Not Found</v>
      </c>
    </row>
    <row r="195" spans="1:37" x14ac:dyDescent="0.35">
      <c r="A195" t="s">
        <v>211</v>
      </c>
      <c r="B195" t="s">
        <v>561</v>
      </c>
      <c r="C195" t="s">
        <v>816</v>
      </c>
      <c r="D195" t="str">
        <f t="shared" ref="D195:D258" si="61">PROPER(TRIM(SUBSTITUTE(SUBSTITUTE(SUBSTITUTE(SUBSTITUTE(SUBSTITUTE(SUBSTITUTE(C195,"Mr "," "),"Dr "," "),"-"," "),"Miss "," "),"Mrs "," "),"Ms ", " ")))</f>
        <v>Arthur Parker</v>
      </c>
      <c r="E195" t="str">
        <f t="shared" ref="E195:E258" si="62">_xlfn.TEXTBEFORE(D195," ",1,,,)</f>
        <v>Arthur</v>
      </c>
      <c r="F195" t="str">
        <f t="shared" ref="F195:F258" si="63">_xlfn.TEXTAFTER(D195," ",-1,,,)</f>
        <v>Parker</v>
      </c>
      <c r="G195" t="s">
        <v>1023</v>
      </c>
      <c r="H195" t="str">
        <f t="shared" ref="H195:H258" si="64">TRIM(G195)</f>
        <v>HR Analyst</v>
      </c>
      <c r="I195" t="s">
        <v>1030</v>
      </c>
      <c r="J195" t="str">
        <f t="shared" ref="J195:J258" si="65">TRIM(I195)</f>
        <v>Finance</v>
      </c>
      <c r="K195" t="s">
        <v>1033</v>
      </c>
      <c r="L195" t="str">
        <f t="shared" ref="L195:L258" si="66">PROPER(TRIM(K195))</f>
        <v>Midlands</v>
      </c>
      <c r="M195" t="s">
        <v>1044</v>
      </c>
      <c r="N195" t="s">
        <v>1052</v>
      </c>
      <c r="O195" t="str">
        <f t="shared" ref="O195:O258" si="67">IF(OR(TRIM(N195) = "linkedin", TRIM(N195) = "LI"),"Linkedln",TRIM(N195))</f>
        <v>Linkedln</v>
      </c>
      <c r="P195" t="s">
        <v>1229</v>
      </c>
      <c r="Q195" s="9">
        <f t="shared" si="51"/>
        <v>45675</v>
      </c>
      <c r="S195" s="9" t="str">
        <f t="shared" si="52"/>
        <v/>
      </c>
      <c r="U195" s="9" t="str">
        <f t="shared" si="53"/>
        <v/>
      </c>
      <c r="W195" s="9" t="str">
        <f t="shared" si="54"/>
        <v/>
      </c>
      <c r="X195" t="s">
        <v>1616</v>
      </c>
      <c r="Y195" s="15">
        <v>46118</v>
      </c>
      <c r="AA195" t="s">
        <v>1624</v>
      </c>
      <c r="AB195" t="s">
        <v>1626</v>
      </c>
      <c r="AF195" t="str">
        <f t="shared" si="55"/>
        <v>2025/01/18</v>
      </c>
      <c r="AG195" t="str">
        <f t="shared" si="56"/>
        <v/>
      </c>
      <c r="AH195" t="str">
        <f t="shared" si="57"/>
        <v/>
      </c>
      <c r="AI195" t="str">
        <f t="shared" si="58"/>
        <v/>
      </c>
      <c r="AJ195" t="str">
        <f t="shared" si="59"/>
        <v>Not Found</v>
      </c>
      <c r="AK195" t="str">
        <f t="shared" si="60"/>
        <v>Not Found</v>
      </c>
    </row>
    <row r="196" spans="1:37" x14ac:dyDescent="0.35">
      <c r="A196" t="s">
        <v>212</v>
      </c>
      <c r="B196" t="s">
        <v>446</v>
      </c>
      <c r="C196" t="s">
        <v>817</v>
      </c>
      <c r="D196" t="str">
        <f t="shared" si="61"/>
        <v>Melissa Cooper Wilkinson</v>
      </c>
      <c r="E196" t="str">
        <f t="shared" si="62"/>
        <v>Melissa</v>
      </c>
      <c r="F196" t="str">
        <f t="shared" si="63"/>
        <v>Wilkinson</v>
      </c>
      <c r="G196" t="s">
        <v>1022</v>
      </c>
      <c r="H196" t="str">
        <f t="shared" si="64"/>
        <v>Reporting Analyst</v>
      </c>
      <c r="I196" t="s">
        <v>1032</v>
      </c>
      <c r="J196" t="str">
        <f t="shared" si="65"/>
        <v>Operations</v>
      </c>
      <c r="K196" t="s">
        <v>1040</v>
      </c>
      <c r="L196" t="str">
        <f t="shared" si="66"/>
        <v>North West</v>
      </c>
      <c r="M196" t="s">
        <v>1044</v>
      </c>
      <c r="N196" t="s">
        <v>1049</v>
      </c>
      <c r="O196" t="str">
        <f t="shared" si="67"/>
        <v>Indeed</v>
      </c>
      <c r="P196" t="s">
        <v>1230</v>
      </c>
      <c r="Q196" s="9">
        <f t="shared" si="51"/>
        <v>45605</v>
      </c>
      <c r="S196" s="9" t="str">
        <f t="shared" si="52"/>
        <v/>
      </c>
      <c r="U196" s="9" t="str">
        <f t="shared" si="53"/>
        <v/>
      </c>
      <c r="W196" s="9" t="str">
        <f t="shared" si="54"/>
        <v/>
      </c>
      <c r="X196" t="s">
        <v>1619</v>
      </c>
      <c r="Y196" s="15">
        <v>31555</v>
      </c>
      <c r="AA196" t="s">
        <v>1623</v>
      </c>
      <c r="AB196" t="s">
        <v>1628</v>
      </c>
      <c r="AC196" s="17">
        <v>3</v>
      </c>
      <c r="AF196" t="str">
        <f t="shared" si="55"/>
        <v>2024/11/09</v>
      </c>
      <c r="AG196" t="str">
        <f t="shared" si="56"/>
        <v/>
      </c>
      <c r="AH196" t="str">
        <f t="shared" si="57"/>
        <v/>
      </c>
      <c r="AI196" t="str">
        <f t="shared" si="58"/>
        <v/>
      </c>
      <c r="AJ196" t="str">
        <f t="shared" si="59"/>
        <v>Not Found</v>
      </c>
      <c r="AK196" t="str">
        <f t="shared" si="60"/>
        <v>Not Found</v>
      </c>
    </row>
    <row r="197" spans="1:37" x14ac:dyDescent="0.35">
      <c r="A197" t="s">
        <v>213</v>
      </c>
      <c r="B197" t="s">
        <v>493</v>
      </c>
      <c r="C197" t="s">
        <v>818</v>
      </c>
      <c r="D197" t="str">
        <f t="shared" si="61"/>
        <v>Rosemary Mason</v>
      </c>
      <c r="E197" t="str">
        <f t="shared" si="62"/>
        <v>Rosemary</v>
      </c>
      <c r="F197" t="str">
        <f t="shared" si="63"/>
        <v>Mason</v>
      </c>
      <c r="G197" t="s">
        <v>1026</v>
      </c>
      <c r="H197" t="str">
        <f t="shared" si="64"/>
        <v>BI Analyst</v>
      </c>
      <c r="I197" t="s">
        <v>1029</v>
      </c>
      <c r="J197" t="str">
        <f t="shared" si="65"/>
        <v>Commercial</v>
      </c>
      <c r="K197" t="s">
        <v>1040</v>
      </c>
      <c r="L197" t="str">
        <f t="shared" si="66"/>
        <v>North West</v>
      </c>
      <c r="M197" t="s">
        <v>1041</v>
      </c>
      <c r="N197" t="s">
        <v>1049</v>
      </c>
      <c r="O197" t="str">
        <f t="shared" si="67"/>
        <v>Indeed</v>
      </c>
      <c r="P197" t="s">
        <v>1231</v>
      </c>
      <c r="Q197" s="9">
        <f t="shared" si="51"/>
        <v>45340</v>
      </c>
      <c r="S197" s="9" t="str">
        <f t="shared" si="52"/>
        <v/>
      </c>
      <c r="U197" s="9" t="str">
        <f t="shared" si="53"/>
        <v/>
      </c>
      <c r="W197" s="9" t="str">
        <f t="shared" si="54"/>
        <v/>
      </c>
      <c r="X197" t="s">
        <v>1616</v>
      </c>
      <c r="Y197" s="15">
        <v>33784</v>
      </c>
      <c r="AA197" t="s">
        <v>1622</v>
      </c>
      <c r="AB197" t="s">
        <v>1627</v>
      </c>
      <c r="AC197" s="17">
        <v>4.5999999999999996</v>
      </c>
      <c r="AF197" t="str">
        <f t="shared" si="55"/>
        <v>18/02/2024</v>
      </c>
      <c r="AG197" t="str">
        <f t="shared" si="56"/>
        <v/>
      </c>
      <c r="AH197" t="str">
        <f t="shared" si="57"/>
        <v/>
      </c>
      <c r="AI197" t="str">
        <f t="shared" si="58"/>
        <v/>
      </c>
      <c r="AJ197" t="str">
        <f t="shared" si="59"/>
        <v>Not Found</v>
      </c>
      <c r="AK197" t="str">
        <f t="shared" si="60"/>
        <v>Not Found</v>
      </c>
    </row>
    <row r="198" spans="1:37" x14ac:dyDescent="0.35">
      <c r="A198" t="s">
        <v>214</v>
      </c>
      <c r="B198" t="s">
        <v>474</v>
      </c>
      <c r="C198" t="s">
        <v>819</v>
      </c>
      <c r="D198" t="str">
        <f t="shared" si="61"/>
        <v>Janet Lynch</v>
      </c>
      <c r="E198" t="str">
        <f t="shared" si="62"/>
        <v>Janet</v>
      </c>
      <c r="F198" t="str">
        <f t="shared" si="63"/>
        <v>Lynch</v>
      </c>
      <c r="G198" t="s">
        <v>1022</v>
      </c>
      <c r="H198" t="str">
        <f t="shared" si="64"/>
        <v>Reporting Analyst</v>
      </c>
      <c r="I198" t="s">
        <v>1028</v>
      </c>
      <c r="J198" t="str">
        <f t="shared" si="65"/>
        <v>HR</v>
      </c>
      <c r="K198" t="s">
        <v>1033</v>
      </c>
      <c r="L198" t="str">
        <f t="shared" si="66"/>
        <v>Midlands</v>
      </c>
      <c r="M198" t="s">
        <v>1044</v>
      </c>
      <c r="N198" t="s">
        <v>1047</v>
      </c>
      <c r="O198" t="str">
        <f t="shared" si="67"/>
        <v>Linkedln</v>
      </c>
      <c r="P198" t="s">
        <v>1232</v>
      </c>
      <c r="Q198" s="9">
        <f t="shared" si="51"/>
        <v>45680</v>
      </c>
      <c r="S198" s="9" t="str">
        <f t="shared" si="52"/>
        <v/>
      </c>
      <c r="U198" s="9" t="str">
        <f t="shared" si="53"/>
        <v/>
      </c>
      <c r="W198" s="9" t="str">
        <f t="shared" si="54"/>
        <v/>
      </c>
      <c r="X198" t="s">
        <v>1616</v>
      </c>
      <c r="Y198" s="15">
        <v>50384</v>
      </c>
      <c r="AA198" t="s">
        <v>1625</v>
      </c>
      <c r="AB198" t="s">
        <v>1627</v>
      </c>
      <c r="AC198" s="17">
        <v>2.4</v>
      </c>
      <c r="AF198" t="str">
        <f t="shared" si="55"/>
        <v>23/01/2025</v>
      </c>
      <c r="AG198" t="str">
        <f t="shared" si="56"/>
        <v/>
      </c>
      <c r="AH198" t="str">
        <f t="shared" si="57"/>
        <v/>
      </c>
      <c r="AI198" t="str">
        <f t="shared" si="58"/>
        <v/>
      </c>
      <c r="AJ198" t="str">
        <f t="shared" si="59"/>
        <v>Not Found</v>
      </c>
      <c r="AK198" t="str">
        <f t="shared" si="60"/>
        <v>Not Found</v>
      </c>
    </row>
    <row r="199" spans="1:37" x14ac:dyDescent="0.35">
      <c r="A199" t="s">
        <v>215</v>
      </c>
      <c r="B199" t="s">
        <v>562</v>
      </c>
      <c r="C199" t="s">
        <v>820</v>
      </c>
      <c r="D199" t="str">
        <f t="shared" si="61"/>
        <v>Kieran Bell Moran</v>
      </c>
      <c r="E199" t="str">
        <f t="shared" si="62"/>
        <v>Kieran</v>
      </c>
      <c r="F199" t="str">
        <f t="shared" si="63"/>
        <v>Moran</v>
      </c>
      <c r="G199" t="s">
        <v>1027</v>
      </c>
      <c r="H199" t="str">
        <f t="shared" si="64"/>
        <v>Data Analyst</v>
      </c>
      <c r="I199" t="s">
        <v>1029</v>
      </c>
      <c r="J199" t="str">
        <f t="shared" si="65"/>
        <v>Commercial</v>
      </c>
      <c r="K199" t="s">
        <v>1034</v>
      </c>
      <c r="L199" t="str">
        <f t="shared" si="66"/>
        <v>Scotland</v>
      </c>
      <c r="M199" t="s">
        <v>1041</v>
      </c>
      <c r="N199" t="s">
        <v>1052</v>
      </c>
      <c r="O199" t="str">
        <f t="shared" si="67"/>
        <v>Linkedln</v>
      </c>
      <c r="P199" t="s">
        <v>1233</v>
      </c>
      <c r="Q199" s="9">
        <f t="shared" si="51"/>
        <v>45612</v>
      </c>
      <c r="R199" t="s">
        <v>1457</v>
      </c>
      <c r="S199" s="9">
        <f t="shared" si="52"/>
        <v>45627</v>
      </c>
      <c r="U199" s="9" t="str">
        <f t="shared" si="53"/>
        <v/>
      </c>
      <c r="W199" s="9" t="str">
        <f t="shared" si="54"/>
        <v/>
      </c>
      <c r="X199" t="s">
        <v>1615</v>
      </c>
      <c r="Y199" s="15">
        <v>43632</v>
      </c>
      <c r="AA199" t="s">
        <v>1623</v>
      </c>
      <c r="AB199" t="s">
        <v>1627</v>
      </c>
      <c r="AC199" s="17">
        <v>3.6</v>
      </c>
      <c r="AF199" t="str">
        <f t="shared" si="55"/>
        <v>2024/11/16</v>
      </c>
      <c r="AG199" t="str">
        <f t="shared" si="56"/>
        <v>01/12/2024</v>
      </c>
      <c r="AH199" t="str">
        <f t="shared" si="57"/>
        <v/>
      </c>
      <c r="AI199" t="str">
        <f t="shared" si="58"/>
        <v/>
      </c>
      <c r="AJ199" t="str">
        <f t="shared" si="59"/>
        <v>Not Found</v>
      </c>
      <c r="AK199" t="str">
        <f t="shared" si="60"/>
        <v>Not Found</v>
      </c>
    </row>
    <row r="200" spans="1:37" x14ac:dyDescent="0.35">
      <c r="A200" t="s">
        <v>216</v>
      </c>
      <c r="B200" t="s">
        <v>563</v>
      </c>
      <c r="C200" t="s">
        <v>821</v>
      </c>
      <c r="D200" t="str">
        <f t="shared" si="61"/>
        <v>Duncan Palmer</v>
      </c>
      <c r="E200" t="str">
        <f t="shared" si="62"/>
        <v>Duncan</v>
      </c>
      <c r="F200" t="str">
        <f t="shared" si="63"/>
        <v>Palmer</v>
      </c>
      <c r="G200" t="s">
        <v>1022</v>
      </c>
      <c r="H200" t="str">
        <f t="shared" si="64"/>
        <v>Reporting Analyst</v>
      </c>
      <c r="I200" t="s">
        <v>1031</v>
      </c>
      <c r="J200" t="str">
        <f t="shared" si="65"/>
        <v>Technology</v>
      </c>
      <c r="K200" t="s">
        <v>1033</v>
      </c>
      <c r="L200" t="str">
        <f t="shared" si="66"/>
        <v>Midlands</v>
      </c>
      <c r="M200" t="s">
        <v>1041</v>
      </c>
      <c r="N200" t="s">
        <v>1048</v>
      </c>
      <c r="O200" t="str">
        <f t="shared" si="67"/>
        <v>Referral</v>
      </c>
      <c r="P200" t="s">
        <v>1234</v>
      </c>
      <c r="Q200" s="9">
        <f t="shared" si="51"/>
        <v>45712</v>
      </c>
      <c r="S200" s="9" t="str">
        <f t="shared" si="52"/>
        <v/>
      </c>
      <c r="U200" s="9" t="str">
        <f t="shared" si="53"/>
        <v/>
      </c>
      <c r="W200" s="9" t="str">
        <f t="shared" si="54"/>
        <v/>
      </c>
      <c r="X200" t="s">
        <v>1617</v>
      </c>
      <c r="Y200" s="15">
        <v>48132</v>
      </c>
      <c r="AA200" t="s">
        <v>1624</v>
      </c>
      <c r="AB200" t="s">
        <v>1626</v>
      </c>
      <c r="AC200" s="17">
        <v>3.4</v>
      </c>
      <c r="AF200" t="str">
        <f t="shared" si="55"/>
        <v>02-24-2025</v>
      </c>
      <c r="AG200" t="str">
        <f t="shared" si="56"/>
        <v/>
      </c>
      <c r="AH200" t="str">
        <f t="shared" si="57"/>
        <v/>
      </c>
      <c r="AI200" t="str">
        <f t="shared" si="58"/>
        <v/>
      </c>
      <c r="AJ200" t="str">
        <f t="shared" si="59"/>
        <v>Not Found</v>
      </c>
      <c r="AK200" t="str">
        <f t="shared" si="60"/>
        <v>Not Found</v>
      </c>
    </row>
    <row r="201" spans="1:37" x14ac:dyDescent="0.35">
      <c r="A201" t="s">
        <v>217</v>
      </c>
      <c r="B201" t="s">
        <v>545</v>
      </c>
      <c r="C201" t="s">
        <v>822</v>
      </c>
      <c r="D201" t="str">
        <f t="shared" si="61"/>
        <v>Eleanor Johnson</v>
      </c>
      <c r="E201" t="str">
        <f t="shared" si="62"/>
        <v>Eleanor</v>
      </c>
      <c r="F201" t="str">
        <f t="shared" si="63"/>
        <v>Johnson</v>
      </c>
      <c r="G201" t="s">
        <v>1026</v>
      </c>
      <c r="H201" t="str">
        <f t="shared" si="64"/>
        <v>BI Analyst</v>
      </c>
      <c r="I201" t="s">
        <v>1031</v>
      </c>
      <c r="J201" t="str">
        <f t="shared" si="65"/>
        <v>Technology</v>
      </c>
      <c r="K201" t="s">
        <v>1040</v>
      </c>
      <c r="L201" t="str">
        <f t="shared" si="66"/>
        <v>North West</v>
      </c>
      <c r="M201" t="s">
        <v>1044</v>
      </c>
      <c r="N201" t="s">
        <v>1052</v>
      </c>
      <c r="O201" t="str">
        <f t="shared" si="67"/>
        <v>Linkedln</v>
      </c>
      <c r="P201" t="s">
        <v>1235</v>
      </c>
      <c r="Q201" s="9">
        <f t="shared" si="51"/>
        <v>45540</v>
      </c>
      <c r="R201" t="s">
        <v>1458</v>
      </c>
      <c r="S201" s="9">
        <f t="shared" si="52"/>
        <v>45547</v>
      </c>
      <c r="U201" s="9" t="str">
        <f t="shared" si="53"/>
        <v/>
      </c>
      <c r="W201" s="9" t="str">
        <f t="shared" si="54"/>
        <v/>
      </c>
      <c r="X201" t="s">
        <v>1615</v>
      </c>
      <c r="Y201" s="15">
        <v>42347</v>
      </c>
      <c r="AA201" t="s">
        <v>1621</v>
      </c>
      <c r="AB201" t="s">
        <v>1626</v>
      </c>
      <c r="AC201" s="17">
        <v>4.9000000000000004</v>
      </c>
      <c r="AF201" t="str">
        <f t="shared" si="55"/>
        <v>05/09/2024</v>
      </c>
      <c r="AG201" t="str">
        <f t="shared" si="56"/>
        <v>2024/09/12</v>
      </c>
      <c r="AH201" t="str">
        <f t="shared" si="57"/>
        <v/>
      </c>
      <c r="AI201" t="str">
        <f t="shared" si="58"/>
        <v/>
      </c>
      <c r="AJ201" t="str">
        <f t="shared" si="59"/>
        <v>Not Found</v>
      </c>
      <c r="AK201" t="str">
        <f t="shared" si="60"/>
        <v>Not Found</v>
      </c>
    </row>
    <row r="202" spans="1:37" x14ac:dyDescent="0.35">
      <c r="A202" t="s">
        <v>218</v>
      </c>
      <c r="B202" t="s">
        <v>430</v>
      </c>
      <c r="C202" t="s">
        <v>823</v>
      </c>
      <c r="D202" t="str">
        <f t="shared" si="61"/>
        <v>Anna Blake</v>
      </c>
      <c r="E202" t="str">
        <f t="shared" si="62"/>
        <v>Anna</v>
      </c>
      <c r="F202" t="str">
        <f t="shared" si="63"/>
        <v>Blake</v>
      </c>
      <c r="G202" t="s">
        <v>1026</v>
      </c>
      <c r="H202" t="str">
        <f t="shared" si="64"/>
        <v>BI Analyst</v>
      </c>
      <c r="I202" t="s">
        <v>1028</v>
      </c>
      <c r="J202" t="str">
        <f t="shared" si="65"/>
        <v>HR</v>
      </c>
      <c r="K202" t="s">
        <v>1035</v>
      </c>
      <c r="L202" t="str">
        <f t="shared" si="66"/>
        <v>Yorkshire</v>
      </c>
      <c r="M202" t="s">
        <v>1045</v>
      </c>
      <c r="N202" t="s">
        <v>1047</v>
      </c>
      <c r="O202" t="str">
        <f t="shared" si="67"/>
        <v>Linkedln</v>
      </c>
      <c r="P202" t="s">
        <v>1236</v>
      </c>
      <c r="Q202" s="9">
        <f t="shared" si="51"/>
        <v>45731</v>
      </c>
      <c r="S202" s="9" t="str">
        <f t="shared" si="52"/>
        <v/>
      </c>
      <c r="U202" s="9" t="str">
        <f t="shared" si="53"/>
        <v/>
      </c>
      <c r="W202" s="9" t="str">
        <f t="shared" si="54"/>
        <v/>
      </c>
      <c r="X202" t="s">
        <v>1617</v>
      </c>
      <c r="Y202" s="15">
        <v>38392</v>
      </c>
      <c r="AA202" t="s">
        <v>1623</v>
      </c>
      <c r="AB202" t="s">
        <v>1628</v>
      </c>
      <c r="AC202" s="17">
        <v>2.4</v>
      </c>
      <c r="AF202" t="str">
        <f t="shared" si="55"/>
        <v>2025/03/15</v>
      </c>
      <c r="AG202" t="str">
        <f t="shared" si="56"/>
        <v/>
      </c>
      <c r="AH202" t="str">
        <f t="shared" si="57"/>
        <v/>
      </c>
      <c r="AI202" t="str">
        <f t="shared" si="58"/>
        <v/>
      </c>
      <c r="AJ202" t="str">
        <f t="shared" si="59"/>
        <v>Not Found</v>
      </c>
      <c r="AK202" t="str">
        <f t="shared" si="60"/>
        <v>Not Found</v>
      </c>
    </row>
    <row r="203" spans="1:37" x14ac:dyDescent="0.35">
      <c r="A203" t="s">
        <v>219</v>
      </c>
      <c r="B203" t="s">
        <v>564</v>
      </c>
      <c r="C203" t="s">
        <v>824</v>
      </c>
      <c r="D203" t="str">
        <f t="shared" si="61"/>
        <v>Charlene Shah</v>
      </c>
      <c r="E203" t="str">
        <f t="shared" si="62"/>
        <v>Charlene</v>
      </c>
      <c r="F203" t="str">
        <f t="shared" si="63"/>
        <v>Shah</v>
      </c>
      <c r="G203" t="s">
        <v>1025</v>
      </c>
      <c r="H203" t="str">
        <f t="shared" si="64"/>
        <v>Finance Analyst</v>
      </c>
      <c r="I203" t="s">
        <v>1032</v>
      </c>
      <c r="J203" t="str">
        <f t="shared" si="65"/>
        <v>Operations</v>
      </c>
      <c r="K203" t="s">
        <v>1034</v>
      </c>
      <c r="L203" t="str">
        <f t="shared" si="66"/>
        <v>Scotland</v>
      </c>
      <c r="M203" t="s">
        <v>1043</v>
      </c>
      <c r="N203" t="s">
        <v>1051</v>
      </c>
      <c r="O203" t="str">
        <f t="shared" si="67"/>
        <v>CV Library</v>
      </c>
      <c r="P203" t="s">
        <v>1085</v>
      </c>
      <c r="Q203" s="9">
        <f t="shared" si="51"/>
        <v>45735</v>
      </c>
      <c r="R203" t="s">
        <v>1459</v>
      </c>
      <c r="S203" s="9">
        <f t="shared" si="52"/>
        <v>45741</v>
      </c>
      <c r="U203" s="9" t="str">
        <f t="shared" si="53"/>
        <v/>
      </c>
      <c r="W203" s="9" t="str">
        <f t="shared" si="54"/>
        <v/>
      </c>
      <c r="X203" t="s">
        <v>1615</v>
      </c>
      <c r="Y203" s="15">
        <v>48222</v>
      </c>
      <c r="AA203" t="s">
        <v>1623</v>
      </c>
      <c r="AB203" t="s">
        <v>1627</v>
      </c>
      <c r="AC203" s="17">
        <v>3.4</v>
      </c>
      <c r="AF203" t="str">
        <f t="shared" si="55"/>
        <v>03-19-2025</v>
      </c>
      <c r="AG203" t="str">
        <f t="shared" si="56"/>
        <v>25/03/2025</v>
      </c>
      <c r="AH203" t="str">
        <f t="shared" si="57"/>
        <v/>
      </c>
      <c r="AI203" t="str">
        <f t="shared" si="58"/>
        <v/>
      </c>
      <c r="AJ203" t="str">
        <f t="shared" si="59"/>
        <v>Not Found</v>
      </c>
      <c r="AK203" t="str">
        <f t="shared" si="60"/>
        <v>Not Found</v>
      </c>
    </row>
    <row r="204" spans="1:37" x14ac:dyDescent="0.35">
      <c r="A204" t="s">
        <v>220</v>
      </c>
      <c r="B204" t="s">
        <v>437</v>
      </c>
      <c r="C204" t="s">
        <v>825</v>
      </c>
      <c r="D204" t="str">
        <f t="shared" si="61"/>
        <v>Anthony Davies</v>
      </c>
      <c r="E204" t="str">
        <f t="shared" si="62"/>
        <v>Anthony</v>
      </c>
      <c r="F204" t="str">
        <f t="shared" si="63"/>
        <v>Davies</v>
      </c>
      <c r="G204" t="s">
        <v>1025</v>
      </c>
      <c r="H204" t="str">
        <f t="shared" si="64"/>
        <v>Finance Analyst</v>
      </c>
      <c r="I204" t="s">
        <v>1031</v>
      </c>
      <c r="J204" t="str">
        <f t="shared" si="65"/>
        <v>Technology</v>
      </c>
      <c r="K204" t="s">
        <v>1033</v>
      </c>
      <c r="L204" t="str">
        <f t="shared" si="66"/>
        <v>Midlands</v>
      </c>
      <c r="M204" t="s">
        <v>1044</v>
      </c>
      <c r="N204" t="s">
        <v>1051</v>
      </c>
      <c r="O204" t="str">
        <f t="shared" si="67"/>
        <v>CV Library</v>
      </c>
      <c r="P204" t="s">
        <v>1237</v>
      </c>
      <c r="Q204" s="9">
        <f t="shared" si="51"/>
        <v>45639</v>
      </c>
      <c r="S204" s="9" t="str">
        <f t="shared" si="52"/>
        <v/>
      </c>
      <c r="U204" s="9" t="str">
        <f t="shared" si="53"/>
        <v/>
      </c>
      <c r="W204" s="9" t="str">
        <f t="shared" si="54"/>
        <v/>
      </c>
      <c r="X204" t="s">
        <v>1617</v>
      </c>
      <c r="Y204" s="15">
        <v>33844</v>
      </c>
      <c r="AA204" t="s">
        <v>1624</v>
      </c>
      <c r="AB204" t="s">
        <v>1628</v>
      </c>
      <c r="AC204" s="17">
        <v>3</v>
      </c>
      <c r="AF204" t="str">
        <f t="shared" si="55"/>
        <v>13/12/2024</v>
      </c>
      <c r="AG204" t="str">
        <f t="shared" si="56"/>
        <v/>
      </c>
      <c r="AH204" t="str">
        <f t="shared" si="57"/>
        <v/>
      </c>
      <c r="AI204" t="str">
        <f t="shared" si="58"/>
        <v/>
      </c>
      <c r="AJ204" t="str">
        <f t="shared" si="59"/>
        <v>Not Found</v>
      </c>
      <c r="AK204" t="str">
        <f t="shared" si="60"/>
        <v>Not Found</v>
      </c>
    </row>
    <row r="205" spans="1:37" x14ac:dyDescent="0.35">
      <c r="A205" t="s">
        <v>221</v>
      </c>
      <c r="B205" t="s">
        <v>565</v>
      </c>
      <c r="C205" t="s">
        <v>826</v>
      </c>
      <c r="D205" t="str">
        <f t="shared" si="61"/>
        <v>Natalie Evans</v>
      </c>
      <c r="E205" t="str">
        <f t="shared" si="62"/>
        <v>Natalie</v>
      </c>
      <c r="F205" t="str">
        <f t="shared" si="63"/>
        <v>Evans</v>
      </c>
      <c r="G205" t="s">
        <v>1024</v>
      </c>
      <c r="H205" t="str">
        <f t="shared" si="64"/>
        <v>Business Analyst</v>
      </c>
      <c r="I205" t="s">
        <v>1030</v>
      </c>
      <c r="J205" t="str">
        <f t="shared" si="65"/>
        <v>Finance</v>
      </c>
      <c r="K205" t="s">
        <v>1033</v>
      </c>
      <c r="L205" t="str">
        <f t="shared" si="66"/>
        <v>Midlands</v>
      </c>
      <c r="M205" t="s">
        <v>1045</v>
      </c>
      <c r="N205" t="s">
        <v>1047</v>
      </c>
      <c r="O205" t="str">
        <f t="shared" si="67"/>
        <v>Linkedln</v>
      </c>
      <c r="P205" t="s">
        <v>1238</v>
      </c>
      <c r="Q205" s="9">
        <f t="shared" si="51"/>
        <v>45619</v>
      </c>
      <c r="S205" s="9" t="str">
        <f t="shared" si="52"/>
        <v/>
      </c>
      <c r="U205" s="9" t="str">
        <f t="shared" si="53"/>
        <v/>
      </c>
      <c r="W205" s="9" t="str">
        <f t="shared" si="54"/>
        <v/>
      </c>
      <c r="X205" t="s">
        <v>1619</v>
      </c>
      <c r="Y205" s="15">
        <v>50618</v>
      </c>
      <c r="AA205" t="s">
        <v>1624</v>
      </c>
      <c r="AB205" t="s">
        <v>1627</v>
      </c>
      <c r="AC205" s="17">
        <v>4.2</v>
      </c>
      <c r="AF205" t="str">
        <f t="shared" si="55"/>
        <v>2024/11/23</v>
      </c>
      <c r="AG205" t="str">
        <f t="shared" si="56"/>
        <v/>
      </c>
      <c r="AH205" t="str">
        <f t="shared" si="57"/>
        <v/>
      </c>
      <c r="AI205" t="str">
        <f t="shared" si="58"/>
        <v/>
      </c>
      <c r="AJ205" t="str">
        <f t="shared" si="59"/>
        <v>Not Found</v>
      </c>
      <c r="AK205" t="str">
        <f t="shared" si="60"/>
        <v>Not Found</v>
      </c>
    </row>
    <row r="206" spans="1:37" x14ac:dyDescent="0.35">
      <c r="A206" t="s">
        <v>222</v>
      </c>
      <c r="B206" t="s">
        <v>537</v>
      </c>
      <c r="C206" t="s">
        <v>827</v>
      </c>
      <c r="D206" t="str">
        <f t="shared" si="61"/>
        <v>Bethany Potter Davison</v>
      </c>
      <c r="E206" t="str">
        <f t="shared" si="62"/>
        <v>Bethany</v>
      </c>
      <c r="F206" t="str">
        <f t="shared" si="63"/>
        <v>Davison</v>
      </c>
      <c r="G206" t="s">
        <v>1027</v>
      </c>
      <c r="H206" t="str">
        <f t="shared" si="64"/>
        <v>Data Analyst</v>
      </c>
      <c r="I206" t="s">
        <v>1029</v>
      </c>
      <c r="J206" t="str">
        <f t="shared" si="65"/>
        <v>Commercial</v>
      </c>
      <c r="K206" t="s">
        <v>1038</v>
      </c>
      <c r="L206" t="str">
        <f t="shared" si="66"/>
        <v>East Midlands</v>
      </c>
      <c r="M206" t="s">
        <v>1044</v>
      </c>
      <c r="N206" t="s">
        <v>1052</v>
      </c>
      <c r="O206" t="str">
        <f t="shared" si="67"/>
        <v>Linkedln</v>
      </c>
      <c r="P206" t="s">
        <v>1239</v>
      </c>
      <c r="Q206" s="9">
        <f t="shared" si="51"/>
        <v>45440</v>
      </c>
      <c r="S206" s="9" t="str">
        <f t="shared" si="52"/>
        <v/>
      </c>
      <c r="U206" s="9" t="str">
        <f t="shared" si="53"/>
        <v/>
      </c>
      <c r="W206" s="9" t="str">
        <f t="shared" si="54"/>
        <v/>
      </c>
      <c r="X206" t="s">
        <v>1617</v>
      </c>
      <c r="Y206" s="15">
        <v>44228</v>
      </c>
      <c r="AA206" t="s">
        <v>1623</v>
      </c>
      <c r="AB206" t="s">
        <v>1626</v>
      </c>
      <c r="AF206" t="str">
        <f t="shared" si="55"/>
        <v>28/05/2024</v>
      </c>
      <c r="AG206" t="str">
        <f t="shared" si="56"/>
        <v/>
      </c>
      <c r="AH206" t="str">
        <f t="shared" si="57"/>
        <v/>
      </c>
      <c r="AI206" t="str">
        <f t="shared" si="58"/>
        <v/>
      </c>
      <c r="AJ206" t="str">
        <f t="shared" si="59"/>
        <v>Not Found</v>
      </c>
      <c r="AK206" t="str">
        <f t="shared" si="60"/>
        <v>Not Found</v>
      </c>
    </row>
    <row r="207" spans="1:37" x14ac:dyDescent="0.35">
      <c r="A207" t="s">
        <v>223</v>
      </c>
      <c r="B207" t="s">
        <v>566</v>
      </c>
      <c r="C207" t="s">
        <v>828</v>
      </c>
      <c r="D207" t="str">
        <f t="shared" si="61"/>
        <v>Claire Morley</v>
      </c>
      <c r="E207" t="str">
        <f t="shared" si="62"/>
        <v>Claire</v>
      </c>
      <c r="F207" t="str">
        <f t="shared" si="63"/>
        <v>Morley</v>
      </c>
      <c r="G207" t="s">
        <v>1023</v>
      </c>
      <c r="H207" t="str">
        <f t="shared" si="64"/>
        <v>HR Analyst</v>
      </c>
      <c r="I207" t="s">
        <v>1032</v>
      </c>
      <c r="J207" t="str">
        <f t="shared" si="65"/>
        <v>Operations</v>
      </c>
      <c r="K207" t="s">
        <v>1040</v>
      </c>
      <c r="L207" t="str">
        <f t="shared" si="66"/>
        <v>North West</v>
      </c>
      <c r="M207" t="s">
        <v>1043</v>
      </c>
      <c r="N207" t="s">
        <v>1046</v>
      </c>
      <c r="O207" t="str">
        <f t="shared" si="67"/>
        <v>Linkedln</v>
      </c>
      <c r="P207" t="s">
        <v>1240</v>
      </c>
      <c r="Q207" s="9">
        <f t="shared" si="51"/>
        <v>45502</v>
      </c>
      <c r="R207" t="s">
        <v>1095</v>
      </c>
      <c r="S207" s="9">
        <f t="shared" si="52"/>
        <v>45525</v>
      </c>
      <c r="U207" s="9" t="str">
        <f t="shared" si="53"/>
        <v/>
      </c>
      <c r="W207" s="9" t="str">
        <f t="shared" si="54"/>
        <v/>
      </c>
      <c r="X207" t="s">
        <v>1615</v>
      </c>
      <c r="Y207" s="15">
        <v>50047</v>
      </c>
      <c r="AA207" t="s">
        <v>1622</v>
      </c>
      <c r="AB207" t="s">
        <v>1626</v>
      </c>
      <c r="AC207" s="17">
        <v>2.4</v>
      </c>
      <c r="AF207" t="str">
        <f t="shared" si="55"/>
        <v>29/07/2024</v>
      </c>
      <c r="AG207" t="str">
        <f t="shared" si="56"/>
        <v>08-21-2024</v>
      </c>
      <c r="AH207" t="str">
        <f t="shared" si="57"/>
        <v/>
      </c>
      <c r="AI207" t="str">
        <f t="shared" si="58"/>
        <v/>
      </c>
      <c r="AJ207" t="str">
        <f t="shared" si="59"/>
        <v>Not Found</v>
      </c>
      <c r="AK207" t="str">
        <f t="shared" si="60"/>
        <v>Not Found</v>
      </c>
    </row>
    <row r="208" spans="1:37" x14ac:dyDescent="0.35">
      <c r="A208" t="s">
        <v>224</v>
      </c>
      <c r="B208" t="s">
        <v>567</v>
      </c>
      <c r="C208" t="s">
        <v>829</v>
      </c>
      <c r="D208" t="str">
        <f t="shared" si="61"/>
        <v>Sally Norris Webb</v>
      </c>
      <c r="E208" t="str">
        <f t="shared" si="62"/>
        <v>Sally</v>
      </c>
      <c r="F208" t="str">
        <f t="shared" si="63"/>
        <v>Webb</v>
      </c>
      <c r="G208" t="s">
        <v>1023</v>
      </c>
      <c r="H208" t="str">
        <f t="shared" si="64"/>
        <v>HR Analyst</v>
      </c>
      <c r="I208" t="s">
        <v>1030</v>
      </c>
      <c r="J208" t="str">
        <f t="shared" si="65"/>
        <v>Finance</v>
      </c>
      <c r="K208" t="s">
        <v>1034</v>
      </c>
      <c r="L208" t="str">
        <f t="shared" si="66"/>
        <v>Scotland</v>
      </c>
      <c r="M208" t="s">
        <v>1043</v>
      </c>
      <c r="N208" t="s">
        <v>1050</v>
      </c>
      <c r="O208" t="str">
        <f t="shared" si="67"/>
        <v>Reed</v>
      </c>
      <c r="P208" t="s">
        <v>1241</v>
      </c>
      <c r="Q208" s="9">
        <f t="shared" si="51"/>
        <v>45502</v>
      </c>
      <c r="R208" t="s">
        <v>1250</v>
      </c>
      <c r="S208" s="9">
        <f t="shared" si="52"/>
        <v>45509</v>
      </c>
      <c r="T208" t="s">
        <v>1399</v>
      </c>
      <c r="U208" s="9">
        <f t="shared" si="53"/>
        <v>45518</v>
      </c>
      <c r="W208" s="9" t="str">
        <f t="shared" si="54"/>
        <v/>
      </c>
      <c r="X208" t="s">
        <v>1618</v>
      </c>
      <c r="Y208" s="15">
        <v>50460</v>
      </c>
      <c r="Z208" s="15">
        <v>47702</v>
      </c>
      <c r="AA208" t="s">
        <v>1621</v>
      </c>
      <c r="AB208" t="s">
        <v>1627</v>
      </c>
      <c r="AC208" s="17">
        <v>4.4000000000000004</v>
      </c>
      <c r="AF208" t="str">
        <f t="shared" si="55"/>
        <v>07-29-2024</v>
      </c>
      <c r="AG208" t="str">
        <f t="shared" si="56"/>
        <v>05/08/2024</v>
      </c>
      <c r="AH208" t="str">
        <f t="shared" si="57"/>
        <v>14/08/2024</v>
      </c>
      <c r="AI208" t="str">
        <f t="shared" si="58"/>
        <v/>
      </c>
      <c r="AJ208" t="str">
        <f t="shared" si="59"/>
        <v>Not Found</v>
      </c>
      <c r="AK208" t="str">
        <f t="shared" si="60"/>
        <v>Not Found</v>
      </c>
    </row>
    <row r="209" spans="1:37" x14ac:dyDescent="0.35">
      <c r="A209" t="s">
        <v>225</v>
      </c>
      <c r="B209" t="s">
        <v>568</v>
      </c>
      <c r="C209" t="s">
        <v>830</v>
      </c>
      <c r="D209" t="str">
        <f t="shared" si="61"/>
        <v>Iain Murphy</v>
      </c>
      <c r="E209" t="str">
        <f t="shared" si="62"/>
        <v>Iain</v>
      </c>
      <c r="F209" t="str">
        <f t="shared" si="63"/>
        <v>Murphy</v>
      </c>
      <c r="G209" t="s">
        <v>1022</v>
      </c>
      <c r="H209" t="str">
        <f t="shared" si="64"/>
        <v>Reporting Analyst</v>
      </c>
      <c r="I209" t="s">
        <v>1031</v>
      </c>
      <c r="J209" t="str">
        <f t="shared" si="65"/>
        <v>Technology</v>
      </c>
      <c r="K209" t="s">
        <v>1036</v>
      </c>
      <c r="L209" t="str">
        <f t="shared" si="66"/>
        <v>London</v>
      </c>
      <c r="M209" t="s">
        <v>1043</v>
      </c>
      <c r="N209" t="s">
        <v>1049</v>
      </c>
      <c r="O209" t="str">
        <f t="shared" si="67"/>
        <v>Indeed</v>
      </c>
      <c r="P209" t="s">
        <v>1242</v>
      </c>
      <c r="Q209" s="9">
        <f t="shared" si="51"/>
        <v>45671</v>
      </c>
      <c r="S209" s="9" t="str">
        <f t="shared" si="52"/>
        <v/>
      </c>
      <c r="U209" s="9" t="str">
        <f t="shared" si="53"/>
        <v/>
      </c>
      <c r="W209" s="9" t="str">
        <f t="shared" si="54"/>
        <v/>
      </c>
      <c r="X209" t="s">
        <v>1616</v>
      </c>
      <c r="Y209" s="15">
        <v>49582</v>
      </c>
      <c r="AA209" t="s">
        <v>1621</v>
      </c>
      <c r="AB209" t="s">
        <v>1628</v>
      </c>
      <c r="AC209" s="17">
        <v>4.5</v>
      </c>
      <c r="AF209" t="str">
        <f t="shared" si="55"/>
        <v>01-14-2025</v>
      </c>
      <c r="AG209" t="str">
        <f t="shared" si="56"/>
        <v/>
      </c>
      <c r="AH209" t="str">
        <f t="shared" si="57"/>
        <v/>
      </c>
      <c r="AI209" t="str">
        <f t="shared" si="58"/>
        <v/>
      </c>
      <c r="AJ209" t="str">
        <f t="shared" si="59"/>
        <v>Not Found</v>
      </c>
      <c r="AK209" t="str">
        <f t="shared" si="60"/>
        <v>Not Found</v>
      </c>
    </row>
    <row r="210" spans="1:37" x14ac:dyDescent="0.35">
      <c r="A210" t="s">
        <v>226</v>
      </c>
      <c r="B210" t="s">
        <v>445</v>
      </c>
      <c r="C210" t="s">
        <v>831</v>
      </c>
      <c r="D210" t="str">
        <f t="shared" si="61"/>
        <v>Mathew Clarke</v>
      </c>
      <c r="E210" t="str">
        <f t="shared" si="62"/>
        <v>Mathew</v>
      </c>
      <c r="F210" t="str">
        <f t="shared" si="63"/>
        <v>Clarke</v>
      </c>
      <c r="G210" t="s">
        <v>1025</v>
      </c>
      <c r="H210" t="str">
        <f t="shared" si="64"/>
        <v>Finance Analyst</v>
      </c>
      <c r="I210" t="s">
        <v>1028</v>
      </c>
      <c r="J210" t="str">
        <f t="shared" si="65"/>
        <v>HR</v>
      </c>
      <c r="K210" t="s">
        <v>1036</v>
      </c>
      <c r="L210" t="str">
        <f t="shared" si="66"/>
        <v>London</v>
      </c>
      <c r="M210" t="s">
        <v>1042</v>
      </c>
      <c r="N210" t="s">
        <v>1049</v>
      </c>
      <c r="O210" t="str">
        <f t="shared" si="67"/>
        <v>Indeed</v>
      </c>
      <c r="P210" t="s">
        <v>1243</v>
      </c>
      <c r="Q210" s="9">
        <f t="shared" si="51"/>
        <v>45609</v>
      </c>
      <c r="R210" t="s">
        <v>1131</v>
      </c>
      <c r="S210" s="9">
        <f t="shared" si="52"/>
        <v>45626</v>
      </c>
      <c r="T210" t="s">
        <v>1554</v>
      </c>
      <c r="U210" s="9">
        <f t="shared" si="53"/>
        <v>45651</v>
      </c>
      <c r="V210" t="s">
        <v>1415</v>
      </c>
      <c r="W210" s="9">
        <f t="shared" si="54"/>
        <v>45630</v>
      </c>
      <c r="X210" t="s">
        <v>1620</v>
      </c>
      <c r="Y210" s="15">
        <v>29422</v>
      </c>
      <c r="Z210" s="15">
        <v>28114</v>
      </c>
      <c r="AA210" t="s">
        <v>1623</v>
      </c>
      <c r="AB210" t="s">
        <v>1628</v>
      </c>
      <c r="AC210" s="17">
        <v>3.7</v>
      </c>
      <c r="AF210" t="str">
        <f t="shared" si="55"/>
        <v>11-13-2024</v>
      </c>
      <c r="AG210" t="str">
        <f t="shared" si="56"/>
        <v>2024/11/30</v>
      </c>
      <c r="AH210" t="str">
        <f t="shared" si="57"/>
        <v>12-25-2024</v>
      </c>
      <c r="AI210" t="str">
        <f t="shared" si="58"/>
        <v>12-04-2024</v>
      </c>
      <c r="AJ210" t="str">
        <f t="shared" si="59"/>
        <v>Not Found</v>
      </c>
      <c r="AK210" t="str">
        <f t="shared" si="60"/>
        <v>Not Found</v>
      </c>
    </row>
    <row r="211" spans="1:37" x14ac:dyDescent="0.35">
      <c r="A211" t="s">
        <v>227</v>
      </c>
      <c r="B211" t="s">
        <v>569</v>
      </c>
      <c r="C211" t="s">
        <v>832</v>
      </c>
      <c r="D211" t="str">
        <f t="shared" si="61"/>
        <v>Jenna Jackson</v>
      </c>
      <c r="E211" t="str">
        <f t="shared" si="62"/>
        <v>Jenna</v>
      </c>
      <c r="F211" t="str">
        <f t="shared" si="63"/>
        <v>Jackson</v>
      </c>
      <c r="G211" t="s">
        <v>1025</v>
      </c>
      <c r="H211" t="str">
        <f t="shared" si="64"/>
        <v>Finance Analyst</v>
      </c>
      <c r="I211" t="s">
        <v>1032</v>
      </c>
      <c r="J211" t="str">
        <f t="shared" si="65"/>
        <v>Operations</v>
      </c>
      <c r="K211" t="s">
        <v>1038</v>
      </c>
      <c r="L211" t="str">
        <f t="shared" si="66"/>
        <v>East Midlands</v>
      </c>
      <c r="M211" t="s">
        <v>1041</v>
      </c>
      <c r="N211" t="s">
        <v>1048</v>
      </c>
      <c r="O211" t="str">
        <f t="shared" si="67"/>
        <v>Referral</v>
      </c>
      <c r="P211" t="s">
        <v>1244</v>
      </c>
      <c r="Q211" s="9">
        <f t="shared" si="51"/>
        <v>45688</v>
      </c>
      <c r="S211" s="9" t="str">
        <f t="shared" si="52"/>
        <v/>
      </c>
      <c r="U211" s="9" t="str">
        <f t="shared" si="53"/>
        <v/>
      </c>
      <c r="W211" s="9" t="str">
        <f t="shared" si="54"/>
        <v/>
      </c>
      <c r="X211" t="s">
        <v>1616</v>
      </c>
      <c r="Y211" s="15">
        <v>41832</v>
      </c>
      <c r="AA211" t="s">
        <v>1623</v>
      </c>
      <c r="AB211" t="s">
        <v>1627</v>
      </c>
      <c r="AC211" s="17">
        <v>3.2</v>
      </c>
      <c r="AF211" t="str">
        <f t="shared" si="55"/>
        <v>2025/01/31</v>
      </c>
      <c r="AG211" t="str">
        <f t="shared" si="56"/>
        <v/>
      </c>
      <c r="AH211" t="str">
        <f t="shared" si="57"/>
        <v/>
      </c>
      <c r="AI211" t="str">
        <f t="shared" si="58"/>
        <v/>
      </c>
      <c r="AJ211" t="str">
        <f t="shared" si="59"/>
        <v>Not Found</v>
      </c>
      <c r="AK211" t="str">
        <f t="shared" si="60"/>
        <v>Not Found</v>
      </c>
    </row>
    <row r="212" spans="1:37" x14ac:dyDescent="0.35">
      <c r="A212" t="s">
        <v>228</v>
      </c>
      <c r="B212" t="s">
        <v>570</v>
      </c>
      <c r="C212" t="s">
        <v>833</v>
      </c>
      <c r="D212" t="str">
        <f t="shared" si="61"/>
        <v>Hayley Gould</v>
      </c>
      <c r="E212" t="str">
        <f t="shared" si="62"/>
        <v>Hayley</v>
      </c>
      <c r="F212" t="str">
        <f t="shared" si="63"/>
        <v>Gould</v>
      </c>
      <c r="G212" t="s">
        <v>1026</v>
      </c>
      <c r="H212" t="str">
        <f t="shared" si="64"/>
        <v>BI Analyst</v>
      </c>
      <c r="I212" t="s">
        <v>1032</v>
      </c>
      <c r="J212" t="str">
        <f t="shared" si="65"/>
        <v>Operations</v>
      </c>
      <c r="K212" t="s">
        <v>1040</v>
      </c>
      <c r="L212" t="str">
        <f t="shared" si="66"/>
        <v>North West</v>
      </c>
      <c r="M212" t="s">
        <v>1045</v>
      </c>
      <c r="N212" t="s">
        <v>1049</v>
      </c>
      <c r="O212" t="str">
        <f t="shared" si="67"/>
        <v>Indeed</v>
      </c>
      <c r="P212" t="s">
        <v>1245</v>
      </c>
      <c r="Q212" s="9">
        <f t="shared" si="51"/>
        <v>45414</v>
      </c>
      <c r="S212" s="9" t="str">
        <f t="shared" si="52"/>
        <v/>
      </c>
      <c r="U212" s="9" t="str">
        <f t="shared" si="53"/>
        <v/>
      </c>
      <c r="W212" s="9" t="str">
        <f t="shared" si="54"/>
        <v/>
      </c>
      <c r="X212" t="s">
        <v>1616</v>
      </c>
      <c r="Y212" s="15">
        <v>51757</v>
      </c>
      <c r="AA212" t="s">
        <v>1621</v>
      </c>
      <c r="AB212" t="s">
        <v>1627</v>
      </c>
      <c r="AC212" s="17">
        <v>4.5</v>
      </c>
      <c r="AF212" t="str">
        <f t="shared" si="55"/>
        <v>2024/05/02</v>
      </c>
      <c r="AG212" t="str">
        <f t="shared" si="56"/>
        <v/>
      </c>
      <c r="AH212" t="str">
        <f t="shared" si="57"/>
        <v/>
      </c>
      <c r="AI212" t="str">
        <f t="shared" si="58"/>
        <v/>
      </c>
      <c r="AJ212" t="str">
        <f t="shared" si="59"/>
        <v>Not Found</v>
      </c>
      <c r="AK212" t="str">
        <f t="shared" si="60"/>
        <v>Not Found</v>
      </c>
    </row>
    <row r="213" spans="1:37" x14ac:dyDescent="0.35">
      <c r="A213" t="s">
        <v>229</v>
      </c>
      <c r="B213" t="s">
        <v>571</v>
      </c>
      <c r="C213" t="s">
        <v>834</v>
      </c>
      <c r="D213" t="str">
        <f t="shared" si="61"/>
        <v>Tina Morris</v>
      </c>
      <c r="E213" t="str">
        <f t="shared" si="62"/>
        <v>Tina</v>
      </c>
      <c r="F213" t="str">
        <f t="shared" si="63"/>
        <v>Morris</v>
      </c>
      <c r="G213" t="s">
        <v>1023</v>
      </c>
      <c r="H213" t="str">
        <f t="shared" si="64"/>
        <v>HR Analyst</v>
      </c>
      <c r="I213" t="s">
        <v>1028</v>
      </c>
      <c r="J213" t="str">
        <f t="shared" si="65"/>
        <v>HR</v>
      </c>
      <c r="K213" t="s">
        <v>1039</v>
      </c>
      <c r="L213" t="str">
        <f t="shared" si="66"/>
        <v>South East</v>
      </c>
      <c r="M213" t="s">
        <v>1042</v>
      </c>
      <c r="N213" t="s">
        <v>1047</v>
      </c>
      <c r="O213" t="str">
        <f t="shared" si="67"/>
        <v>Linkedln</v>
      </c>
      <c r="P213" t="s">
        <v>1246</v>
      </c>
      <c r="Q213" s="9">
        <f t="shared" si="51"/>
        <v>45660</v>
      </c>
      <c r="S213" s="9" t="str">
        <f t="shared" si="52"/>
        <v/>
      </c>
      <c r="U213" s="9" t="str">
        <f t="shared" si="53"/>
        <v/>
      </c>
      <c r="W213" s="9" t="str">
        <f t="shared" si="54"/>
        <v/>
      </c>
      <c r="X213" t="s">
        <v>1619</v>
      </c>
      <c r="Y213" s="15">
        <v>51875</v>
      </c>
      <c r="AA213" t="s">
        <v>1624</v>
      </c>
      <c r="AB213" t="s">
        <v>1628</v>
      </c>
      <c r="AF213" t="str">
        <f t="shared" si="55"/>
        <v>2025/01/03</v>
      </c>
      <c r="AG213" t="str">
        <f t="shared" si="56"/>
        <v/>
      </c>
      <c r="AH213" t="str">
        <f t="shared" si="57"/>
        <v/>
      </c>
      <c r="AI213" t="str">
        <f t="shared" si="58"/>
        <v/>
      </c>
      <c r="AJ213" t="str">
        <f t="shared" si="59"/>
        <v>Not Found</v>
      </c>
      <c r="AK213" t="str">
        <f t="shared" si="60"/>
        <v>Not Found</v>
      </c>
    </row>
    <row r="214" spans="1:37" x14ac:dyDescent="0.35">
      <c r="A214" t="s">
        <v>230</v>
      </c>
      <c r="B214" t="s">
        <v>572</v>
      </c>
      <c r="C214" t="s">
        <v>835</v>
      </c>
      <c r="D214" t="str">
        <f t="shared" si="61"/>
        <v>Martin Robinson</v>
      </c>
      <c r="E214" t="str">
        <f t="shared" si="62"/>
        <v>Martin</v>
      </c>
      <c r="F214" t="str">
        <f t="shared" si="63"/>
        <v>Robinson</v>
      </c>
      <c r="G214" t="s">
        <v>1027</v>
      </c>
      <c r="H214" t="str">
        <f t="shared" si="64"/>
        <v>Data Analyst</v>
      </c>
      <c r="I214" t="s">
        <v>1028</v>
      </c>
      <c r="J214" t="str">
        <f t="shared" si="65"/>
        <v>HR</v>
      </c>
      <c r="K214" t="s">
        <v>1033</v>
      </c>
      <c r="L214" t="str">
        <f t="shared" si="66"/>
        <v>Midlands</v>
      </c>
      <c r="M214" t="s">
        <v>1043</v>
      </c>
      <c r="N214" t="s">
        <v>1048</v>
      </c>
      <c r="O214" t="str">
        <f t="shared" si="67"/>
        <v>Referral</v>
      </c>
      <c r="P214" t="s">
        <v>1247</v>
      </c>
      <c r="Q214" s="9">
        <f t="shared" si="51"/>
        <v>45440</v>
      </c>
      <c r="R214" t="s">
        <v>1460</v>
      </c>
      <c r="S214" s="9">
        <f t="shared" si="52"/>
        <v>45464</v>
      </c>
      <c r="U214" s="9" t="str">
        <f t="shared" si="53"/>
        <v/>
      </c>
      <c r="W214" s="9" t="str">
        <f t="shared" si="54"/>
        <v/>
      </c>
      <c r="X214" t="s">
        <v>1615</v>
      </c>
      <c r="Y214" s="15">
        <v>48121</v>
      </c>
      <c r="AA214" t="s">
        <v>1625</v>
      </c>
      <c r="AB214" t="s">
        <v>1628</v>
      </c>
      <c r="AC214" s="17">
        <v>3.1</v>
      </c>
      <c r="AF214" t="str">
        <f t="shared" si="55"/>
        <v>2024/05/28</v>
      </c>
      <c r="AG214" t="str">
        <f t="shared" si="56"/>
        <v>21/06/2024</v>
      </c>
      <c r="AH214" t="str">
        <f t="shared" si="57"/>
        <v/>
      </c>
      <c r="AI214" t="str">
        <f t="shared" si="58"/>
        <v/>
      </c>
      <c r="AJ214" t="str">
        <f t="shared" si="59"/>
        <v>Not Found</v>
      </c>
      <c r="AK214" t="str">
        <f t="shared" si="60"/>
        <v>Not Found</v>
      </c>
    </row>
    <row r="215" spans="1:37" x14ac:dyDescent="0.35">
      <c r="A215" t="s">
        <v>231</v>
      </c>
      <c r="B215" t="s">
        <v>573</v>
      </c>
      <c r="C215" t="s">
        <v>836</v>
      </c>
      <c r="D215" t="str">
        <f t="shared" si="61"/>
        <v>Marc Taylor</v>
      </c>
      <c r="E215" t="str">
        <f t="shared" si="62"/>
        <v>Marc</v>
      </c>
      <c r="F215" t="str">
        <f t="shared" si="63"/>
        <v>Taylor</v>
      </c>
      <c r="G215" t="s">
        <v>1024</v>
      </c>
      <c r="H215" t="str">
        <f t="shared" si="64"/>
        <v>Business Analyst</v>
      </c>
      <c r="I215" t="s">
        <v>1030</v>
      </c>
      <c r="J215" t="str">
        <f t="shared" si="65"/>
        <v>Finance</v>
      </c>
      <c r="K215" t="s">
        <v>1039</v>
      </c>
      <c r="L215" t="str">
        <f t="shared" si="66"/>
        <v>South East</v>
      </c>
      <c r="M215" t="s">
        <v>1043</v>
      </c>
      <c r="N215" t="s">
        <v>1046</v>
      </c>
      <c r="O215" t="str">
        <f t="shared" si="67"/>
        <v>Linkedln</v>
      </c>
      <c r="P215" t="s">
        <v>1248</v>
      </c>
      <c r="Q215" s="9">
        <f t="shared" si="51"/>
        <v>45708</v>
      </c>
      <c r="R215" t="s">
        <v>1461</v>
      </c>
      <c r="S215" s="9">
        <f t="shared" si="52"/>
        <v>45713</v>
      </c>
      <c r="U215" s="9" t="str">
        <f t="shared" si="53"/>
        <v/>
      </c>
      <c r="W215" s="9" t="str">
        <f t="shared" si="54"/>
        <v/>
      </c>
      <c r="X215" t="s">
        <v>1615</v>
      </c>
      <c r="Y215" s="15">
        <v>44094</v>
      </c>
      <c r="AA215" t="s">
        <v>1625</v>
      </c>
      <c r="AB215" t="s">
        <v>1627</v>
      </c>
      <c r="AC215" s="17">
        <v>3.9</v>
      </c>
      <c r="AF215" t="str">
        <f t="shared" si="55"/>
        <v>2025/02/20</v>
      </c>
      <c r="AG215" t="str">
        <f t="shared" si="56"/>
        <v>02-25-2025</v>
      </c>
      <c r="AH215" t="str">
        <f t="shared" si="57"/>
        <v/>
      </c>
      <c r="AI215" t="str">
        <f t="shared" si="58"/>
        <v/>
      </c>
      <c r="AJ215" t="str">
        <f t="shared" si="59"/>
        <v>Not Found</v>
      </c>
      <c r="AK215" t="str">
        <f t="shared" si="60"/>
        <v>Not Found</v>
      </c>
    </row>
    <row r="216" spans="1:37" x14ac:dyDescent="0.35">
      <c r="A216" t="s">
        <v>232</v>
      </c>
      <c r="B216" t="s">
        <v>430</v>
      </c>
      <c r="C216" t="s">
        <v>837</v>
      </c>
      <c r="D216" t="str">
        <f t="shared" si="61"/>
        <v>Fiona Webb</v>
      </c>
      <c r="E216" t="str">
        <f t="shared" si="62"/>
        <v>Fiona</v>
      </c>
      <c r="F216" t="str">
        <f t="shared" si="63"/>
        <v>Webb</v>
      </c>
      <c r="G216" t="s">
        <v>1025</v>
      </c>
      <c r="H216" t="str">
        <f t="shared" si="64"/>
        <v>Finance Analyst</v>
      </c>
      <c r="I216" t="s">
        <v>1032</v>
      </c>
      <c r="J216" t="str">
        <f t="shared" si="65"/>
        <v>Operations</v>
      </c>
      <c r="K216" t="s">
        <v>1040</v>
      </c>
      <c r="L216" t="str">
        <f t="shared" si="66"/>
        <v>North West</v>
      </c>
      <c r="M216" t="s">
        <v>1042</v>
      </c>
      <c r="N216" t="s">
        <v>1051</v>
      </c>
      <c r="O216" t="str">
        <f t="shared" si="67"/>
        <v>CV Library</v>
      </c>
      <c r="P216" t="s">
        <v>1249</v>
      </c>
      <c r="Q216" s="9">
        <f t="shared" si="51"/>
        <v>45635</v>
      </c>
      <c r="R216" t="s">
        <v>1462</v>
      </c>
      <c r="S216" s="9">
        <f t="shared" si="52"/>
        <v>45643</v>
      </c>
      <c r="U216" s="9" t="str">
        <f t="shared" si="53"/>
        <v/>
      </c>
      <c r="W216" s="9" t="str">
        <f t="shared" si="54"/>
        <v/>
      </c>
      <c r="X216" t="s">
        <v>1615</v>
      </c>
      <c r="Y216" s="15">
        <v>28263</v>
      </c>
      <c r="AA216" t="s">
        <v>1624</v>
      </c>
      <c r="AB216" t="s">
        <v>1626</v>
      </c>
      <c r="AC216" s="17">
        <v>4.9000000000000004</v>
      </c>
      <c r="AF216" t="str">
        <f t="shared" si="55"/>
        <v>12-09-2024</v>
      </c>
      <c r="AG216" t="str">
        <f t="shared" si="56"/>
        <v>17/12/2024</v>
      </c>
      <c r="AH216" t="str">
        <f t="shared" si="57"/>
        <v/>
      </c>
      <c r="AI216" t="str">
        <f t="shared" si="58"/>
        <v/>
      </c>
      <c r="AJ216" t="str">
        <f t="shared" si="59"/>
        <v>Not Found</v>
      </c>
      <c r="AK216" t="str">
        <f t="shared" si="60"/>
        <v>Not Found</v>
      </c>
    </row>
    <row r="217" spans="1:37" x14ac:dyDescent="0.35">
      <c r="A217" t="s">
        <v>233</v>
      </c>
      <c r="B217" t="s">
        <v>531</v>
      </c>
      <c r="C217" t="s">
        <v>838</v>
      </c>
      <c r="D217" t="str">
        <f t="shared" si="61"/>
        <v>Elaine Price</v>
      </c>
      <c r="E217" t="str">
        <f t="shared" si="62"/>
        <v>Elaine</v>
      </c>
      <c r="F217" t="str">
        <f t="shared" si="63"/>
        <v>Price</v>
      </c>
      <c r="G217" t="s">
        <v>1027</v>
      </c>
      <c r="H217" t="str">
        <f t="shared" si="64"/>
        <v>Data Analyst</v>
      </c>
      <c r="I217" t="s">
        <v>1029</v>
      </c>
      <c r="J217" t="str">
        <f t="shared" si="65"/>
        <v>Commercial</v>
      </c>
      <c r="K217" t="s">
        <v>1039</v>
      </c>
      <c r="L217" t="str">
        <f t="shared" si="66"/>
        <v>South East</v>
      </c>
      <c r="M217" t="s">
        <v>1041</v>
      </c>
      <c r="N217" t="s">
        <v>1050</v>
      </c>
      <c r="O217" t="str">
        <f t="shared" si="67"/>
        <v>Reed</v>
      </c>
      <c r="P217" t="s">
        <v>1161</v>
      </c>
      <c r="Q217" s="9">
        <f t="shared" si="51"/>
        <v>45484</v>
      </c>
      <c r="S217" s="9" t="str">
        <f t="shared" si="52"/>
        <v/>
      </c>
      <c r="U217" s="9" t="str">
        <f t="shared" si="53"/>
        <v/>
      </c>
      <c r="W217" s="9" t="str">
        <f t="shared" si="54"/>
        <v/>
      </c>
      <c r="X217" t="s">
        <v>1616</v>
      </c>
      <c r="Y217" s="15">
        <v>40494</v>
      </c>
      <c r="AA217" t="s">
        <v>1625</v>
      </c>
      <c r="AB217" t="s">
        <v>1626</v>
      </c>
      <c r="AC217" s="17">
        <v>3</v>
      </c>
      <c r="AF217" t="str">
        <f t="shared" si="55"/>
        <v>2024/07/11</v>
      </c>
      <c r="AG217" t="str">
        <f t="shared" si="56"/>
        <v/>
      </c>
      <c r="AH217" t="str">
        <f t="shared" si="57"/>
        <v/>
      </c>
      <c r="AI217" t="str">
        <f t="shared" si="58"/>
        <v/>
      </c>
      <c r="AJ217" t="str">
        <f t="shared" si="59"/>
        <v>Not Found</v>
      </c>
      <c r="AK217" t="str">
        <f t="shared" si="60"/>
        <v>Not Found</v>
      </c>
    </row>
    <row r="218" spans="1:37" x14ac:dyDescent="0.35">
      <c r="A218" t="s">
        <v>234</v>
      </c>
      <c r="B218" t="s">
        <v>423</v>
      </c>
      <c r="C218" t="s">
        <v>839</v>
      </c>
      <c r="D218" t="str">
        <f t="shared" si="61"/>
        <v>Clare Scott</v>
      </c>
      <c r="E218" t="str">
        <f t="shared" si="62"/>
        <v>Clare</v>
      </c>
      <c r="F218" t="str">
        <f t="shared" si="63"/>
        <v>Scott</v>
      </c>
      <c r="G218" t="s">
        <v>1025</v>
      </c>
      <c r="H218" t="str">
        <f t="shared" si="64"/>
        <v>Finance Analyst</v>
      </c>
      <c r="I218" t="s">
        <v>1031</v>
      </c>
      <c r="J218" t="str">
        <f t="shared" si="65"/>
        <v>Technology</v>
      </c>
      <c r="K218" t="s">
        <v>1036</v>
      </c>
      <c r="L218" t="str">
        <f t="shared" si="66"/>
        <v>London</v>
      </c>
      <c r="M218" t="s">
        <v>1042</v>
      </c>
      <c r="N218" t="s">
        <v>1052</v>
      </c>
      <c r="O218" t="str">
        <f t="shared" si="67"/>
        <v>Linkedln</v>
      </c>
      <c r="P218" t="s">
        <v>1236</v>
      </c>
      <c r="Q218" s="9">
        <f t="shared" si="51"/>
        <v>45731</v>
      </c>
      <c r="S218" s="9" t="str">
        <f t="shared" si="52"/>
        <v/>
      </c>
      <c r="U218" s="9" t="str">
        <f t="shared" si="53"/>
        <v/>
      </c>
      <c r="W218" s="9" t="str">
        <f t="shared" si="54"/>
        <v/>
      </c>
      <c r="X218" t="s">
        <v>1619</v>
      </c>
      <c r="Y218" s="15">
        <v>41242</v>
      </c>
      <c r="AA218" t="s">
        <v>1622</v>
      </c>
      <c r="AB218" t="s">
        <v>1627</v>
      </c>
      <c r="AC218" s="17">
        <v>4.5999999999999996</v>
      </c>
      <c r="AF218" t="str">
        <f t="shared" si="55"/>
        <v>2025/03/15</v>
      </c>
      <c r="AG218" t="str">
        <f t="shared" si="56"/>
        <v/>
      </c>
      <c r="AH218" t="str">
        <f t="shared" si="57"/>
        <v/>
      </c>
      <c r="AI218" t="str">
        <f t="shared" si="58"/>
        <v/>
      </c>
      <c r="AJ218" t="str">
        <f t="shared" si="59"/>
        <v>Not Found</v>
      </c>
      <c r="AK218" t="str">
        <f t="shared" si="60"/>
        <v>Not Found</v>
      </c>
    </row>
    <row r="219" spans="1:37" x14ac:dyDescent="0.35">
      <c r="A219" t="s">
        <v>235</v>
      </c>
      <c r="B219" t="s">
        <v>487</v>
      </c>
      <c r="C219" t="s">
        <v>840</v>
      </c>
      <c r="D219" t="str">
        <f t="shared" si="61"/>
        <v>Jake Vincent Patel</v>
      </c>
      <c r="E219" t="str">
        <f t="shared" si="62"/>
        <v>Jake</v>
      </c>
      <c r="F219" t="str">
        <f t="shared" si="63"/>
        <v>Patel</v>
      </c>
      <c r="G219" t="s">
        <v>1024</v>
      </c>
      <c r="H219" t="str">
        <f t="shared" si="64"/>
        <v>Business Analyst</v>
      </c>
      <c r="I219" t="s">
        <v>1028</v>
      </c>
      <c r="J219" t="str">
        <f t="shared" si="65"/>
        <v>HR</v>
      </c>
      <c r="K219" t="s">
        <v>1040</v>
      </c>
      <c r="L219" t="str">
        <f t="shared" si="66"/>
        <v>North West</v>
      </c>
      <c r="M219" t="s">
        <v>1041</v>
      </c>
      <c r="N219" t="s">
        <v>1050</v>
      </c>
      <c r="O219" t="str">
        <f t="shared" si="67"/>
        <v>Reed</v>
      </c>
      <c r="P219" t="s">
        <v>1250</v>
      </c>
      <c r="Q219" s="9">
        <f t="shared" si="51"/>
        <v>45509</v>
      </c>
      <c r="S219" s="9" t="str">
        <f t="shared" si="52"/>
        <v/>
      </c>
      <c r="U219" s="9" t="str">
        <f t="shared" si="53"/>
        <v/>
      </c>
      <c r="W219" s="9" t="str">
        <f t="shared" si="54"/>
        <v/>
      </c>
      <c r="X219" t="s">
        <v>1616</v>
      </c>
      <c r="Y219" s="15">
        <v>47884</v>
      </c>
      <c r="AA219" t="s">
        <v>1624</v>
      </c>
      <c r="AB219" t="s">
        <v>1626</v>
      </c>
      <c r="AC219" s="17">
        <v>4.5</v>
      </c>
      <c r="AF219" t="str">
        <f t="shared" si="55"/>
        <v>05/08/2024</v>
      </c>
      <c r="AG219" t="str">
        <f t="shared" si="56"/>
        <v/>
      </c>
      <c r="AH219" t="str">
        <f t="shared" si="57"/>
        <v/>
      </c>
      <c r="AI219" t="str">
        <f t="shared" si="58"/>
        <v/>
      </c>
      <c r="AJ219" t="str">
        <f t="shared" si="59"/>
        <v>Not Found</v>
      </c>
      <c r="AK219" t="str">
        <f t="shared" si="60"/>
        <v>Not Found</v>
      </c>
    </row>
    <row r="220" spans="1:37" x14ac:dyDescent="0.35">
      <c r="A220" t="s">
        <v>236</v>
      </c>
      <c r="B220" t="s">
        <v>574</v>
      </c>
      <c r="C220" t="s">
        <v>841</v>
      </c>
      <c r="D220" t="str">
        <f t="shared" si="61"/>
        <v>Lydia Dale</v>
      </c>
      <c r="E220" t="str">
        <f t="shared" si="62"/>
        <v>Lydia</v>
      </c>
      <c r="F220" t="str">
        <f t="shared" si="63"/>
        <v>Dale</v>
      </c>
      <c r="G220" t="s">
        <v>1024</v>
      </c>
      <c r="H220" t="str">
        <f t="shared" si="64"/>
        <v>Business Analyst</v>
      </c>
      <c r="I220" t="s">
        <v>1032</v>
      </c>
      <c r="J220" t="str">
        <f t="shared" si="65"/>
        <v>Operations</v>
      </c>
      <c r="K220" t="s">
        <v>1038</v>
      </c>
      <c r="L220" t="str">
        <f t="shared" si="66"/>
        <v>East Midlands</v>
      </c>
      <c r="M220" t="s">
        <v>1041</v>
      </c>
      <c r="N220" t="s">
        <v>1052</v>
      </c>
      <c r="O220" t="str">
        <f t="shared" si="67"/>
        <v>Linkedln</v>
      </c>
      <c r="P220" t="s">
        <v>1251</v>
      </c>
      <c r="Q220" s="9">
        <f t="shared" si="51"/>
        <v>45525</v>
      </c>
      <c r="R220" t="s">
        <v>1463</v>
      </c>
      <c r="S220" s="9">
        <f t="shared" si="52"/>
        <v>45536</v>
      </c>
      <c r="T220" t="s">
        <v>1555</v>
      </c>
      <c r="U220" s="9">
        <f t="shared" si="53"/>
        <v>45551</v>
      </c>
      <c r="W220" s="9" t="str">
        <f t="shared" si="54"/>
        <v/>
      </c>
      <c r="X220" t="s">
        <v>1618</v>
      </c>
      <c r="Y220" s="15">
        <v>47103</v>
      </c>
      <c r="Z220" s="15">
        <v>45973</v>
      </c>
      <c r="AA220" t="s">
        <v>1623</v>
      </c>
      <c r="AB220" t="s">
        <v>1627</v>
      </c>
      <c r="AC220" s="17">
        <v>3.3</v>
      </c>
      <c r="AF220" t="str">
        <f t="shared" si="55"/>
        <v>2024/08/21</v>
      </c>
      <c r="AG220" t="str">
        <f t="shared" si="56"/>
        <v>2024/09/01</v>
      </c>
      <c r="AH220" t="str">
        <f t="shared" si="57"/>
        <v>16/09/2024</v>
      </c>
      <c r="AI220" t="str">
        <f t="shared" si="58"/>
        <v/>
      </c>
      <c r="AJ220" t="str">
        <f t="shared" si="59"/>
        <v>Not Found</v>
      </c>
      <c r="AK220" t="str">
        <f t="shared" si="60"/>
        <v>Not Found</v>
      </c>
    </row>
    <row r="221" spans="1:37" x14ac:dyDescent="0.35">
      <c r="A221" t="s">
        <v>237</v>
      </c>
      <c r="B221" t="s">
        <v>477</v>
      </c>
      <c r="C221" t="s">
        <v>842</v>
      </c>
      <c r="D221" t="str">
        <f t="shared" si="61"/>
        <v>Gail Robinson Dixon</v>
      </c>
      <c r="E221" t="str">
        <f t="shared" si="62"/>
        <v>Gail</v>
      </c>
      <c r="F221" t="str">
        <f t="shared" si="63"/>
        <v>Dixon</v>
      </c>
      <c r="G221" t="s">
        <v>1022</v>
      </c>
      <c r="H221" t="str">
        <f t="shared" si="64"/>
        <v>Reporting Analyst</v>
      </c>
      <c r="I221" t="s">
        <v>1030</v>
      </c>
      <c r="J221" t="str">
        <f t="shared" si="65"/>
        <v>Finance</v>
      </c>
      <c r="K221" t="s">
        <v>1040</v>
      </c>
      <c r="L221" t="str">
        <f t="shared" si="66"/>
        <v>North West</v>
      </c>
      <c r="M221" t="s">
        <v>1042</v>
      </c>
      <c r="N221" t="s">
        <v>1047</v>
      </c>
      <c r="O221" t="str">
        <f t="shared" si="67"/>
        <v>Linkedln</v>
      </c>
      <c r="P221" t="s">
        <v>1252</v>
      </c>
      <c r="Q221" s="9">
        <f t="shared" si="51"/>
        <v>45505</v>
      </c>
      <c r="R221" t="s">
        <v>1464</v>
      </c>
      <c r="S221" s="9">
        <f t="shared" si="52"/>
        <v>45516</v>
      </c>
      <c r="T221" t="s">
        <v>1556</v>
      </c>
      <c r="U221" s="9">
        <f t="shared" si="53"/>
        <v>45541</v>
      </c>
      <c r="W221" s="9" t="str">
        <f t="shared" si="54"/>
        <v/>
      </c>
      <c r="X221" t="s">
        <v>1618</v>
      </c>
      <c r="Y221" s="15">
        <v>39853</v>
      </c>
      <c r="Z221" s="15">
        <v>40676</v>
      </c>
      <c r="AA221" t="s">
        <v>1621</v>
      </c>
      <c r="AB221" t="s">
        <v>1626</v>
      </c>
      <c r="AC221" s="17">
        <v>3.2</v>
      </c>
      <c r="AF221" t="str">
        <f t="shared" si="55"/>
        <v>2024/08/01</v>
      </c>
      <c r="AG221" t="str">
        <f t="shared" si="56"/>
        <v>12/08/2024</v>
      </c>
      <c r="AH221" t="str">
        <f t="shared" si="57"/>
        <v>06/09/2024</v>
      </c>
      <c r="AI221" t="str">
        <f t="shared" si="58"/>
        <v/>
      </c>
      <c r="AJ221" t="str">
        <f t="shared" si="59"/>
        <v>Not Found</v>
      </c>
      <c r="AK221" t="str">
        <f t="shared" si="60"/>
        <v>Not Found</v>
      </c>
    </row>
    <row r="222" spans="1:37" x14ac:dyDescent="0.35">
      <c r="A222" t="s">
        <v>238</v>
      </c>
      <c r="B222" t="s">
        <v>418</v>
      </c>
      <c r="C222" t="s">
        <v>843</v>
      </c>
      <c r="D222" t="str">
        <f t="shared" si="61"/>
        <v>Duncan Mitchell</v>
      </c>
      <c r="E222" t="str">
        <f t="shared" si="62"/>
        <v>Duncan</v>
      </c>
      <c r="F222" t="str">
        <f t="shared" si="63"/>
        <v>Mitchell</v>
      </c>
      <c r="G222" t="s">
        <v>1027</v>
      </c>
      <c r="H222" t="str">
        <f t="shared" si="64"/>
        <v>Data Analyst</v>
      </c>
      <c r="I222" t="s">
        <v>1032</v>
      </c>
      <c r="J222" t="str">
        <f t="shared" si="65"/>
        <v>Operations</v>
      </c>
      <c r="K222" t="s">
        <v>1037</v>
      </c>
      <c r="L222" t="str">
        <f t="shared" si="66"/>
        <v>East Midlands</v>
      </c>
      <c r="M222" t="s">
        <v>1043</v>
      </c>
      <c r="N222" t="s">
        <v>1048</v>
      </c>
      <c r="O222" t="str">
        <f t="shared" si="67"/>
        <v>Referral</v>
      </c>
      <c r="P222" t="s">
        <v>1253</v>
      </c>
      <c r="Q222" s="9">
        <f t="shared" si="51"/>
        <v>45652</v>
      </c>
      <c r="S222" s="9" t="str">
        <f t="shared" si="52"/>
        <v/>
      </c>
      <c r="U222" s="9" t="str">
        <f t="shared" si="53"/>
        <v/>
      </c>
      <c r="W222" s="9" t="str">
        <f t="shared" si="54"/>
        <v/>
      </c>
      <c r="X222" t="s">
        <v>1616</v>
      </c>
      <c r="Y222" s="15">
        <v>38830</v>
      </c>
      <c r="AA222" t="s">
        <v>1622</v>
      </c>
      <c r="AB222" t="s">
        <v>1626</v>
      </c>
      <c r="AC222" s="17">
        <v>3.5</v>
      </c>
      <c r="AF222" t="str">
        <f t="shared" si="55"/>
        <v>12-26-2024</v>
      </c>
      <c r="AG222" t="str">
        <f t="shared" si="56"/>
        <v/>
      </c>
      <c r="AH222" t="str">
        <f t="shared" si="57"/>
        <v/>
      </c>
      <c r="AI222" t="str">
        <f t="shared" si="58"/>
        <v/>
      </c>
      <c r="AJ222" t="str">
        <f t="shared" si="59"/>
        <v>Not Found</v>
      </c>
      <c r="AK222" t="str">
        <f t="shared" si="60"/>
        <v>Not Found</v>
      </c>
    </row>
    <row r="223" spans="1:37" x14ac:dyDescent="0.35">
      <c r="A223" t="s">
        <v>239</v>
      </c>
      <c r="B223" t="s">
        <v>575</v>
      </c>
      <c r="C223" t="s">
        <v>844</v>
      </c>
      <c r="D223" t="str">
        <f t="shared" si="61"/>
        <v>Norman Jackson</v>
      </c>
      <c r="E223" t="str">
        <f t="shared" si="62"/>
        <v>Norman</v>
      </c>
      <c r="F223" t="str">
        <f t="shared" si="63"/>
        <v>Jackson</v>
      </c>
      <c r="G223" t="s">
        <v>1024</v>
      </c>
      <c r="H223" t="str">
        <f t="shared" si="64"/>
        <v>Business Analyst</v>
      </c>
      <c r="I223" t="s">
        <v>1028</v>
      </c>
      <c r="J223" t="str">
        <f t="shared" si="65"/>
        <v>HR</v>
      </c>
      <c r="K223" t="s">
        <v>1035</v>
      </c>
      <c r="L223" t="str">
        <f t="shared" si="66"/>
        <v>Yorkshire</v>
      </c>
      <c r="M223" t="s">
        <v>1043</v>
      </c>
      <c r="N223" t="s">
        <v>1047</v>
      </c>
      <c r="O223" t="str">
        <f t="shared" si="67"/>
        <v>Linkedln</v>
      </c>
      <c r="P223" t="s">
        <v>1254</v>
      </c>
      <c r="Q223" s="9">
        <f t="shared" si="51"/>
        <v>45381</v>
      </c>
      <c r="R223" t="s">
        <v>1130</v>
      </c>
      <c r="S223" s="9">
        <f t="shared" si="52"/>
        <v>45393</v>
      </c>
      <c r="U223" s="9" t="str">
        <f t="shared" si="53"/>
        <v/>
      </c>
      <c r="W223" s="9" t="str">
        <f t="shared" si="54"/>
        <v/>
      </c>
      <c r="X223" t="s">
        <v>1615</v>
      </c>
      <c r="Y223" s="15">
        <v>32923</v>
      </c>
      <c r="AA223" t="s">
        <v>1621</v>
      </c>
      <c r="AB223" t="s">
        <v>1627</v>
      </c>
      <c r="AC223" s="17">
        <v>2.7</v>
      </c>
      <c r="AF223" t="str">
        <f t="shared" si="55"/>
        <v>03-30-2024</v>
      </c>
      <c r="AG223" t="str">
        <f t="shared" si="56"/>
        <v>04-11-2024</v>
      </c>
      <c r="AH223" t="str">
        <f t="shared" si="57"/>
        <v/>
      </c>
      <c r="AI223" t="str">
        <f t="shared" si="58"/>
        <v/>
      </c>
      <c r="AJ223" t="str">
        <f t="shared" si="59"/>
        <v>Not Found</v>
      </c>
      <c r="AK223" t="str">
        <f t="shared" si="60"/>
        <v>Not Found</v>
      </c>
    </row>
    <row r="224" spans="1:37" x14ac:dyDescent="0.35">
      <c r="A224" t="s">
        <v>240</v>
      </c>
      <c r="B224" t="s">
        <v>441</v>
      </c>
      <c r="C224" t="s">
        <v>845</v>
      </c>
      <c r="D224" t="str">
        <f t="shared" si="61"/>
        <v>Jamie Brown</v>
      </c>
      <c r="E224" t="str">
        <f t="shared" si="62"/>
        <v>Jamie</v>
      </c>
      <c r="F224" t="str">
        <f t="shared" si="63"/>
        <v>Brown</v>
      </c>
      <c r="G224" t="s">
        <v>1026</v>
      </c>
      <c r="H224" t="str">
        <f t="shared" si="64"/>
        <v>BI Analyst</v>
      </c>
      <c r="I224" t="s">
        <v>1028</v>
      </c>
      <c r="J224" t="str">
        <f t="shared" si="65"/>
        <v>HR</v>
      </c>
      <c r="K224" t="s">
        <v>1034</v>
      </c>
      <c r="L224" t="str">
        <f t="shared" si="66"/>
        <v>Scotland</v>
      </c>
      <c r="M224" t="s">
        <v>1041</v>
      </c>
      <c r="N224" t="s">
        <v>1046</v>
      </c>
      <c r="O224" t="str">
        <f t="shared" si="67"/>
        <v>Linkedln</v>
      </c>
      <c r="P224" t="s">
        <v>1255</v>
      </c>
      <c r="Q224" s="9">
        <f t="shared" si="51"/>
        <v>45461</v>
      </c>
      <c r="S224" s="9" t="str">
        <f t="shared" si="52"/>
        <v/>
      </c>
      <c r="U224" s="9" t="str">
        <f t="shared" si="53"/>
        <v/>
      </c>
      <c r="W224" s="9" t="str">
        <f t="shared" si="54"/>
        <v/>
      </c>
      <c r="X224" t="s">
        <v>1616</v>
      </c>
      <c r="Y224" s="15">
        <v>33884</v>
      </c>
      <c r="AA224" t="s">
        <v>1623</v>
      </c>
      <c r="AB224" t="s">
        <v>1626</v>
      </c>
      <c r="AC224" s="17">
        <v>3.3</v>
      </c>
      <c r="AF224" t="str">
        <f t="shared" si="55"/>
        <v>18/06/2024</v>
      </c>
      <c r="AG224" t="str">
        <f t="shared" si="56"/>
        <v/>
      </c>
      <c r="AH224" t="str">
        <f t="shared" si="57"/>
        <v/>
      </c>
      <c r="AI224" t="str">
        <f t="shared" si="58"/>
        <v/>
      </c>
      <c r="AJ224" t="str">
        <f t="shared" si="59"/>
        <v>Not Found</v>
      </c>
      <c r="AK224" t="str">
        <f t="shared" si="60"/>
        <v>Not Found</v>
      </c>
    </row>
    <row r="225" spans="1:37" x14ac:dyDescent="0.35">
      <c r="A225" t="s">
        <v>241</v>
      </c>
      <c r="B225" t="s">
        <v>425</v>
      </c>
      <c r="C225" t="s">
        <v>846</v>
      </c>
      <c r="D225" t="str">
        <f t="shared" si="61"/>
        <v>Stewart Jackson</v>
      </c>
      <c r="E225" t="str">
        <f t="shared" si="62"/>
        <v>Stewart</v>
      </c>
      <c r="F225" t="str">
        <f t="shared" si="63"/>
        <v>Jackson</v>
      </c>
      <c r="G225" t="s">
        <v>1026</v>
      </c>
      <c r="H225" t="str">
        <f t="shared" si="64"/>
        <v>BI Analyst</v>
      </c>
      <c r="I225" t="s">
        <v>1028</v>
      </c>
      <c r="J225" t="str">
        <f t="shared" si="65"/>
        <v>HR</v>
      </c>
      <c r="K225" t="s">
        <v>1039</v>
      </c>
      <c r="L225" t="str">
        <f t="shared" si="66"/>
        <v>South East</v>
      </c>
      <c r="M225" t="s">
        <v>1045</v>
      </c>
      <c r="N225" t="s">
        <v>1052</v>
      </c>
      <c r="O225" t="str">
        <f t="shared" si="67"/>
        <v>Linkedln</v>
      </c>
      <c r="P225" t="s">
        <v>1232</v>
      </c>
      <c r="Q225" s="9">
        <f t="shared" si="51"/>
        <v>45680</v>
      </c>
      <c r="S225" s="9" t="str">
        <f t="shared" si="52"/>
        <v/>
      </c>
      <c r="U225" s="9" t="str">
        <f t="shared" si="53"/>
        <v/>
      </c>
      <c r="W225" s="9" t="str">
        <f t="shared" si="54"/>
        <v/>
      </c>
      <c r="X225" t="s">
        <v>1619</v>
      </c>
      <c r="Y225" s="15">
        <v>31327</v>
      </c>
      <c r="AA225" t="s">
        <v>1625</v>
      </c>
      <c r="AB225" t="s">
        <v>1626</v>
      </c>
      <c r="AC225" s="17">
        <v>3</v>
      </c>
      <c r="AF225" t="str">
        <f t="shared" si="55"/>
        <v>23/01/2025</v>
      </c>
      <c r="AG225" t="str">
        <f t="shared" si="56"/>
        <v/>
      </c>
      <c r="AH225" t="str">
        <f t="shared" si="57"/>
        <v/>
      </c>
      <c r="AI225" t="str">
        <f t="shared" si="58"/>
        <v/>
      </c>
      <c r="AJ225" t="str">
        <f t="shared" si="59"/>
        <v>Not Found</v>
      </c>
      <c r="AK225" t="str">
        <f t="shared" si="60"/>
        <v>Not Found</v>
      </c>
    </row>
    <row r="226" spans="1:37" x14ac:dyDescent="0.35">
      <c r="A226" t="s">
        <v>242</v>
      </c>
      <c r="B226" t="s">
        <v>492</v>
      </c>
      <c r="C226" t="s">
        <v>847</v>
      </c>
      <c r="D226" t="str">
        <f t="shared" si="61"/>
        <v>Nigel Thomas</v>
      </c>
      <c r="E226" t="str">
        <f t="shared" si="62"/>
        <v>Nigel</v>
      </c>
      <c r="F226" t="str">
        <f t="shared" si="63"/>
        <v>Thomas</v>
      </c>
      <c r="G226" t="s">
        <v>1027</v>
      </c>
      <c r="H226" t="str">
        <f t="shared" si="64"/>
        <v>Data Analyst</v>
      </c>
      <c r="I226" t="s">
        <v>1028</v>
      </c>
      <c r="J226" t="str">
        <f t="shared" si="65"/>
        <v>HR</v>
      </c>
      <c r="K226" t="s">
        <v>1037</v>
      </c>
      <c r="L226" t="str">
        <f t="shared" si="66"/>
        <v>East Midlands</v>
      </c>
      <c r="M226" t="s">
        <v>1041</v>
      </c>
      <c r="N226" t="s">
        <v>1048</v>
      </c>
      <c r="O226" t="str">
        <f t="shared" si="67"/>
        <v>Referral</v>
      </c>
      <c r="P226" t="s">
        <v>1092</v>
      </c>
      <c r="Q226" s="9">
        <f t="shared" si="51"/>
        <v>45570</v>
      </c>
      <c r="S226" s="9" t="str">
        <f t="shared" si="52"/>
        <v/>
      </c>
      <c r="U226" s="9" t="str">
        <f t="shared" si="53"/>
        <v/>
      </c>
      <c r="W226" s="9" t="str">
        <f t="shared" si="54"/>
        <v/>
      </c>
      <c r="X226" t="s">
        <v>1616</v>
      </c>
      <c r="Y226" s="15">
        <v>38045</v>
      </c>
      <c r="AA226" t="s">
        <v>1625</v>
      </c>
      <c r="AB226" t="s">
        <v>1626</v>
      </c>
      <c r="AC226" s="17">
        <v>4.0999999999999996</v>
      </c>
      <c r="AF226" t="str">
        <f t="shared" si="55"/>
        <v>05/10/2024</v>
      </c>
      <c r="AG226" t="str">
        <f t="shared" si="56"/>
        <v/>
      </c>
      <c r="AH226" t="str">
        <f t="shared" si="57"/>
        <v/>
      </c>
      <c r="AI226" t="str">
        <f t="shared" si="58"/>
        <v/>
      </c>
      <c r="AJ226" t="str">
        <f t="shared" si="59"/>
        <v>Not Found</v>
      </c>
      <c r="AK226" t="str">
        <f t="shared" si="60"/>
        <v>Not Found</v>
      </c>
    </row>
    <row r="227" spans="1:37" x14ac:dyDescent="0.35">
      <c r="A227" t="s">
        <v>243</v>
      </c>
      <c r="B227" t="s">
        <v>576</v>
      </c>
      <c r="C227" t="s">
        <v>848</v>
      </c>
      <c r="D227" t="str">
        <f t="shared" si="61"/>
        <v>Diane Smith</v>
      </c>
      <c r="E227" t="str">
        <f t="shared" si="62"/>
        <v>Diane</v>
      </c>
      <c r="F227" t="str">
        <f t="shared" si="63"/>
        <v>Smith</v>
      </c>
      <c r="G227" t="s">
        <v>1022</v>
      </c>
      <c r="H227" t="str">
        <f t="shared" si="64"/>
        <v>Reporting Analyst</v>
      </c>
      <c r="I227" t="s">
        <v>1031</v>
      </c>
      <c r="J227" t="str">
        <f t="shared" si="65"/>
        <v>Technology</v>
      </c>
      <c r="K227" t="s">
        <v>1039</v>
      </c>
      <c r="L227" t="str">
        <f t="shared" si="66"/>
        <v>South East</v>
      </c>
      <c r="M227" t="s">
        <v>1043</v>
      </c>
      <c r="N227" t="s">
        <v>1046</v>
      </c>
      <c r="O227" t="str">
        <f t="shared" si="67"/>
        <v>Linkedln</v>
      </c>
      <c r="P227" t="s">
        <v>1256</v>
      </c>
      <c r="Q227" s="9">
        <f t="shared" si="51"/>
        <v>45776</v>
      </c>
      <c r="S227" s="9" t="str">
        <f t="shared" si="52"/>
        <v/>
      </c>
      <c r="U227" s="9" t="str">
        <f t="shared" si="53"/>
        <v/>
      </c>
      <c r="W227" s="9" t="str">
        <f t="shared" si="54"/>
        <v/>
      </c>
      <c r="X227" t="s">
        <v>1616</v>
      </c>
      <c r="Y227" s="15">
        <v>29811</v>
      </c>
      <c r="AA227" t="s">
        <v>1623</v>
      </c>
      <c r="AB227" t="s">
        <v>1627</v>
      </c>
      <c r="AC227" s="17">
        <v>2.8</v>
      </c>
      <c r="AF227" t="str">
        <f t="shared" si="55"/>
        <v>29/04/2025</v>
      </c>
      <c r="AG227" t="str">
        <f t="shared" si="56"/>
        <v/>
      </c>
      <c r="AH227" t="str">
        <f t="shared" si="57"/>
        <v/>
      </c>
      <c r="AI227" t="str">
        <f t="shared" si="58"/>
        <v/>
      </c>
      <c r="AJ227" t="str">
        <f t="shared" si="59"/>
        <v>Not Found</v>
      </c>
      <c r="AK227" t="str">
        <f t="shared" si="60"/>
        <v>Not Found</v>
      </c>
    </row>
    <row r="228" spans="1:37" x14ac:dyDescent="0.35">
      <c r="A228" t="s">
        <v>244</v>
      </c>
      <c r="B228" t="s">
        <v>577</v>
      </c>
      <c r="C228" t="s">
        <v>849</v>
      </c>
      <c r="D228" t="str">
        <f t="shared" si="61"/>
        <v>Joseph Patel</v>
      </c>
      <c r="E228" t="str">
        <f t="shared" si="62"/>
        <v>Joseph</v>
      </c>
      <c r="F228" t="str">
        <f t="shared" si="63"/>
        <v>Patel</v>
      </c>
      <c r="G228" t="s">
        <v>1025</v>
      </c>
      <c r="H228" t="str">
        <f t="shared" si="64"/>
        <v>Finance Analyst</v>
      </c>
      <c r="I228" t="s">
        <v>1031</v>
      </c>
      <c r="J228" t="str">
        <f t="shared" si="65"/>
        <v>Technology</v>
      </c>
      <c r="K228" t="s">
        <v>1038</v>
      </c>
      <c r="L228" t="str">
        <f t="shared" si="66"/>
        <v>East Midlands</v>
      </c>
      <c r="M228" t="s">
        <v>1043</v>
      </c>
      <c r="N228" t="s">
        <v>1052</v>
      </c>
      <c r="O228" t="str">
        <f t="shared" si="67"/>
        <v>Linkedln</v>
      </c>
      <c r="P228" t="s">
        <v>1257</v>
      </c>
      <c r="Q228" s="9">
        <f t="shared" si="51"/>
        <v>45780</v>
      </c>
      <c r="S228" s="9" t="str">
        <f t="shared" si="52"/>
        <v/>
      </c>
      <c r="U228" s="9" t="str">
        <f t="shared" si="53"/>
        <v/>
      </c>
      <c r="W228" s="9" t="str">
        <f t="shared" si="54"/>
        <v/>
      </c>
      <c r="X228" t="s">
        <v>1616</v>
      </c>
      <c r="Y228" s="15">
        <v>29542</v>
      </c>
      <c r="AA228" t="s">
        <v>1624</v>
      </c>
      <c r="AB228" t="s">
        <v>1628</v>
      </c>
      <c r="AC228" s="17">
        <v>2.7</v>
      </c>
      <c r="AF228" t="str">
        <f t="shared" si="55"/>
        <v>05-03-2025</v>
      </c>
      <c r="AG228" t="str">
        <f t="shared" si="56"/>
        <v/>
      </c>
      <c r="AH228" t="str">
        <f t="shared" si="57"/>
        <v/>
      </c>
      <c r="AI228" t="str">
        <f t="shared" si="58"/>
        <v/>
      </c>
      <c r="AJ228" t="str">
        <f t="shared" si="59"/>
        <v>Not Found</v>
      </c>
      <c r="AK228" t="str">
        <f t="shared" si="60"/>
        <v>Not Found</v>
      </c>
    </row>
    <row r="229" spans="1:37" x14ac:dyDescent="0.35">
      <c r="A229" t="s">
        <v>245</v>
      </c>
      <c r="B229" t="s">
        <v>578</v>
      </c>
      <c r="C229" t="s">
        <v>850</v>
      </c>
      <c r="D229" t="str">
        <f t="shared" si="61"/>
        <v>Russell Ward</v>
      </c>
      <c r="E229" t="str">
        <f t="shared" si="62"/>
        <v>Russell</v>
      </c>
      <c r="F229" t="str">
        <f t="shared" si="63"/>
        <v>Ward</v>
      </c>
      <c r="G229" t="s">
        <v>1022</v>
      </c>
      <c r="H229" t="str">
        <f t="shared" si="64"/>
        <v>Reporting Analyst</v>
      </c>
      <c r="I229" t="s">
        <v>1032</v>
      </c>
      <c r="J229" t="str">
        <f t="shared" si="65"/>
        <v>Operations</v>
      </c>
      <c r="K229" t="s">
        <v>1034</v>
      </c>
      <c r="L229" t="str">
        <f t="shared" si="66"/>
        <v>Scotland</v>
      </c>
      <c r="M229" t="s">
        <v>1045</v>
      </c>
      <c r="N229" t="s">
        <v>1052</v>
      </c>
      <c r="O229" t="str">
        <f t="shared" si="67"/>
        <v>Linkedln</v>
      </c>
      <c r="P229" t="s">
        <v>1258</v>
      </c>
      <c r="Q229" s="9">
        <f t="shared" si="51"/>
        <v>45773</v>
      </c>
      <c r="S229" s="9" t="str">
        <f t="shared" si="52"/>
        <v/>
      </c>
      <c r="U229" s="9" t="str">
        <f t="shared" si="53"/>
        <v/>
      </c>
      <c r="W229" s="9" t="str">
        <f t="shared" si="54"/>
        <v/>
      </c>
      <c r="X229" t="s">
        <v>1619</v>
      </c>
      <c r="Y229" s="15">
        <v>50678</v>
      </c>
      <c r="AA229" t="s">
        <v>1622</v>
      </c>
      <c r="AB229" t="s">
        <v>1626</v>
      </c>
      <c r="AC229" s="17">
        <v>3.9</v>
      </c>
      <c r="AF229" t="str">
        <f t="shared" si="55"/>
        <v>2025/04/26</v>
      </c>
      <c r="AG229" t="str">
        <f t="shared" si="56"/>
        <v/>
      </c>
      <c r="AH229" t="str">
        <f t="shared" si="57"/>
        <v/>
      </c>
      <c r="AI229" t="str">
        <f t="shared" si="58"/>
        <v/>
      </c>
      <c r="AJ229" t="str">
        <f t="shared" si="59"/>
        <v>Not Found</v>
      </c>
      <c r="AK229" t="str">
        <f t="shared" si="60"/>
        <v>Not Found</v>
      </c>
    </row>
    <row r="230" spans="1:37" x14ac:dyDescent="0.35">
      <c r="A230" t="s">
        <v>246</v>
      </c>
      <c r="B230" t="s">
        <v>506</v>
      </c>
      <c r="C230" t="s">
        <v>851</v>
      </c>
      <c r="D230" t="str">
        <f t="shared" si="61"/>
        <v>Chloe Clarke</v>
      </c>
      <c r="E230" t="str">
        <f t="shared" si="62"/>
        <v>Chloe</v>
      </c>
      <c r="F230" t="str">
        <f t="shared" si="63"/>
        <v>Clarke</v>
      </c>
      <c r="G230" t="s">
        <v>1026</v>
      </c>
      <c r="H230" t="str">
        <f t="shared" si="64"/>
        <v>BI Analyst</v>
      </c>
      <c r="I230" t="s">
        <v>1028</v>
      </c>
      <c r="J230" t="str">
        <f t="shared" si="65"/>
        <v>HR</v>
      </c>
      <c r="K230" t="s">
        <v>1037</v>
      </c>
      <c r="L230" t="str">
        <f t="shared" si="66"/>
        <v>East Midlands</v>
      </c>
      <c r="M230" t="s">
        <v>1043</v>
      </c>
      <c r="N230" t="s">
        <v>1050</v>
      </c>
      <c r="O230" t="str">
        <f t="shared" si="67"/>
        <v>Reed</v>
      </c>
      <c r="P230" t="s">
        <v>1259</v>
      </c>
      <c r="Q230" s="9">
        <f t="shared" si="51"/>
        <v>45554</v>
      </c>
      <c r="S230" s="9" t="str">
        <f t="shared" si="52"/>
        <v/>
      </c>
      <c r="U230" s="9" t="str">
        <f t="shared" si="53"/>
        <v/>
      </c>
      <c r="W230" s="9" t="str">
        <f t="shared" si="54"/>
        <v/>
      </c>
      <c r="X230" t="s">
        <v>1616</v>
      </c>
      <c r="Y230" s="15">
        <v>34998</v>
      </c>
      <c r="AA230" t="s">
        <v>1621</v>
      </c>
      <c r="AB230" t="s">
        <v>1626</v>
      </c>
      <c r="AC230" s="17">
        <v>2.4</v>
      </c>
      <c r="AF230" t="str">
        <f t="shared" si="55"/>
        <v>19/09/2024</v>
      </c>
      <c r="AG230" t="str">
        <f t="shared" si="56"/>
        <v/>
      </c>
      <c r="AH230" t="str">
        <f t="shared" si="57"/>
        <v/>
      </c>
      <c r="AI230" t="str">
        <f t="shared" si="58"/>
        <v/>
      </c>
      <c r="AJ230" t="str">
        <f t="shared" si="59"/>
        <v>Not Found</v>
      </c>
      <c r="AK230" t="str">
        <f t="shared" si="60"/>
        <v>Not Found</v>
      </c>
    </row>
    <row r="231" spans="1:37" x14ac:dyDescent="0.35">
      <c r="A231" t="s">
        <v>247</v>
      </c>
      <c r="B231" t="s">
        <v>579</v>
      </c>
      <c r="C231" t="s">
        <v>852</v>
      </c>
      <c r="D231" t="str">
        <f t="shared" si="61"/>
        <v>Leanne Whitehead Clark</v>
      </c>
      <c r="E231" t="str">
        <f t="shared" si="62"/>
        <v>Leanne</v>
      </c>
      <c r="F231" t="str">
        <f t="shared" si="63"/>
        <v>Clark</v>
      </c>
      <c r="G231" t="s">
        <v>1026</v>
      </c>
      <c r="H231" t="str">
        <f t="shared" si="64"/>
        <v>BI Analyst</v>
      </c>
      <c r="I231" t="s">
        <v>1029</v>
      </c>
      <c r="J231" t="str">
        <f t="shared" si="65"/>
        <v>Commercial</v>
      </c>
      <c r="K231" t="s">
        <v>1034</v>
      </c>
      <c r="L231" t="str">
        <f t="shared" si="66"/>
        <v>Scotland</v>
      </c>
      <c r="M231" t="s">
        <v>1043</v>
      </c>
      <c r="N231" t="s">
        <v>1048</v>
      </c>
      <c r="O231" t="str">
        <f t="shared" si="67"/>
        <v>Referral</v>
      </c>
      <c r="P231" t="s">
        <v>1247</v>
      </c>
      <c r="Q231" s="9">
        <f t="shared" si="51"/>
        <v>45440</v>
      </c>
      <c r="S231" s="9" t="str">
        <f t="shared" si="52"/>
        <v/>
      </c>
      <c r="U231" s="9" t="str">
        <f t="shared" si="53"/>
        <v/>
      </c>
      <c r="W231" s="9" t="str">
        <f t="shared" si="54"/>
        <v/>
      </c>
      <c r="X231" t="s">
        <v>1619</v>
      </c>
      <c r="Y231" s="15">
        <v>44716</v>
      </c>
      <c r="AA231" t="s">
        <v>1621</v>
      </c>
      <c r="AB231" t="s">
        <v>1628</v>
      </c>
      <c r="AC231" s="17">
        <v>3.8</v>
      </c>
      <c r="AF231" t="str">
        <f t="shared" si="55"/>
        <v>2024/05/28</v>
      </c>
      <c r="AG231" t="str">
        <f t="shared" si="56"/>
        <v/>
      </c>
      <c r="AH231" t="str">
        <f t="shared" si="57"/>
        <v/>
      </c>
      <c r="AI231" t="str">
        <f t="shared" si="58"/>
        <v/>
      </c>
      <c r="AJ231" t="str">
        <f t="shared" si="59"/>
        <v>Not Found</v>
      </c>
      <c r="AK231" t="str">
        <f t="shared" si="60"/>
        <v>Not Found</v>
      </c>
    </row>
    <row r="232" spans="1:37" x14ac:dyDescent="0.35">
      <c r="A232" t="s">
        <v>248</v>
      </c>
      <c r="B232" t="s">
        <v>560</v>
      </c>
      <c r="C232" t="s">
        <v>853</v>
      </c>
      <c r="D232" t="str">
        <f t="shared" si="61"/>
        <v>Elliot Curtis</v>
      </c>
      <c r="E232" t="str">
        <f t="shared" si="62"/>
        <v>Elliot</v>
      </c>
      <c r="F232" t="str">
        <f t="shared" si="63"/>
        <v>Curtis</v>
      </c>
      <c r="G232" t="s">
        <v>1022</v>
      </c>
      <c r="H232" t="str">
        <f t="shared" si="64"/>
        <v>Reporting Analyst</v>
      </c>
      <c r="I232" t="s">
        <v>1031</v>
      </c>
      <c r="J232" t="str">
        <f t="shared" si="65"/>
        <v>Technology</v>
      </c>
      <c r="K232" t="s">
        <v>1037</v>
      </c>
      <c r="L232" t="str">
        <f t="shared" si="66"/>
        <v>East Midlands</v>
      </c>
      <c r="M232" t="s">
        <v>1044</v>
      </c>
      <c r="N232" t="s">
        <v>1047</v>
      </c>
      <c r="O232" t="str">
        <f t="shared" si="67"/>
        <v>Linkedln</v>
      </c>
      <c r="P232" t="s">
        <v>1260</v>
      </c>
      <c r="Q232" s="9">
        <f t="shared" si="51"/>
        <v>45567</v>
      </c>
      <c r="S232" s="9" t="str">
        <f t="shared" si="52"/>
        <v/>
      </c>
      <c r="U232" s="9" t="str">
        <f t="shared" si="53"/>
        <v/>
      </c>
      <c r="W232" s="9" t="str">
        <f t="shared" si="54"/>
        <v/>
      </c>
      <c r="X232" t="s">
        <v>1616</v>
      </c>
      <c r="Y232" s="15">
        <v>38213</v>
      </c>
      <c r="AA232" t="s">
        <v>1625</v>
      </c>
      <c r="AB232" t="s">
        <v>1626</v>
      </c>
      <c r="AC232" s="17">
        <v>4.4000000000000004</v>
      </c>
      <c r="AF232" t="str">
        <f t="shared" si="55"/>
        <v>2024/10/02</v>
      </c>
      <c r="AG232" t="str">
        <f t="shared" si="56"/>
        <v/>
      </c>
      <c r="AH232" t="str">
        <f t="shared" si="57"/>
        <v/>
      </c>
      <c r="AI232" t="str">
        <f t="shared" si="58"/>
        <v/>
      </c>
      <c r="AJ232" t="str">
        <f t="shared" si="59"/>
        <v>Not Found</v>
      </c>
      <c r="AK232" t="str">
        <f t="shared" si="60"/>
        <v>Not Found</v>
      </c>
    </row>
    <row r="233" spans="1:37" x14ac:dyDescent="0.35">
      <c r="A233" t="s">
        <v>249</v>
      </c>
      <c r="B233" t="s">
        <v>580</v>
      </c>
      <c r="C233" t="s">
        <v>854</v>
      </c>
      <c r="D233" t="str">
        <f t="shared" si="61"/>
        <v>Jason Payne</v>
      </c>
      <c r="E233" t="str">
        <f t="shared" si="62"/>
        <v>Jason</v>
      </c>
      <c r="F233" t="str">
        <f t="shared" si="63"/>
        <v>Payne</v>
      </c>
      <c r="G233" t="s">
        <v>1025</v>
      </c>
      <c r="H233" t="str">
        <f t="shared" si="64"/>
        <v>Finance Analyst</v>
      </c>
      <c r="I233" t="s">
        <v>1029</v>
      </c>
      <c r="J233" t="str">
        <f t="shared" si="65"/>
        <v>Commercial</v>
      </c>
      <c r="K233" t="s">
        <v>1038</v>
      </c>
      <c r="L233" t="str">
        <f t="shared" si="66"/>
        <v>East Midlands</v>
      </c>
      <c r="M233" t="s">
        <v>1042</v>
      </c>
      <c r="N233" t="s">
        <v>1046</v>
      </c>
      <c r="O233" t="str">
        <f t="shared" si="67"/>
        <v>Linkedln</v>
      </c>
      <c r="P233" t="s">
        <v>1261</v>
      </c>
      <c r="Q233" s="9">
        <f t="shared" si="51"/>
        <v>45570</v>
      </c>
      <c r="S233" s="9" t="str">
        <f t="shared" si="52"/>
        <v/>
      </c>
      <c r="U233" s="9" t="str">
        <f t="shared" si="53"/>
        <v/>
      </c>
      <c r="W233" s="9" t="str">
        <f t="shared" si="54"/>
        <v/>
      </c>
      <c r="X233" t="s">
        <v>1616</v>
      </c>
      <c r="Y233" s="15">
        <v>40024</v>
      </c>
      <c r="AA233" t="s">
        <v>1624</v>
      </c>
      <c r="AB233" t="s">
        <v>1628</v>
      </c>
      <c r="AC233" s="17">
        <v>4.3</v>
      </c>
      <c r="AF233" t="str">
        <f t="shared" si="55"/>
        <v>2024/10/05</v>
      </c>
      <c r="AG233" t="str">
        <f t="shared" si="56"/>
        <v/>
      </c>
      <c r="AH233" t="str">
        <f t="shared" si="57"/>
        <v/>
      </c>
      <c r="AI233" t="str">
        <f t="shared" si="58"/>
        <v/>
      </c>
      <c r="AJ233" t="str">
        <f t="shared" si="59"/>
        <v>Not Found</v>
      </c>
      <c r="AK233" t="str">
        <f t="shared" si="60"/>
        <v>Not Found</v>
      </c>
    </row>
    <row r="234" spans="1:37" x14ac:dyDescent="0.35">
      <c r="A234" t="s">
        <v>250</v>
      </c>
      <c r="B234" t="s">
        <v>527</v>
      </c>
      <c r="C234" t="s">
        <v>848</v>
      </c>
      <c r="D234" t="str">
        <f t="shared" si="61"/>
        <v>Diane Smith</v>
      </c>
      <c r="E234" t="str">
        <f t="shared" si="62"/>
        <v>Diane</v>
      </c>
      <c r="F234" t="str">
        <f t="shared" si="63"/>
        <v>Smith</v>
      </c>
      <c r="G234" t="s">
        <v>1025</v>
      </c>
      <c r="H234" t="str">
        <f t="shared" si="64"/>
        <v>Finance Analyst</v>
      </c>
      <c r="I234" t="s">
        <v>1032</v>
      </c>
      <c r="J234" t="str">
        <f t="shared" si="65"/>
        <v>Operations</v>
      </c>
      <c r="K234" t="s">
        <v>1037</v>
      </c>
      <c r="L234" t="str">
        <f t="shared" si="66"/>
        <v>East Midlands</v>
      </c>
      <c r="M234" t="s">
        <v>1042</v>
      </c>
      <c r="N234" t="s">
        <v>1050</v>
      </c>
      <c r="O234" t="str">
        <f t="shared" si="67"/>
        <v>Reed</v>
      </c>
      <c r="P234" t="s">
        <v>1236</v>
      </c>
      <c r="Q234" s="9">
        <f t="shared" si="51"/>
        <v>45731</v>
      </c>
      <c r="S234" s="9" t="str">
        <f t="shared" si="52"/>
        <v/>
      </c>
      <c r="U234" s="9" t="str">
        <f t="shared" si="53"/>
        <v/>
      </c>
      <c r="W234" s="9" t="str">
        <f t="shared" si="54"/>
        <v/>
      </c>
      <c r="X234" t="s">
        <v>1616</v>
      </c>
      <c r="Y234" s="15">
        <v>50839</v>
      </c>
      <c r="AA234" t="s">
        <v>1621</v>
      </c>
      <c r="AB234" t="s">
        <v>1626</v>
      </c>
      <c r="AC234" s="17">
        <v>4.5</v>
      </c>
      <c r="AF234" t="str">
        <f t="shared" si="55"/>
        <v>2025/03/15</v>
      </c>
      <c r="AG234" t="str">
        <f t="shared" si="56"/>
        <v/>
      </c>
      <c r="AH234" t="str">
        <f t="shared" si="57"/>
        <v/>
      </c>
      <c r="AI234" t="str">
        <f t="shared" si="58"/>
        <v/>
      </c>
      <c r="AJ234" t="str">
        <f t="shared" si="59"/>
        <v>Not Found</v>
      </c>
      <c r="AK234" t="str">
        <f t="shared" si="60"/>
        <v>Not Found</v>
      </c>
    </row>
    <row r="235" spans="1:37" x14ac:dyDescent="0.35">
      <c r="A235" t="s">
        <v>251</v>
      </c>
      <c r="B235" t="s">
        <v>485</v>
      </c>
      <c r="C235" t="s">
        <v>855</v>
      </c>
      <c r="D235" t="str">
        <f t="shared" si="61"/>
        <v>Samuel Smith</v>
      </c>
      <c r="E235" t="str">
        <f t="shared" si="62"/>
        <v>Samuel</v>
      </c>
      <c r="F235" t="str">
        <f t="shared" si="63"/>
        <v>Smith</v>
      </c>
      <c r="G235" t="s">
        <v>1023</v>
      </c>
      <c r="H235" t="str">
        <f t="shared" si="64"/>
        <v>HR Analyst</v>
      </c>
      <c r="I235" t="s">
        <v>1030</v>
      </c>
      <c r="J235" t="str">
        <f t="shared" si="65"/>
        <v>Finance</v>
      </c>
      <c r="K235" t="s">
        <v>1038</v>
      </c>
      <c r="L235" t="str">
        <f t="shared" si="66"/>
        <v>East Midlands</v>
      </c>
      <c r="M235" t="s">
        <v>1043</v>
      </c>
      <c r="N235" t="s">
        <v>1046</v>
      </c>
      <c r="O235" t="str">
        <f t="shared" si="67"/>
        <v>Linkedln</v>
      </c>
      <c r="P235" t="s">
        <v>1064</v>
      </c>
      <c r="Q235" s="9">
        <f t="shared" si="51"/>
        <v>45505</v>
      </c>
      <c r="S235" s="9" t="str">
        <f t="shared" si="52"/>
        <v/>
      </c>
      <c r="U235" s="9" t="str">
        <f t="shared" si="53"/>
        <v/>
      </c>
      <c r="W235" s="9" t="str">
        <f t="shared" si="54"/>
        <v/>
      </c>
      <c r="X235" t="s">
        <v>1616</v>
      </c>
      <c r="Y235" s="15">
        <v>50440</v>
      </c>
      <c r="AA235" t="s">
        <v>1623</v>
      </c>
      <c r="AB235" t="s">
        <v>1626</v>
      </c>
      <c r="AC235" s="17">
        <v>3.4</v>
      </c>
      <c r="AF235" t="str">
        <f t="shared" si="55"/>
        <v>08-01-2024</v>
      </c>
      <c r="AG235" t="str">
        <f t="shared" si="56"/>
        <v/>
      </c>
      <c r="AH235" t="str">
        <f t="shared" si="57"/>
        <v/>
      </c>
      <c r="AI235" t="str">
        <f t="shared" si="58"/>
        <v/>
      </c>
      <c r="AJ235" t="str">
        <f t="shared" si="59"/>
        <v>Not Found</v>
      </c>
      <c r="AK235" t="str">
        <f t="shared" si="60"/>
        <v>Not Found</v>
      </c>
    </row>
    <row r="236" spans="1:37" x14ac:dyDescent="0.35">
      <c r="A236" t="s">
        <v>252</v>
      </c>
      <c r="B236" t="s">
        <v>448</v>
      </c>
      <c r="C236" t="s">
        <v>856</v>
      </c>
      <c r="D236" t="str">
        <f t="shared" si="61"/>
        <v>Ronald Frost</v>
      </c>
      <c r="E236" t="str">
        <f t="shared" si="62"/>
        <v>Ronald</v>
      </c>
      <c r="F236" t="str">
        <f t="shared" si="63"/>
        <v>Frost</v>
      </c>
      <c r="G236" t="s">
        <v>1022</v>
      </c>
      <c r="H236" t="str">
        <f t="shared" si="64"/>
        <v>Reporting Analyst</v>
      </c>
      <c r="I236" t="s">
        <v>1030</v>
      </c>
      <c r="J236" t="str">
        <f t="shared" si="65"/>
        <v>Finance</v>
      </c>
      <c r="K236" t="s">
        <v>1036</v>
      </c>
      <c r="L236" t="str">
        <f t="shared" si="66"/>
        <v>London</v>
      </c>
      <c r="M236" t="s">
        <v>1043</v>
      </c>
      <c r="N236" t="s">
        <v>1046</v>
      </c>
      <c r="O236" t="str">
        <f t="shared" si="67"/>
        <v>Linkedln</v>
      </c>
      <c r="P236" t="s">
        <v>1220</v>
      </c>
      <c r="Q236" s="9">
        <f t="shared" si="51"/>
        <v>45497</v>
      </c>
      <c r="R236" t="s">
        <v>1465</v>
      </c>
      <c r="S236" s="9">
        <f t="shared" si="52"/>
        <v>45504</v>
      </c>
      <c r="T236" t="s">
        <v>1557</v>
      </c>
      <c r="U236" s="9">
        <f t="shared" si="53"/>
        <v>45528</v>
      </c>
      <c r="V236" t="s">
        <v>1604</v>
      </c>
      <c r="W236" s="9">
        <f t="shared" si="54"/>
        <v>45534</v>
      </c>
      <c r="X236" t="s">
        <v>1620</v>
      </c>
      <c r="Y236" s="15">
        <v>34176</v>
      </c>
      <c r="Z236" s="15">
        <v>36770</v>
      </c>
      <c r="AA236" t="s">
        <v>1625</v>
      </c>
      <c r="AB236" t="s">
        <v>1626</v>
      </c>
      <c r="AC236" s="17">
        <v>2.8</v>
      </c>
      <c r="AF236" t="str">
        <f t="shared" si="55"/>
        <v>07-24-2024</v>
      </c>
      <c r="AG236" t="str">
        <f t="shared" si="56"/>
        <v>31/07/2024</v>
      </c>
      <c r="AH236" t="str">
        <f t="shared" si="57"/>
        <v>08-24-2024</v>
      </c>
      <c r="AI236" t="str">
        <f t="shared" si="58"/>
        <v>08-30-2024</v>
      </c>
      <c r="AJ236" t="str">
        <f t="shared" si="59"/>
        <v>Not Found</v>
      </c>
      <c r="AK236" t="str">
        <f t="shared" si="60"/>
        <v>Not Found</v>
      </c>
    </row>
    <row r="237" spans="1:37" x14ac:dyDescent="0.35">
      <c r="A237" t="s">
        <v>253</v>
      </c>
      <c r="B237" t="s">
        <v>464</v>
      </c>
      <c r="C237" t="s">
        <v>857</v>
      </c>
      <c r="D237" t="str">
        <f t="shared" si="61"/>
        <v>Barry Gill</v>
      </c>
      <c r="E237" t="str">
        <f t="shared" si="62"/>
        <v>Barry</v>
      </c>
      <c r="F237" t="str">
        <f t="shared" si="63"/>
        <v>Gill</v>
      </c>
      <c r="G237" t="s">
        <v>1027</v>
      </c>
      <c r="H237" t="str">
        <f t="shared" si="64"/>
        <v>Data Analyst</v>
      </c>
      <c r="I237" t="s">
        <v>1029</v>
      </c>
      <c r="J237" t="str">
        <f t="shared" si="65"/>
        <v>Commercial</v>
      </c>
      <c r="K237" t="s">
        <v>1033</v>
      </c>
      <c r="L237" t="str">
        <f t="shared" si="66"/>
        <v>Midlands</v>
      </c>
      <c r="M237" t="s">
        <v>1042</v>
      </c>
      <c r="N237" t="s">
        <v>1047</v>
      </c>
      <c r="O237" t="str">
        <f t="shared" si="67"/>
        <v>Linkedln</v>
      </c>
      <c r="P237" t="s">
        <v>1262</v>
      </c>
      <c r="Q237" s="9">
        <f t="shared" si="51"/>
        <v>45386</v>
      </c>
      <c r="R237" t="s">
        <v>1466</v>
      </c>
      <c r="S237" s="9">
        <f t="shared" si="52"/>
        <v>45399</v>
      </c>
      <c r="U237" s="9" t="str">
        <f t="shared" si="53"/>
        <v/>
      </c>
      <c r="W237" s="9" t="str">
        <f t="shared" si="54"/>
        <v/>
      </c>
      <c r="X237" t="s">
        <v>1615</v>
      </c>
      <c r="Y237" s="15">
        <v>31908</v>
      </c>
      <c r="AA237" t="s">
        <v>1621</v>
      </c>
      <c r="AB237" t="s">
        <v>1626</v>
      </c>
      <c r="AC237" s="17">
        <v>4.5999999999999996</v>
      </c>
      <c r="AF237" t="str">
        <f t="shared" si="55"/>
        <v>2024/04/04</v>
      </c>
      <c r="AG237" t="str">
        <f t="shared" si="56"/>
        <v>17/04/2024</v>
      </c>
      <c r="AH237" t="str">
        <f t="shared" si="57"/>
        <v/>
      </c>
      <c r="AI237" t="str">
        <f t="shared" si="58"/>
        <v/>
      </c>
      <c r="AJ237" t="str">
        <f t="shared" si="59"/>
        <v>Not Found</v>
      </c>
      <c r="AK237" t="str">
        <f t="shared" si="60"/>
        <v>Not Found</v>
      </c>
    </row>
    <row r="238" spans="1:37" x14ac:dyDescent="0.35">
      <c r="A238" t="s">
        <v>254</v>
      </c>
      <c r="B238" t="s">
        <v>581</v>
      </c>
      <c r="C238" t="s">
        <v>858</v>
      </c>
      <c r="D238" t="str">
        <f t="shared" si="61"/>
        <v>Kevin Hall Davies</v>
      </c>
      <c r="E238" t="str">
        <f t="shared" si="62"/>
        <v>Kevin</v>
      </c>
      <c r="F238" t="str">
        <f t="shared" si="63"/>
        <v>Davies</v>
      </c>
      <c r="G238" t="s">
        <v>1022</v>
      </c>
      <c r="H238" t="str">
        <f t="shared" si="64"/>
        <v>Reporting Analyst</v>
      </c>
      <c r="I238" t="s">
        <v>1031</v>
      </c>
      <c r="J238" t="str">
        <f t="shared" si="65"/>
        <v>Technology</v>
      </c>
      <c r="K238" t="s">
        <v>1035</v>
      </c>
      <c r="L238" t="str">
        <f t="shared" si="66"/>
        <v>Yorkshire</v>
      </c>
      <c r="M238" t="s">
        <v>1043</v>
      </c>
      <c r="N238" t="s">
        <v>1052</v>
      </c>
      <c r="O238" t="str">
        <f t="shared" si="67"/>
        <v>Linkedln</v>
      </c>
      <c r="P238" t="s">
        <v>1263</v>
      </c>
      <c r="Q238" s="9">
        <f t="shared" si="51"/>
        <v>45621</v>
      </c>
      <c r="S238" s="9" t="str">
        <f t="shared" si="52"/>
        <v/>
      </c>
      <c r="U238" s="9" t="str">
        <f t="shared" si="53"/>
        <v/>
      </c>
      <c r="W238" s="9" t="str">
        <f t="shared" si="54"/>
        <v/>
      </c>
      <c r="X238" t="s">
        <v>1616</v>
      </c>
      <c r="Y238" s="15">
        <v>46276</v>
      </c>
      <c r="AA238" t="s">
        <v>1624</v>
      </c>
      <c r="AB238" t="s">
        <v>1627</v>
      </c>
      <c r="AC238" s="17">
        <v>2.6</v>
      </c>
      <c r="AF238" t="str">
        <f t="shared" si="55"/>
        <v>2024/11/25</v>
      </c>
      <c r="AG238" t="str">
        <f t="shared" si="56"/>
        <v/>
      </c>
      <c r="AH238" t="str">
        <f t="shared" si="57"/>
        <v/>
      </c>
      <c r="AI238" t="str">
        <f t="shared" si="58"/>
        <v/>
      </c>
      <c r="AJ238" t="str">
        <f t="shared" si="59"/>
        <v>Not Found</v>
      </c>
      <c r="AK238" t="str">
        <f t="shared" si="60"/>
        <v>Not Found</v>
      </c>
    </row>
    <row r="239" spans="1:37" x14ac:dyDescent="0.35">
      <c r="A239" t="s">
        <v>255</v>
      </c>
      <c r="B239" t="s">
        <v>582</v>
      </c>
      <c r="C239" t="s">
        <v>859</v>
      </c>
      <c r="D239" t="str">
        <f t="shared" si="61"/>
        <v>Rosie Welch</v>
      </c>
      <c r="E239" t="str">
        <f t="shared" si="62"/>
        <v>Rosie</v>
      </c>
      <c r="F239" t="str">
        <f t="shared" si="63"/>
        <v>Welch</v>
      </c>
      <c r="G239" t="s">
        <v>1025</v>
      </c>
      <c r="H239" t="str">
        <f t="shared" si="64"/>
        <v>Finance Analyst</v>
      </c>
      <c r="I239" t="s">
        <v>1029</v>
      </c>
      <c r="J239" t="str">
        <f t="shared" si="65"/>
        <v>Commercial</v>
      </c>
      <c r="K239" t="s">
        <v>1033</v>
      </c>
      <c r="L239" t="str">
        <f t="shared" si="66"/>
        <v>Midlands</v>
      </c>
      <c r="M239" t="s">
        <v>1042</v>
      </c>
      <c r="N239" t="s">
        <v>1046</v>
      </c>
      <c r="O239" t="str">
        <f t="shared" si="67"/>
        <v>Linkedln</v>
      </c>
      <c r="P239" t="s">
        <v>1264</v>
      </c>
      <c r="Q239" s="9">
        <f t="shared" si="51"/>
        <v>45400</v>
      </c>
      <c r="R239" t="s">
        <v>1467</v>
      </c>
      <c r="S239" s="9">
        <f t="shared" si="52"/>
        <v>45426</v>
      </c>
      <c r="T239" t="s">
        <v>1558</v>
      </c>
      <c r="U239" s="9">
        <f t="shared" si="53"/>
        <v>45424</v>
      </c>
      <c r="V239" t="s">
        <v>1605</v>
      </c>
      <c r="W239" s="9">
        <f t="shared" si="54"/>
        <v>45435</v>
      </c>
      <c r="X239" t="s">
        <v>1620</v>
      </c>
      <c r="Y239" s="15">
        <v>32708</v>
      </c>
      <c r="Z239" s="15">
        <v>35014</v>
      </c>
      <c r="AA239" t="s">
        <v>1623</v>
      </c>
      <c r="AB239" t="s">
        <v>1626</v>
      </c>
      <c r="AC239" s="17">
        <v>3.1</v>
      </c>
      <c r="AF239" t="str">
        <f t="shared" si="55"/>
        <v>18/04/2024</v>
      </c>
      <c r="AG239" t="str">
        <f t="shared" si="56"/>
        <v>14/05/2024</v>
      </c>
      <c r="AH239" t="str">
        <f t="shared" si="57"/>
        <v>12/05/2024</v>
      </c>
      <c r="AI239" t="str">
        <f t="shared" si="58"/>
        <v>2024/05/23</v>
      </c>
      <c r="AJ239" t="str">
        <f t="shared" si="59"/>
        <v>Not Found</v>
      </c>
      <c r="AK239" t="str">
        <f t="shared" si="60"/>
        <v>Not Found</v>
      </c>
    </row>
    <row r="240" spans="1:37" x14ac:dyDescent="0.35">
      <c r="A240" t="s">
        <v>256</v>
      </c>
      <c r="B240" t="s">
        <v>583</v>
      </c>
      <c r="C240" t="s">
        <v>860</v>
      </c>
      <c r="D240" t="str">
        <f t="shared" si="61"/>
        <v>Jasmine Cook Vincent</v>
      </c>
      <c r="E240" t="str">
        <f t="shared" si="62"/>
        <v>Jasmine</v>
      </c>
      <c r="F240" t="str">
        <f t="shared" si="63"/>
        <v>Vincent</v>
      </c>
      <c r="G240" t="s">
        <v>1024</v>
      </c>
      <c r="H240" t="str">
        <f t="shared" si="64"/>
        <v>Business Analyst</v>
      </c>
      <c r="I240" t="s">
        <v>1028</v>
      </c>
      <c r="J240" t="str">
        <f t="shared" si="65"/>
        <v>HR</v>
      </c>
      <c r="K240" t="s">
        <v>1038</v>
      </c>
      <c r="L240" t="str">
        <f t="shared" si="66"/>
        <v>East Midlands</v>
      </c>
      <c r="M240" t="s">
        <v>1043</v>
      </c>
      <c r="N240" t="s">
        <v>1049</v>
      </c>
      <c r="O240" t="str">
        <f t="shared" si="67"/>
        <v>Indeed</v>
      </c>
      <c r="P240" t="s">
        <v>1265</v>
      </c>
      <c r="Q240" s="9">
        <f t="shared" si="51"/>
        <v>45481</v>
      </c>
      <c r="S240" s="9" t="str">
        <f t="shared" si="52"/>
        <v/>
      </c>
      <c r="U240" s="9" t="str">
        <f t="shared" si="53"/>
        <v/>
      </c>
      <c r="W240" s="9" t="str">
        <f t="shared" si="54"/>
        <v/>
      </c>
      <c r="X240" t="s">
        <v>1619</v>
      </c>
      <c r="Y240" s="15">
        <v>43659</v>
      </c>
      <c r="AA240" t="s">
        <v>1622</v>
      </c>
      <c r="AB240" t="s">
        <v>1627</v>
      </c>
      <c r="AC240" s="17">
        <v>3.9</v>
      </c>
      <c r="AF240" t="str">
        <f t="shared" si="55"/>
        <v>08/07/2024</v>
      </c>
      <c r="AG240" t="str">
        <f t="shared" si="56"/>
        <v/>
      </c>
      <c r="AH240" t="str">
        <f t="shared" si="57"/>
        <v/>
      </c>
      <c r="AI240" t="str">
        <f t="shared" si="58"/>
        <v/>
      </c>
      <c r="AJ240" t="str">
        <f t="shared" si="59"/>
        <v>Not Found</v>
      </c>
      <c r="AK240" t="str">
        <f t="shared" si="60"/>
        <v>Not Found</v>
      </c>
    </row>
    <row r="241" spans="1:37" x14ac:dyDescent="0.35">
      <c r="A241" t="s">
        <v>257</v>
      </c>
      <c r="B241" t="s">
        <v>419</v>
      </c>
      <c r="C241" t="s">
        <v>861</v>
      </c>
      <c r="D241" t="str">
        <f t="shared" si="61"/>
        <v>Lynne Lewis</v>
      </c>
      <c r="E241" t="str">
        <f t="shared" si="62"/>
        <v>Lynne</v>
      </c>
      <c r="F241" t="str">
        <f t="shared" si="63"/>
        <v>Lewis</v>
      </c>
      <c r="G241" t="s">
        <v>1026</v>
      </c>
      <c r="H241" t="str">
        <f t="shared" si="64"/>
        <v>BI Analyst</v>
      </c>
      <c r="I241" t="s">
        <v>1029</v>
      </c>
      <c r="J241" t="str">
        <f t="shared" si="65"/>
        <v>Commercial</v>
      </c>
      <c r="K241" t="s">
        <v>1037</v>
      </c>
      <c r="L241" t="str">
        <f t="shared" si="66"/>
        <v>East Midlands</v>
      </c>
      <c r="M241" t="s">
        <v>1042</v>
      </c>
      <c r="N241" t="s">
        <v>1051</v>
      </c>
      <c r="O241" t="str">
        <f t="shared" si="67"/>
        <v>CV Library</v>
      </c>
      <c r="P241" t="s">
        <v>1266</v>
      </c>
      <c r="Q241" s="9">
        <f t="shared" si="51"/>
        <v>45485</v>
      </c>
      <c r="R241" t="s">
        <v>1468</v>
      </c>
      <c r="S241" s="9">
        <f t="shared" si="52"/>
        <v>45512</v>
      </c>
      <c r="U241" s="9" t="str">
        <f t="shared" si="53"/>
        <v/>
      </c>
      <c r="W241" s="9" t="str">
        <f t="shared" si="54"/>
        <v/>
      </c>
      <c r="X241" t="s">
        <v>1615</v>
      </c>
      <c r="Y241" s="15">
        <v>48097</v>
      </c>
      <c r="AA241" t="s">
        <v>1624</v>
      </c>
      <c r="AB241" t="s">
        <v>1626</v>
      </c>
      <c r="AC241" s="17">
        <v>2.4</v>
      </c>
      <c r="AF241" t="str">
        <f t="shared" si="55"/>
        <v>12/07/2024</v>
      </c>
      <c r="AG241" t="str">
        <f t="shared" si="56"/>
        <v>08/08/2024</v>
      </c>
      <c r="AH241" t="str">
        <f t="shared" si="57"/>
        <v/>
      </c>
      <c r="AI241" t="str">
        <f t="shared" si="58"/>
        <v/>
      </c>
      <c r="AJ241" t="str">
        <f t="shared" si="59"/>
        <v>Not Found</v>
      </c>
      <c r="AK241" t="str">
        <f t="shared" si="60"/>
        <v>Not Found</v>
      </c>
    </row>
    <row r="242" spans="1:37" x14ac:dyDescent="0.35">
      <c r="A242" t="s">
        <v>258</v>
      </c>
      <c r="B242" t="s">
        <v>556</v>
      </c>
      <c r="C242" t="s">
        <v>862</v>
      </c>
      <c r="D242" t="str">
        <f t="shared" si="61"/>
        <v>Mohammed Bevan</v>
      </c>
      <c r="E242" t="str">
        <f t="shared" si="62"/>
        <v>Mohammed</v>
      </c>
      <c r="F242" t="str">
        <f t="shared" si="63"/>
        <v>Bevan</v>
      </c>
      <c r="G242" t="s">
        <v>1025</v>
      </c>
      <c r="H242" t="str">
        <f t="shared" si="64"/>
        <v>Finance Analyst</v>
      </c>
      <c r="I242" t="s">
        <v>1028</v>
      </c>
      <c r="J242" t="str">
        <f t="shared" si="65"/>
        <v>HR</v>
      </c>
      <c r="K242" t="s">
        <v>1039</v>
      </c>
      <c r="L242" t="str">
        <f t="shared" si="66"/>
        <v>South East</v>
      </c>
      <c r="M242" t="s">
        <v>1041</v>
      </c>
      <c r="N242" t="s">
        <v>1048</v>
      </c>
      <c r="O242" t="str">
        <f t="shared" si="67"/>
        <v>Referral</v>
      </c>
      <c r="P242" t="s">
        <v>1267</v>
      </c>
      <c r="Q242" s="9">
        <f t="shared" si="51"/>
        <v>45680</v>
      </c>
      <c r="S242" s="9" t="str">
        <f t="shared" si="52"/>
        <v/>
      </c>
      <c r="U242" s="9" t="str">
        <f t="shared" si="53"/>
        <v/>
      </c>
      <c r="W242" s="9" t="str">
        <f t="shared" si="54"/>
        <v/>
      </c>
      <c r="X242" t="s">
        <v>1617</v>
      </c>
      <c r="Y242" s="15">
        <v>40555</v>
      </c>
      <c r="AA242" t="s">
        <v>1624</v>
      </c>
      <c r="AB242" t="s">
        <v>1627</v>
      </c>
      <c r="AC242" s="17">
        <v>4.7</v>
      </c>
      <c r="AF242" t="str">
        <f t="shared" si="55"/>
        <v>2025/01/23</v>
      </c>
      <c r="AG242" t="str">
        <f t="shared" si="56"/>
        <v/>
      </c>
      <c r="AH242" t="str">
        <f t="shared" si="57"/>
        <v/>
      </c>
      <c r="AI242" t="str">
        <f t="shared" si="58"/>
        <v/>
      </c>
      <c r="AJ242" t="str">
        <f t="shared" si="59"/>
        <v>Not Found</v>
      </c>
      <c r="AK242" t="str">
        <f t="shared" si="60"/>
        <v>Not Found</v>
      </c>
    </row>
    <row r="243" spans="1:37" x14ac:dyDescent="0.35">
      <c r="A243" t="s">
        <v>259</v>
      </c>
      <c r="B243" t="s">
        <v>584</v>
      </c>
      <c r="C243" t="s">
        <v>863</v>
      </c>
      <c r="D243" t="str">
        <f t="shared" si="61"/>
        <v>Owen Hanson</v>
      </c>
      <c r="E243" t="str">
        <f t="shared" si="62"/>
        <v>Owen</v>
      </c>
      <c r="F243" t="str">
        <f t="shared" si="63"/>
        <v>Hanson</v>
      </c>
      <c r="G243" t="s">
        <v>1025</v>
      </c>
      <c r="H243" t="str">
        <f t="shared" si="64"/>
        <v>Finance Analyst</v>
      </c>
      <c r="I243" t="s">
        <v>1032</v>
      </c>
      <c r="J243" t="str">
        <f t="shared" si="65"/>
        <v>Operations</v>
      </c>
      <c r="K243" t="s">
        <v>1034</v>
      </c>
      <c r="L243" t="str">
        <f t="shared" si="66"/>
        <v>Scotland</v>
      </c>
      <c r="M243" t="s">
        <v>1043</v>
      </c>
      <c r="N243" t="s">
        <v>1049</v>
      </c>
      <c r="O243" t="str">
        <f t="shared" si="67"/>
        <v>Indeed</v>
      </c>
      <c r="P243" t="s">
        <v>1268</v>
      </c>
      <c r="Q243" s="9">
        <f t="shared" si="51"/>
        <v>45456</v>
      </c>
      <c r="R243" t="s">
        <v>1279</v>
      </c>
      <c r="S243" s="9">
        <f t="shared" si="52"/>
        <v>45463</v>
      </c>
      <c r="U243" s="9" t="str">
        <f t="shared" si="53"/>
        <v/>
      </c>
      <c r="W243" s="9" t="str">
        <f t="shared" si="54"/>
        <v/>
      </c>
      <c r="X243" t="s">
        <v>1615</v>
      </c>
      <c r="Y243" s="15">
        <v>51983</v>
      </c>
      <c r="AA243" t="s">
        <v>1624</v>
      </c>
      <c r="AB243" t="s">
        <v>1627</v>
      </c>
      <c r="AC243" s="17">
        <v>3.8</v>
      </c>
      <c r="AF243" t="str">
        <f t="shared" si="55"/>
        <v>2024/06/13</v>
      </c>
      <c r="AG243" t="str">
        <f t="shared" si="56"/>
        <v>06-20-2024</v>
      </c>
      <c r="AH243" t="str">
        <f t="shared" si="57"/>
        <v/>
      </c>
      <c r="AI243" t="str">
        <f t="shared" si="58"/>
        <v/>
      </c>
      <c r="AJ243" t="str">
        <f t="shared" si="59"/>
        <v>Not Found</v>
      </c>
      <c r="AK243" t="str">
        <f t="shared" si="60"/>
        <v>Not Found</v>
      </c>
    </row>
    <row r="244" spans="1:37" x14ac:dyDescent="0.35">
      <c r="A244" t="s">
        <v>260</v>
      </c>
      <c r="B244" t="s">
        <v>496</v>
      </c>
      <c r="C244" t="s">
        <v>864</v>
      </c>
      <c r="D244" t="str">
        <f t="shared" si="61"/>
        <v>Sharon Payne</v>
      </c>
      <c r="E244" t="str">
        <f t="shared" si="62"/>
        <v>Sharon</v>
      </c>
      <c r="F244" t="str">
        <f t="shared" si="63"/>
        <v>Payne</v>
      </c>
      <c r="G244" t="s">
        <v>1025</v>
      </c>
      <c r="H244" t="str">
        <f t="shared" si="64"/>
        <v>Finance Analyst</v>
      </c>
      <c r="I244" t="s">
        <v>1028</v>
      </c>
      <c r="J244" t="str">
        <f t="shared" si="65"/>
        <v>HR</v>
      </c>
      <c r="K244" t="s">
        <v>1038</v>
      </c>
      <c r="L244" t="str">
        <f t="shared" si="66"/>
        <v>East Midlands</v>
      </c>
      <c r="M244" t="s">
        <v>1041</v>
      </c>
      <c r="N244" t="s">
        <v>1050</v>
      </c>
      <c r="O244" t="str">
        <f t="shared" si="67"/>
        <v>Reed</v>
      </c>
      <c r="P244" t="s">
        <v>1269</v>
      </c>
      <c r="Q244" s="9">
        <f t="shared" si="51"/>
        <v>45441</v>
      </c>
      <c r="S244" s="9" t="str">
        <f t="shared" si="52"/>
        <v/>
      </c>
      <c r="U244" s="9" t="str">
        <f t="shared" si="53"/>
        <v/>
      </c>
      <c r="W244" s="9" t="str">
        <f t="shared" si="54"/>
        <v/>
      </c>
      <c r="X244" t="s">
        <v>1619</v>
      </c>
      <c r="Y244" s="15">
        <v>45843</v>
      </c>
      <c r="AA244" t="s">
        <v>1624</v>
      </c>
      <c r="AB244" t="s">
        <v>1626</v>
      </c>
      <c r="AC244" s="17">
        <v>4.2</v>
      </c>
      <c r="AF244" t="str">
        <f t="shared" si="55"/>
        <v>29/05/2024</v>
      </c>
      <c r="AG244" t="str">
        <f t="shared" si="56"/>
        <v/>
      </c>
      <c r="AH244" t="str">
        <f t="shared" si="57"/>
        <v/>
      </c>
      <c r="AI244" t="str">
        <f t="shared" si="58"/>
        <v/>
      </c>
      <c r="AJ244" t="str">
        <f t="shared" si="59"/>
        <v>Not Found</v>
      </c>
      <c r="AK244" t="str">
        <f t="shared" si="60"/>
        <v>Not Found</v>
      </c>
    </row>
    <row r="245" spans="1:37" x14ac:dyDescent="0.35">
      <c r="A245" t="s">
        <v>261</v>
      </c>
      <c r="B245" t="s">
        <v>585</v>
      </c>
      <c r="C245" t="s">
        <v>865</v>
      </c>
      <c r="D245" t="str">
        <f t="shared" si="61"/>
        <v>Lynn Baker</v>
      </c>
      <c r="E245" t="str">
        <f t="shared" si="62"/>
        <v>Lynn</v>
      </c>
      <c r="F245" t="str">
        <f t="shared" si="63"/>
        <v>Baker</v>
      </c>
      <c r="G245" t="s">
        <v>1027</v>
      </c>
      <c r="H245" t="str">
        <f t="shared" si="64"/>
        <v>Data Analyst</v>
      </c>
      <c r="I245" t="s">
        <v>1028</v>
      </c>
      <c r="J245" t="str">
        <f t="shared" si="65"/>
        <v>HR</v>
      </c>
      <c r="K245" t="s">
        <v>1040</v>
      </c>
      <c r="L245" t="str">
        <f t="shared" si="66"/>
        <v>North West</v>
      </c>
      <c r="M245" t="s">
        <v>1045</v>
      </c>
      <c r="N245" t="s">
        <v>1047</v>
      </c>
      <c r="O245" t="str">
        <f t="shared" si="67"/>
        <v>Linkedln</v>
      </c>
      <c r="P245" t="s">
        <v>1270</v>
      </c>
      <c r="Q245" s="9">
        <f t="shared" si="51"/>
        <v>45745</v>
      </c>
      <c r="R245" t="s">
        <v>1139</v>
      </c>
      <c r="S245" s="9">
        <f t="shared" si="52"/>
        <v>45767</v>
      </c>
      <c r="T245" t="s">
        <v>1369</v>
      </c>
      <c r="U245" s="9">
        <f t="shared" si="53"/>
        <v>45782</v>
      </c>
      <c r="W245" s="9" t="str">
        <f t="shared" si="54"/>
        <v/>
      </c>
      <c r="X245" t="s">
        <v>1618</v>
      </c>
      <c r="Y245" s="15">
        <v>41730</v>
      </c>
      <c r="Z245" s="15">
        <v>39142</v>
      </c>
      <c r="AA245" t="s">
        <v>1625</v>
      </c>
      <c r="AB245" t="s">
        <v>1628</v>
      </c>
      <c r="AC245" s="17">
        <v>2.4</v>
      </c>
      <c r="AF245" t="str">
        <f t="shared" si="55"/>
        <v>29/03/2025</v>
      </c>
      <c r="AG245" t="str">
        <f t="shared" si="56"/>
        <v>04-20-2025</v>
      </c>
      <c r="AH245" t="str">
        <f t="shared" si="57"/>
        <v>05-05-2025</v>
      </c>
      <c r="AI245" t="str">
        <f t="shared" si="58"/>
        <v/>
      </c>
      <c r="AJ245" t="str">
        <f t="shared" si="59"/>
        <v>Not Found</v>
      </c>
      <c r="AK245" t="str">
        <f t="shared" si="60"/>
        <v>Not Found</v>
      </c>
    </row>
    <row r="246" spans="1:37" x14ac:dyDescent="0.35">
      <c r="A246" t="s">
        <v>262</v>
      </c>
      <c r="B246" t="s">
        <v>509</v>
      </c>
      <c r="C246" t="s">
        <v>866</v>
      </c>
      <c r="D246" t="str">
        <f t="shared" si="61"/>
        <v>Stuart Nixon</v>
      </c>
      <c r="E246" t="str">
        <f t="shared" si="62"/>
        <v>Stuart</v>
      </c>
      <c r="F246" t="str">
        <f t="shared" si="63"/>
        <v>Nixon</v>
      </c>
      <c r="G246" t="s">
        <v>1026</v>
      </c>
      <c r="H246" t="str">
        <f t="shared" si="64"/>
        <v>BI Analyst</v>
      </c>
      <c r="I246" t="s">
        <v>1031</v>
      </c>
      <c r="J246" t="str">
        <f t="shared" si="65"/>
        <v>Technology</v>
      </c>
      <c r="K246" t="s">
        <v>1033</v>
      </c>
      <c r="L246" t="str">
        <f t="shared" si="66"/>
        <v>Midlands</v>
      </c>
      <c r="M246" t="s">
        <v>1044</v>
      </c>
      <c r="N246" t="s">
        <v>1050</v>
      </c>
      <c r="O246" t="str">
        <f t="shared" si="67"/>
        <v>Reed</v>
      </c>
      <c r="P246" t="s">
        <v>1271</v>
      </c>
      <c r="Q246" s="9">
        <f t="shared" si="51"/>
        <v>45764</v>
      </c>
      <c r="S246" s="9" t="str">
        <f t="shared" si="52"/>
        <v/>
      </c>
      <c r="U246" s="9" t="str">
        <f t="shared" si="53"/>
        <v/>
      </c>
      <c r="W246" s="9" t="str">
        <f t="shared" si="54"/>
        <v/>
      </c>
      <c r="X246" t="s">
        <v>1619</v>
      </c>
      <c r="Y246" s="15">
        <v>39688</v>
      </c>
      <c r="AA246" t="s">
        <v>1625</v>
      </c>
      <c r="AB246" t="s">
        <v>1627</v>
      </c>
      <c r="AC246" s="17">
        <v>4.0999999999999996</v>
      </c>
      <c r="AF246" t="str">
        <f t="shared" si="55"/>
        <v>17/04/2025</v>
      </c>
      <c r="AG246" t="str">
        <f t="shared" si="56"/>
        <v/>
      </c>
      <c r="AH246" t="str">
        <f t="shared" si="57"/>
        <v/>
      </c>
      <c r="AI246" t="str">
        <f t="shared" si="58"/>
        <v/>
      </c>
      <c r="AJ246" t="str">
        <f t="shared" si="59"/>
        <v>Not Found</v>
      </c>
      <c r="AK246" t="str">
        <f t="shared" si="60"/>
        <v>Not Found</v>
      </c>
    </row>
    <row r="247" spans="1:37" x14ac:dyDescent="0.35">
      <c r="A247" t="s">
        <v>263</v>
      </c>
      <c r="B247" t="s">
        <v>586</v>
      </c>
      <c r="C247" t="s">
        <v>867</v>
      </c>
      <c r="D247" t="str">
        <f t="shared" si="61"/>
        <v>Carolyn Brown</v>
      </c>
      <c r="E247" t="str">
        <f t="shared" si="62"/>
        <v>Carolyn</v>
      </c>
      <c r="F247" t="str">
        <f t="shared" si="63"/>
        <v>Brown</v>
      </c>
      <c r="G247" t="s">
        <v>1026</v>
      </c>
      <c r="H247" t="str">
        <f t="shared" si="64"/>
        <v>BI Analyst</v>
      </c>
      <c r="I247" t="s">
        <v>1028</v>
      </c>
      <c r="J247" t="str">
        <f t="shared" si="65"/>
        <v>HR</v>
      </c>
      <c r="K247" t="s">
        <v>1036</v>
      </c>
      <c r="L247" t="str">
        <f t="shared" si="66"/>
        <v>London</v>
      </c>
      <c r="M247" t="s">
        <v>1045</v>
      </c>
      <c r="N247" t="s">
        <v>1050</v>
      </c>
      <c r="O247" t="str">
        <f t="shared" si="67"/>
        <v>Reed</v>
      </c>
      <c r="P247" t="s">
        <v>1272</v>
      </c>
      <c r="Q247" s="9">
        <f t="shared" si="51"/>
        <v>45331</v>
      </c>
      <c r="S247" s="9" t="str">
        <f t="shared" si="52"/>
        <v/>
      </c>
      <c r="U247" s="9" t="str">
        <f t="shared" si="53"/>
        <v/>
      </c>
      <c r="W247" s="9" t="str">
        <f t="shared" si="54"/>
        <v/>
      </c>
      <c r="X247" t="s">
        <v>1616</v>
      </c>
      <c r="Y247" s="15">
        <v>37869</v>
      </c>
      <c r="AA247" t="s">
        <v>1625</v>
      </c>
      <c r="AB247" t="s">
        <v>1627</v>
      </c>
      <c r="AC247" s="17">
        <v>2.2999999999999998</v>
      </c>
      <c r="AF247" t="str">
        <f t="shared" si="55"/>
        <v>02-09-2024</v>
      </c>
      <c r="AG247" t="str">
        <f t="shared" si="56"/>
        <v/>
      </c>
      <c r="AH247" t="str">
        <f t="shared" si="57"/>
        <v/>
      </c>
      <c r="AI247" t="str">
        <f t="shared" si="58"/>
        <v/>
      </c>
      <c r="AJ247" t="str">
        <f t="shared" si="59"/>
        <v>Not Found</v>
      </c>
      <c r="AK247" t="str">
        <f t="shared" si="60"/>
        <v>Not Found</v>
      </c>
    </row>
    <row r="248" spans="1:37" x14ac:dyDescent="0.35">
      <c r="A248" t="s">
        <v>264</v>
      </c>
      <c r="B248" t="s">
        <v>495</v>
      </c>
      <c r="C248" t="s">
        <v>868</v>
      </c>
      <c r="D248" t="str">
        <f t="shared" si="61"/>
        <v>Victoria Kaur</v>
      </c>
      <c r="E248" t="str">
        <f t="shared" si="62"/>
        <v>Victoria</v>
      </c>
      <c r="F248" t="str">
        <f t="shared" si="63"/>
        <v>Kaur</v>
      </c>
      <c r="G248" t="s">
        <v>1027</v>
      </c>
      <c r="H248" t="str">
        <f t="shared" si="64"/>
        <v>Data Analyst</v>
      </c>
      <c r="I248" t="s">
        <v>1032</v>
      </c>
      <c r="J248" t="str">
        <f t="shared" si="65"/>
        <v>Operations</v>
      </c>
      <c r="K248" t="s">
        <v>1037</v>
      </c>
      <c r="L248" t="str">
        <f t="shared" si="66"/>
        <v>East Midlands</v>
      </c>
      <c r="M248" t="s">
        <v>1043</v>
      </c>
      <c r="N248" t="s">
        <v>1048</v>
      </c>
      <c r="O248" t="str">
        <f t="shared" si="67"/>
        <v>Referral</v>
      </c>
      <c r="P248" t="s">
        <v>1166</v>
      </c>
      <c r="Q248" s="9">
        <f t="shared" si="51"/>
        <v>45535</v>
      </c>
      <c r="S248" s="9" t="str">
        <f t="shared" si="52"/>
        <v/>
      </c>
      <c r="U248" s="9" t="str">
        <f t="shared" si="53"/>
        <v/>
      </c>
      <c r="W248" s="9" t="str">
        <f t="shared" si="54"/>
        <v/>
      </c>
      <c r="X248" t="s">
        <v>1619</v>
      </c>
      <c r="Y248" s="15">
        <v>35616</v>
      </c>
      <c r="AA248" t="s">
        <v>1621</v>
      </c>
      <c r="AB248" t="s">
        <v>1626</v>
      </c>
      <c r="AC248" s="17">
        <v>2.5</v>
      </c>
      <c r="AF248" t="str">
        <f t="shared" si="55"/>
        <v>31/08/2024</v>
      </c>
      <c r="AG248" t="str">
        <f t="shared" si="56"/>
        <v/>
      </c>
      <c r="AH248" t="str">
        <f t="shared" si="57"/>
        <v/>
      </c>
      <c r="AI248" t="str">
        <f t="shared" si="58"/>
        <v/>
      </c>
      <c r="AJ248" t="str">
        <f t="shared" si="59"/>
        <v>Not Found</v>
      </c>
      <c r="AK248" t="str">
        <f t="shared" si="60"/>
        <v>Not Found</v>
      </c>
    </row>
    <row r="249" spans="1:37" x14ac:dyDescent="0.35">
      <c r="A249" t="s">
        <v>265</v>
      </c>
      <c r="B249" t="s">
        <v>426</v>
      </c>
      <c r="C249" t="s">
        <v>869</v>
      </c>
      <c r="D249" t="str">
        <f t="shared" si="61"/>
        <v>Elliot Butler</v>
      </c>
      <c r="E249" t="str">
        <f t="shared" si="62"/>
        <v>Elliot</v>
      </c>
      <c r="F249" t="str">
        <f t="shared" si="63"/>
        <v>Butler</v>
      </c>
      <c r="G249" t="s">
        <v>1026</v>
      </c>
      <c r="H249" t="str">
        <f t="shared" si="64"/>
        <v>BI Analyst</v>
      </c>
      <c r="I249" t="s">
        <v>1029</v>
      </c>
      <c r="J249" t="str">
        <f t="shared" si="65"/>
        <v>Commercial</v>
      </c>
      <c r="K249" t="s">
        <v>1037</v>
      </c>
      <c r="L249" t="str">
        <f t="shared" si="66"/>
        <v>East Midlands</v>
      </c>
      <c r="M249" t="s">
        <v>1044</v>
      </c>
      <c r="N249" t="s">
        <v>1046</v>
      </c>
      <c r="O249" t="str">
        <f t="shared" si="67"/>
        <v>Linkedln</v>
      </c>
      <c r="P249" t="s">
        <v>1156</v>
      </c>
      <c r="Q249" s="9">
        <f t="shared" si="51"/>
        <v>45349</v>
      </c>
      <c r="S249" s="9" t="str">
        <f t="shared" si="52"/>
        <v/>
      </c>
      <c r="U249" s="9" t="str">
        <f t="shared" si="53"/>
        <v/>
      </c>
      <c r="W249" s="9" t="str">
        <f t="shared" si="54"/>
        <v/>
      </c>
      <c r="X249" t="s">
        <v>1616</v>
      </c>
      <c r="Y249" s="15">
        <v>49544</v>
      </c>
      <c r="AA249" t="s">
        <v>1625</v>
      </c>
      <c r="AB249" t="s">
        <v>1628</v>
      </c>
      <c r="AF249" t="str">
        <f t="shared" si="55"/>
        <v>2024/02/27</v>
      </c>
      <c r="AG249" t="str">
        <f t="shared" si="56"/>
        <v/>
      </c>
      <c r="AH249" t="str">
        <f t="shared" si="57"/>
        <v/>
      </c>
      <c r="AI249" t="str">
        <f t="shared" si="58"/>
        <v/>
      </c>
      <c r="AJ249" t="str">
        <f t="shared" si="59"/>
        <v>Not Found</v>
      </c>
      <c r="AK249" t="str">
        <f t="shared" si="60"/>
        <v>Not Found</v>
      </c>
    </row>
    <row r="250" spans="1:37" x14ac:dyDescent="0.35">
      <c r="A250" t="s">
        <v>266</v>
      </c>
      <c r="B250" t="s">
        <v>427</v>
      </c>
      <c r="C250" t="s">
        <v>870</v>
      </c>
      <c r="D250" t="str">
        <f t="shared" si="61"/>
        <v>Teresa Walker</v>
      </c>
      <c r="E250" t="str">
        <f t="shared" si="62"/>
        <v>Teresa</v>
      </c>
      <c r="F250" t="str">
        <f t="shared" si="63"/>
        <v>Walker</v>
      </c>
      <c r="G250" t="s">
        <v>1023</v>
      </c>
      <c r="H250" t="str">
        <f t="shared" si="64"/>
        <v>HR Analyst</v>
      </c>
      <c r="I250" t="s">
        <v>1032</v>
      </c>
      <c r="J250" t="str">
        <f t="shared" si="65"/>
        <v>Operations</v>
      </c>
      <c r="K250" t="s">
        <v>1035</v>
      </c>
      <c r="L250" t="str">
        <f t="shared" si="66"/>
        <v>Yorkshire</v>
      </c>
      <c r="M250" t="s">
        <v>1042</v>
      </c>
      <c r="N250" t="s">
        <v>1050</v>
      </c>
      <c r="O250" t="str">
        <f t="shared" si="67"/>
        <v>Reed</v>
      </c>
      <c r="P250" t="s">
        <v>1273</v>
      </c>
      <c r="Q250" s="9">
        <f t="shared" si="51"/>
        <v>45687</v>
      </c>
      <c r="S250" s="9" t="str">
        <f t="shared" si="52"/>
        <v/>
      </c>
      <c r="U250" s="9" t="str">
        <f t="shared" si="53"/>
        <v/>
      </c>
      <c r="W250" s="9" t="str">
        <f t="shared" si="54"/>
        <v/>
      </c>
      <c r="X250" t="s">
        <v>1616</v>
      </c>
      <c r="Y250" s="15">
        <v>38873</v>
      </c>
      <c r="AA250" t="s">
        <v>1623</v>
      </c>
      <c r="AB250" t="s">
        <v>1626</v>
      </c>
      <c r="AC250" s="17">
        <v>2.9</v>
      </c>
      <c r="AF250" t="str">
        <f t="shared" si="55"/>
        <v>2025/01/30</v>
      </c>
      <c r="AG250" t="str">
        <f t="shared" si="56"/>
        <v/>
      </c>
      <c r="AH250" t="str">
        <f t="shared" si="57"/>
        <v/>
      </c>
      <c r="AI250" t="str">
        <f t="shared" si="58"/>
        <v/>
      </c>
      <c r="AJ250" t="str">
        <f t="shared" si="59"/>
        <v>Not Found</v>
      </c>
      <c r="AK250" t="str">
        <f t="shared" si="60"/>
        <v>Not Found</v>
      </c>
    </row>
    <row r="251" spans="1:37" x14ac:dyDescent="0.35">
      <c r="A251" t="s">
        <v>267</v>
      </c>
      <c r="B251" t="s">
        <v>552</v>
      </c>
      <c r="C251" t="s">
        <v>871</v>
      </c>
      <c r="D251" t="str">
        <f t="shared" si="61"/>
        <v>Hollie Wilson</v>
      </c>
      <c r="E251" t="str">
        <f t="shared" si="62"/>
        <v>Hollie</v>
      </c>
      <c r="F251" t="str">
        <f t="shared" si="63"/>
        <v>Wilson</v>
      </c>
      <c r="G251" t="s">
        <v>1022</v>
      </c>
      <c r="H251" t="str">
        <f t="shared" si="64"/>
        <v>Reporting Analyst</v>
      </c>
      <c r="I251" t="s">
        <v>1028</v>
      </c>
      <c r="J251" t="str">
        <f t="shared" si="65"/>
        <v>HR</v>
      </c>
      <c r="K251" t="s">
        <v>1038</v>
      </c>
      <c r="L251" t="str">
        <f t="shared" si="66"/>
        <v>East Midlands</v>
      </c>
      <c r="M251" t="s">
        <v>1042</v>
      </c>
      <c r="N251" t="s">
        <v>1048</v>
      </c>
      <c r="O251" t="str">
        <f t="shared" si="67"/>
        <v>Referral</v>
      </c>
      <c r="P251" t="s">
        <v>1274</v>
      </c>
      <c r="Q251" s="9">
        <f t="shared" si="51"/>
        <v>45349</v>
      </c>
      <c r="S251" s="9" t="str">
        <f t="shared" si="52"/>
        <v/>
      </c>
      <c r="U251" s="9" t="str">
        <f t="shared" si="53"/>
        <v/>
      </c>
      <c r="W251" s="9" t="str">
        <f t="shared" si="54"/>
        <v/>
      </c>
      <c r="X251" t="s">
        <v>1616</v>
      </c>
      <c r="Y251" s="15">
        <v>33259</v>
      </c>
      <c r="AA251" t="s">
        <v>1622</v>
      </c>
      <c r="AB251" t="s">
        <v>1627</v>
      </c>
      <c r="AC251" s="17">
        <v>2.8</v>
      </c>
      <c r="AF251" t="str">
        <f t="shared" si="55"/>
        <v>27/02/2024</v>
      </c>
      <c r="AG251" t="str">
        <f t="shared" si="56"/>
        <v/>
      </c>
      <c r="AH251" t="str">
        <f t="shared" si="57"/>
        <v/>
      </c>
      <c r="AI251" t="str">
        <f t="shared" si="58"/>
        <v/>
      </c>
      <c r="AJ251" t="str">
        <f t="shared" si="59"/>
        <v>Not Found</v>
      </c>
      <c r="AK251" t="str">
        <f t="shared" si="60"/>
        <v>Not Found</v>
      </c>
    </row>
    <row r="252" spans="1:37" x14ac:dyDescent="0.35">
      <c r="A252" t="s">
        <v>268</v>
      </c>
      <c r="B252" t="s">
        <v>574</v>
      </c>
      <c r="C252" t="s">
        <v>872</v>
      </c>
      <c r="D252" t="str">
        <f t="shared" si="61"/>
        <v>Kirsty Wright</v>
      </c>
      <c r="E252" t="str">
        <f t="shared" si="62"/>
        <v>Kirsty</v>
      </c>
      <c r="F252" t="str">
        <f t="shared" si="63"/>
        <v>Wright</v>
      </c>
      <c r="G252" t="s">
        <v>1026</v>
      </c>
      <c r="H252" t="str">
        <f t="shared" si="64"/>
        <v>BI Analyst</v>
      </c>
      <c r="I252" t="s">
        <v>1030</v>
      </c>
      <c r="J252" t="str">
        <f t="shared" si="65"/>
        <v>Finance</v>
      </c>
      <c r="K252" t="s">
        <v>1040</v>
      </c>
      <c r="L252" t="str">
        <f t="shared" si="66"/>
        <v>North West</v>
      </c>
      <c r="M252" t="s">
        <v>1042</v>
      </c>
      <c r="N252" t="s">
        <v>1050</v>
      </c>
      <c r="O252" t="str">
        <f t="shared" si="67"/>
        <v>Reed</v>
      </c>
      <c r="P252" t="s">
        <v>1275</v>
      </c>
      <c r="Q252" s="9">
        <f t="shared" si="51"/>
        <v>45734</v>
      </c>
      <c r="R252" t="s">
        <v>1469</v>
      </c>
      <c r="S252" s="9">
        <f t="shared" si="52"/>
        <v>45761</v>
      </c>
      <c r="T252" t="s">
        <v>1430</v>
      </c>
      <c r="U252" s="9">
        <f t="shared" si="53"/>
        <v>45750</v>
      </c>
      <c r="W252" s="9" t="str">
        <f t="shared" si="54"/>
        <v/>
      </c>
      <c r="X252" t="s">
        <v>1618</v>
      </c>
      <c r="Y252" s="15">
        <v>45332</v>
      </c>
      <c r="Z252" s="15">
        <v>46484</v>
      </c>
      <c r="AA252" t="s">
        <v>1621</v>
      </c>
      <c r="AB252" t="s">
        <v>1626</v>
      </c>
      <c r="AC252" s="17">
        <v>4.8</v>
      </c>
      <c r="AF252" t="str">
        <f t="shared" si="55"/>
        <v>03-18-2025</v>
      </c>
      <c r="AG252" t="str">
        <f t="shared" si="56"/>
        <v>04-14-2025</v>
      </c>
      <c r="AH252" t="str">
        <f t="shared" si="57"/>
        <v>04-03-2025</v>
      </c>
      <c r="AI252" t="str">
        <f t="shared" si="58"/>
        <v/>
      </c>
      <c r="AJ252" t="str">
        <f t="shared" si="59"/>
        <v>Not Found</v>
      </c>
      <c r="AK252" t="str">
        <f t="shared" si="60"/>
        <v>Not Found</v>
      </c>
    </row>
    <row r="253" spans="1:37" x14ac:dyDescent="0.35">
      <c r="A253" t="s">
        <v>269</v>
      </c>
      <c r="B253" t="s">
        <v>531</v>
      </c>
      <c r="C253" t="s">
        <v>873</v>
      </c>
      <c r="D253" t="str">
        <f t="shared" si="61"/>
        <v>Howard Graham</v>
      </c>
      <c r="E253" t="str">
        <f t="shared" si="62"/>
        <v>Howard</v>
      </c>
      <c r="F253" t="str">
        <f t="shared" si="63"/>
        <v>Graham</v>
      </c>
      <c r="G253" t="s">
        <v>1025</v>
      </c>
      <c r="H253" t="str">
        <f t="shared" si="64"/>
        <v>Finance Analyst</v>
      </c>
      <c r="I253" t="s">
        <v>1030</v>
      </c>
      <c r="J253" t="str">
        <f t="shared" si="65"/>
        <v>Finance</v>
      </c>
      <c r="K253" t="s">
        <v>1038</v>
      </c>
      <c r="L253" t="str">
        <f t="shared" si="66"/>
        <v>East Midlands</v>
      </c>
      <c r="M253" t="s">
        <v>1041</v>
      </c>
      <c r="N253" t="s">
        <v>1051</v>
      </c>
      <c r="O253" t="str">
        <f t="shared" si="67"/>
        <v>CV Library</v>
      </c>
      <c r="P253" t="s">
        <v>1276</v>
      </c>
      <c r="Q253" s="9">
        <f t="shared" si="51"/>
        <v>45355</v>
      </c>
      <c r="R253" t="s">
        <v>1470</v>
      </c>
      <c r="S253" s="9">
        <f t="shared" si="52"/>
        <v>45367</v>
      </c>
      <c r="T253" t="s">
        <v>1559</v>
      </c>
      <c r="U253" s="9">
        <f t="shared" si="53"/>
        <v>45377</v>
      </c>
      <c r="W253" s="9" t="str">
        <f t="shared" si="54"/>
        <v/>
      </c>
      <c r="X253" t="s">
        <v>1618</v>
      </c>
      <c r="Y253" s="15">
        <v>50664</v>
      </c>
      <c r="Z253" s="15">
        <v>51046</v>
      </c>
      <c r="AA253" t="s">
        <v>1621</v>
      </c>
      <c r="AB253" t="s">
        <v>1627</v>
      </c>
      <c r="AC253" s="17">
        <v>2.5</v>
      </c>
      <c r="AF253" t="str">
        <f t="shared" si="55"/>
        <v>04/03/2024</v>
      </c>
      <c r="AG253" t="str">
        <f t="shared" si="56"/>
        <v>2024/03/16</v>
      </c>
      <c r="AH253" t="str">
        <f t="shared" si="57"/>
        <v>03-26-2024</v>
      </c>
      <c r="AI253" t="str">
        <f t="shared" si="58"/>
        <v/>
      </c>
      <c r="AJ253" t="str">
        <f t="shared" si="59"/>
        <v>Not Found</v>
      </c>
      <c r="AK253" t="str">
        <f t="shared" si="60"/>
        <v>Not Found</v>
      </c>
    </row>
    <row r="254" spans="1:37" x14ac:dyDescent="0.35">
      <c r="A254" t="s">
        <v>270</v>
      </c>
      <c r="B254" t="s">
        <v>574</v>
      </c>
      <c r="C254" t="s">
        <v>874</v>
      </c>
      <c r="D254" t="str">
        <f t="shared" si="61"/>
        <v>Elaine Steele</v>
      </c>
      <c r="E254" t="str">
        <f t="shared" si="62"/>
        <v>Elaine</v>
      </c>
      <c r="F254" t="str">
        <f t="shared" si="63"/>
        <v>Steele</v>
      </c>
      <c r="G254" t="s">
        <v>1022</v>
      </c>
      <c r="H254" t="str">
        <f t="shared" si="64"/>
        <v>Reporting Analyst</v>
      </c>
      <c r="I254" t="s">
        <v>1029</v>
      </c>
      <c r="J254" t="str">
        <f t="shared" si="65"/>
        <v>Commercial</v>
      </c>
      <c r="K254" t="s">
        <v>1040</v>
      </c>
      <c r="L254" t="str">
        <f t="shared" si="66"/>
        <v>North West</v>
      </c>
      <c r="M254" t="s">
        <v>1045</v>
      </c>
      <c r="N254" t="s">
        <v>1046</v>
      </c>
      <c r="O254" t="str">
        <f t="shared" si="67"/>
        <v>Linkedln</v>
      </c>
      <c r="P254" t="s">
        <v>1076</v>
      </c>
      <c r="Q254" s="9">
        <f t="shared" si="51"/>
        <v>45442</v>
      </c>
      <c r="S254" s="9" t="str">
        <f t="shared" si="52"/>
        <v/>
      </c>
      <c r="U254" s="9" t="str">
        <f t="shared" si="53"/>
        <v/>
      </c>
      <c r="W254" s="9" t="str">
        <f t="shared" si="54"/>
        <v/>
      </c>
      <c r="X254" t="s">
        <v>1616</v>
      </c>
      <c r="Y254" s="15">
        <v>36993</v>
      </c>
      <c r="AA254" t="s">
        <v>1625</v>
      </c>
      <c r="AB254" t="s">
        <v>1627</v>
      </c>
      <c r="AC254" s="17">
        <v>2.5</v>
      </c>
      <c r="AF254" t="str">
        <f t="shared" si="55"/>
        <v>05-30-2024</v>
      </c>
      <c r="AG254" t="str">
        <f t="shared" si="56"/>
        <v/>
      </c>
      <c r="AH254" t="str">
        <f t="shared" si="57"/>
        <v/>
      </c>
      <c r="AI254" t="str">
        <f t="shared" si="58"/>
        <v/>
      </c>
      <c r="AJ254" t="str">
        <f t="shared" si="59"/>
        <v>Not Found</v>
      </c>
      <c r="AK254" t="str">
        <f t="shared" si="60"/>
        <v>Not Found</v>
      </c>
    </row>
    <row r="255" spans="1:37" x14ac:dyDescent="0.35">
      <c r="A255" t="s">
        <v>271</v>
      </c>
      <c r="B255" t="s">
        <v>551</v>
      </c>
      <c r="C255" t="s">
        <v>875</v>
      </c>
      <c r="D255" t="str">
        <f t="shared" si="61"/>
        <v>Joseph Wilson</v>
      </c>
      <c r="E255" t="str">
        <f t="shared" si="62"/>
        <v>Joseph</v>
      </c>
      <c r="F255" t="str">
        <f t="shared" si="63"/>
        <v>Wilson</v>
      </c>
      <c r="G255" t="s">
        <v>1023</v>
      </c>
      <c r="H255" t="str">
        <f t="shared" si="64"/>
        <v>HR Analyst</v>
      </c>
      <c r="I255" t="s">
        <v>1031</v>
      </c>
      <c r="J255" t="str">
        <f t="shared" si="65"/>
        <v>Technology</v>
      </c>
      <c r="K255" t="s">
        <v>1034</v>
      </c>
      <c r="L255" t="str">
        <f t="shared" si="66"/>
        <v>Scotland</v>
      </c>
      <c r="M255" t="s">
        <v>1042</v>
      </c>
      <c r="N255" t="s">
        <v>1047</v>
      </c>
      <c r="O255" t="str">
        <f t="shared" si="67"/>
        <v>Linkedln</v>
      </c>
      <c r="P255" t="s">
        <v>1277</v>
      </c>
      <c r="Q255" s="9">
        <f t="shared" si="51"/>
        <v>45763</v>
      </c>
      <c r="R255" t="s">
        <v>1471</v>
      </c>
      <c r="S255" s="9">
        <f t="shared" si="52"/>
        <v>45788</v>
      </c>
      <c r="U255" s="9" t="str">
        <f t="shared" si="53"/>
        <v/>
      </c>
      <c r="W255" s="9" t="str">
        <f t="shared" si="54"/>
        <v/>
      </c>
      <c r="X255" t="s">
        <v>1615</v>
      </c>
      <c r="Y255" s="15">
        <v>47168</v>
      </c>
      <c r="AA255" t="s">
        <v>1622</v>
      </c>
      <c r="AB255" t="s">
        <v>1628</v>
      </c>
      <c r="AC255" s="17">
        <v>4.4000000000000004</v>
      </c>
      <c r="AF255" t="str">
        <f t="shared" si="55"/>
        <v>04-16-2025</v>
      </c>
      <c r="AG255" t="str">
        <f t="shared" si="56"/>
        <v>11/05/2025</v>
      </c>
      <c r="AH255" t="str">
        <f t="shared" si="57"/>
        <v/>
      </c>
      <c r="AI255" t="str">
        <f t="shared" si="58"/>
        <v/>
      </c>
      <c r="AJ255" t="str">
        <f t="shared" si="59"/>
        <v>Not Found</v>
      </c>
      <c r="AK255" t="str">
        <f t="shared" si="60"/>
        <v>Not Found</v>
      </c>
    </row>
    <row r="256" spans="1:37" x14ac:dyDescent="0.35">
      <c r="A256" t="s">
        <v>272</v>
      </c>
      <c r="B256" t="s">
        <v>437</v>
      </c>
      <c r="C256" t="s">
        <v>876</v>
      </c>
      <c r="D256" t="str">
        <f t="shared" si="61"/>
        <v>Olivia King Barnes</v>
      </c>
      <c r="E256" t="str">
        <f t="shared" si="62"/>
        <v>Olivia</v>
      </c>
      <c r="F256" t="str">
        <f t="shared" si="63"/>
        <v>Barnes</v>
      </c>
      <c r="G256" t="s">
        <v>1022</v>
      </c>
      <c r="H256" t="str">
        <f t="shared" si="64"/>
        <v>Reporting Analyst</v>
      </c>
      <c r="I256" t="s">
        <v>1031</v>
      </c>
      <c r="J256" t="str">
        <f t="shared" si="65"/>
        <v>Technology</v>
      </c>
      <c r="K256" t="s">
        <v>1035</v>
      </c>
      <c r="L256" t="str">
        <f t="shared" si="66"/>
        <v>Yorkshire</v>
      </c>
      <c r="M256" t="s">
        <v>1041</v>
      </c>
      <c r="N256" t="s">
        <v>1050</v>
      </c>
      <c r="O256" t="str">
        <f t="shared" si="67"/>
        <v>Reed</v>
      </c>
      <c r="P256" t="s">
        <v>1278</v>
      </c>
      <c r="Q256" s="9">
        <f t="shared" si="51"/>
        <v>45371</v>
      </c>
      <c r="S256" s="9" t="str">
        <f t="shared" si="52"/>
        <v/>
      </c>
      <c r="U256" s="9" t="str">
        <f t="shared" si="53"/>
        <v/>
      </c>
      <c r="W256" s="9" t="str">
        <f t="shared" si="54"/>
        <v/>
      </c>
      <c r="X256" t="s">
        <v>1619</v>
      </c>
      <c r="Y256" s="15">
        <v>50986</v>
      </c>
      <c r="AA256" t="s">
        <v>1621</v>
      </c>
      <c r="AB256" t="s">
        <v>1628</v>
      </c>
      <c r="AC256" s="17">
        <v>4.2</v>
      </c>
      <c r="AF256" t="str">
        <f t="shared" si="55"/>
        <v>20/03/2024</v>
      </c>
      <c r="AG256" t="str">
        <f t="shared" si="56"/>
        <v/>
      </c>
      <c r="AH256" t="str">
        <f t="shared" si="57"/>
        <v/>
      </c>
      <c r="AI256" t="str">
        <f t="shared" si="58"/>
        <v/>
      </c>
      <c r="AJ256" t="str">
        <f t="shared" si="59"/>
        <v>Not Found</v>
      </c>
      <c r="AK256" t="str">
        <f t="shared" si="60"/>
        <v>Not Found</v>
      </c>
    </row>
    <row r="257" spans="1:37" x14ac:dyDescent="0.35">
      <c r="A257" t="s">
        <v>273</v>
      </c>
      <c r="B257" t="s">
        <v>546</v>
      </c>
      <c r="C257" t="s">
        <v>877</v>
      </c>
      <c r="D257" t="str">
        <f t="shared" si="61"/>
        <v>Nigel Freeman</v>
      </c>
      <c r="E257" t="str">
        <f t="shared" si="62"/>
        <v>Nigel</v>
      </c>
      <c r="F257" t="str">
        <f t="shared" si="63"/>
        <v>Freeman</v>
      </c>
      <c r="G257" t="s">
        <v>1027</v>
      </c>
      <c r="H257" t="str">
        <f t="shared" si="64"/>
        <v>Data Analyst</v>
      </c>
      <c r="I257" t="s">
        <v>1030</v>
      </c>
      <c r="J257" t="str">
        <f t="shared" si="65"/>
        <v>Finance</v>
      </c>
      <c r="K257" t="s">
        <v>1033</v>
      </c>
      <c r="L257" t="str">
        <f t="shared" si="66"/>
        <v>Midlands</v>
      </c>
      <c r="M257" t="s">
        <v>1044</v>
      </c>
      <c r="N257" t="s">
        <v>1049</v>
      </c>
      <c r="O257" t="str">
        <f t="shared" si="67"/>
        <v>Indeed</v>
      </c>
      <c r="P257" t="s">
        <v>1279</v>
      </c>
      <c r="Q257" s="9">
        <f t="shared" si="51"/>
        <v>45463</v>
      </c>
      <c r="R257" t="s">
        <v>1472</v>
      </c>
      <c r="S257" s="9">
        <f t="shared" si="52"/>
        <v>45490</v>
      </c>
      <c r="T257" t="s">
        <v>1316</v>
      </c>
      <c r="U257" s="9">
        <f t="shared" si="53"/>
        <v>45488</v>
      </c>
      <c r="V257" t="s">
        <v>1606</v>
      </c>
      <c r="W257" s="9">
        <f t="shared" si="54"/>
        <v>45515</v>
      </c>
      <c r="X257" t="s">
        <v>1620</v>
      </c>
      <c r="Y257" s="15">
        <v>50717</v>
      </c>
      <c r="Z257" s="15">
        <v>47768</v>
      </c>
      <c r="AA257" t="s">
        <v>1625</v>
      </c>
      <c r="AB257" t="s">
        <v>1626</v>
      </c>
      <c r="AC257" s="17">
        <v>4.4000000000000004</v>
      </c>
      <c r="AF257" t="str">
        <f t="shared" si="55"/>
        <v>06-20-2024</v>
      </c>
      <c r="AG257" t="str">
        <f t="shared" si="56"/>
        <v>2024/07/17</v>
      </c>
      <c r="AH257" t="str">
        <f t="shared" si="57"/>
        <v>07-15-2024</v>
      </c>
      <c r="AI257" t="str">
        <f t="shared" si="58"/>
        <v>2024/08/11</v>
      </c>
      <c r="AJ257" t="str">
        <f t="shared" si="59"/>
        <v>Not Found</v>
      </c>
      <c r="AK257" t="str">
        <f t="shared" si="60"/>
        <v>Not Found</v>
      </c>
    </row>
    <row r="258" spans="1:37" x14ac:dyDescent="0.35">
      <c r="A258" t="s">
        <v>274</v>
      </c>
      <c r="B258" t="s">
        <v>522</v>
      </c>
      <c r="C258" t="s">
        <v>878</v>
      </c>
      <c r="D258" t="str">
        <f t="shared" si="61"/>
        <v>Graham Collins</v>
      </c>
      <c r="E258" t="str">
        <f t="shared" si="62"/>
        <v>Graham</v>
      </c>
      <c r="F258" t="str">
        <f t="shared" si="63"/>
        <v>Collins</v>
      </c>
      <c r="G258" t="s">
        <v>1022</v>
      </c>
      <c r="H258" t="str">
        <f t="shared" si="64"/>
        <v>Reporting Analyst</v>
      </c>
      <c r="I258" t="s">
        <v>1030</v>
      </c>
      <c r="J258" t="str">
        <f t="shared" si="65"/>
        <v>Finance</v>
      </c>
      <c r="K258" t="s">
        <v>1038</v>
      </c>
      <c r="L258" t="str">
        <f t="shared" si="66"/>
        <v>East Midlands</v>
      </c>
      <c r="M258" t="s">
        <v>1044</v>
      </c>
      <c r="N258" t="s">
        <v>1047</v>
      </c>
      <c r="O258" t="str">
        <f t="shared" si="67"/>
        <v>Linkedln</v>
      </c>
      <c r="P258" t="s">
        <v>1280</v>
      </c>
      <c r="Q258" s="9">
        <f t="shared" ref="Q258:Q321" si="68">IF(IFERROR(FIND("-",AF258),0)=3,DATE(RIGHT(AF258,4),LEFT(AF258,2),MID(AF258,4,2)), IF(IFERROR(FIND("/",AF258)=5,0), DATE(LEFT(AF258,4),MID(AF258,6,2),RIGHT(AF258,2)), DATE(RIGHT(AF258,4), MID(AF258,4,2), LEFT(AF258,2))))</f>
        <v>45668</v>
      </c>
      <c r="R258" t="s">
        <v>1361</v>
      </c>
      <c r="S258" s="9">
        <f t="shared" ref="S258:S321" si="69">IFERROR( IF(IFERROR(FIND("-",AG258),0)=3, DATE(RIGHT(AG258,4),LEFT(AG258,2),MID(AG258,4,2)),  IF(IFERROR(FIND("/",AG258)=5,0), DATE(LEFT(AG258,4),MID(AG258,6,2),RIGHT(AG258,2)), DATE(RIGHT(AG258,4), MID(AG258,4,2), LEFT(AG258,2)))),"")</f>
        <v>45687</v>
      </c>
      <c r="U258" s="9" t="str">
        <f t="shared" ref="U258:U321" si="70">IFERROR( IF(IFERROR(FIND("-",AH258),0)=3, DATE(RIGHT(AH258,4),LEFT(AH258,2),MID(AH258,4,2)),  IF(IFERROR(FIND("/",AH258)=5,0), DATE(LEFT(AH258,4),MID(AH258,6,2),RIGHT(AH258,2)), DATE(RIGHT(AH258,4), MID(AH258,4,2), LEFT(AH258,2)))),"")</f>
        <v/>
      </c>
      <c r="W258" s="9" t="str">
        <f t="shared" ref="W258:W321" si="71">IFERROR( IF(IFERROR(FIND("-",AI258),0)=3, DATE(RIGHT(AI258,4),LEFT(AI258,2),MID(AI258,4,2)),  IF(IFERROR(FIND("/",AI258)=5,0), DATE(LEFT(AI258,4),MID(AI258,6,2),RIGHT(AI258,2)), DATE(RIGHT(AI258,4), MID(AI258,4,2), LEFT(AI258,2)))),"")</f>
        <v/>
      </c>
      <c r="X258" t="s">
        <v>1615</v>
      </c>
      <c r="Y258" s="15">
        <v>45428</v>
      </c>
      <c r="AA258" t="s">
        <v>1624</v>
      </c>
      <c r="AB258" t="s">
        <v>1626</v>
      </c>
      <c r="AC258" s="17">
        <v>2.2999999999999998</v>
      </c>
      <c r="AF258" t="str">
        <f t="shared" ref="AF258:AF321" si="72">IF(IFERROR(FIND("-",P258),0) = 5, SUBSTITUTE(P258,"-","/"), P258)</f>
        <v>11/01/2025</v>
      </c>
      <c r="AG258" t="str">
        <f t="shared" ref="AG258:AG321" si="73">IF(R258 = "", "", IF(IFERROR(FIND("-",R258),0) = 5, SUBSTITUTE(R258,"-","/"), R258))</f>
        <v>30/01/2025</v>
      </c>
      <c r="AH258" t="str">
        <f t="shared" ref="AH258:AH321" si="74">IF(T258 = "", "", IF(IFERROR(FIND("-",T258),0) = 5, SUBSTITUTE(T258,"-","/"), T258))</f>
        <v/>
      </c>
      <c r="AI258" t="str">
        <f t="shared" ref="AI258:AI321" si="75">IF(V258 = "", "", IF(IFERROR(FIND("-",V258),0) = 5, SUBSTITUTE(V258,"-","/"), V258))</f>
        <v/>
      </c>
      <c r="AJ258" t="str">
        <f t="shared" ref="AJ258:AJ321" si="76">IFERROR(FIND(" ",X258),"Not Found")</f>
        <v>Not Found</v>
      </c>
      <c r="AK258" t="str">
        <f t="shared" ref="AK258:AK321" si="77">IFERROR(FIND(" ",AA258), "Not Found")</f>
        <v>Not Found</v>
      </c>
    </row>
    <row r="259" spans="1:37" x14ac:dyDescent="0.35">
      <c r="A259" t="s">
        <v>275</v>
      </c>
      <c r="B259" t="s">
        <v>587</v>
      </c>
      <c r="C259" t="s">
        <v>879</v>
      </c>
      <c r="D259" t="str">
        <f t="shared" ref="D259:D322" si="78">PROPER(TRIM(SUBSTITUTE(SUBSTITUTE(SUBSTITUTE(SUBSTITUTE(SUBSTITUTE(SUBSTITUTE(C259,"Mr "," "),"Dr "," "),"-"," "),"Miss "," "),"Mrs "," "),"Ms ", " ")))</f>
        <v>Jennifer Frost</v>
      </c>
      <c r="E259" t="str">
        <f t="shared" ref="E259:E322" si="79">_xlfn.TEXTBEFORE(D259," ",1,,,)</f>
        <v>Jennifer</v>
      </c>
      <c r="F259" t="str">
        <f t="shared" ref="F259:F322" si="80">_xlfn.TEXTAFTER(D259," ",-1,,,)</f>
        <v>Frost</v>
      </c>
      <c r="G259" t="s">
        <v>1027</v>
      </c>
      <c r="H259" t="str">
        <f t="shared" ref="H259:H322" si="81">TRIM(G259)</f>
        <v>Data Analyst</v>
      </c>
      <c r="I259" t="s">
        <v>1028</v>
      </c>
      <c r="J259" t="str">
        <f t="shared" ref="J259:J322" si="82">TRIM(I259)</f>
        <v>HR</v>
      </c>
      <c r="K259" t="s">
        <v>1036</v>
      </c>
      <c r="L259" t="str">
        <f t="shared" ref="L259:L322" si="83">PROPER(TRIM(K259))</f>
        <v>London</v>
      </c>
      <c r="M259" t="s">
        <v>1043</v>
      </c>
      <c r="N259" t="s">
        <v>1051</v>
      </c>
      <c r="O259" t="str">
        <f t="shared" ref="O259:O322" si="84">IF(OR(TRIM(N259) = "linkedin", TRIM(N259) = "LI"),"Linkedln",TRIM(N259))</f>
        <v>CV Library</v>
      </c>
      <c r="P259" t="s">
        <v>1281</v>
      </c>
      <c r="Q259" s="9">
        <f t="shared" si="68"/>
        <v>45670</v>
      </c>
      <c r="R259" t="s">
        <v>1435</v>
      </c>
      <c r="S259" s="9">
        <f t="shared" si="69"/>
        <v>45678</v>
      </c>
      <c r="U259" s="9" t="str">
        <f t="shared" si="70"/>
        <v/>
      </c>
      <c r="W259" s="9" t="str">
        <f t="shared" si="71"/>
        <v/>
      </c>
      <c r="X259" t="s">
        <v>1615</v>
      </c>
      <c r="Y259" s="15">
        <v>47732</v>
      </c>
      <c r="AA259" t="s">
        <v>1621</v>
      </c>
      <c r="AB259" t="s">
        <v>1628</v>
      </c>
      <c r="AC259" s="17">
        <v>3.7</v>
      </c>
      <c r="AF259" t="str">
        <f t="shared" si="72"/>
        <v>2025/01/13</v>
      </c>
      <c r="AG259" t="str">
        <f t="shared" si="73"/>
        <v>21/01/2025</v>
      </c>
      <c r="AH259" t="str">
        <f t="shared" si="74"/>
        <v/>
      </c>
      <c r="AI259" t="str">
        <f t="shared" si="75"/>
        <v/>
      </c>
      <c r="AJ259" t="str">
        <f t="shared" si="76"/>
        <v>Not Found</v>
      </c>
      <c r="AK259" t="str">
        <f t="shared" si="77"/>
        <v>Not Found</v>
      </c>
    </row>
    <row r="260" spans="1:37" x14ac:dyDescent="0.35">
      <c r="A260" t="s">
        <v>276</v>
      </c>
      <c r="B260" t="s">
        <v>571</v>
      </c>
      <c r="C260" t="s">
        <v>880</v>
      </c>
      <c r="D260" t="str">
        <f t="shared" si="78"/>
        <v>Benjamin Morris</v>
      </c>
      <c r="E260" t="str">
        <f t="shared" si="79"/>
        <v>Benjamin</v>
      </c>
      <c r="F260" t="str">
        <f t="shared" si="80"/>
        <v>Morris</v>
      </c>
      <c r="G260" t="s">
        <v>1026</v>
      </c>
      <c r="H260" t="str">
        <f t="shared" si="81"/>
        <v>BI Analyst</v>
      </c>
      <c r="I260" t="s">
        <v>1032</v>
      </c>
      <c r="J260" t="str">
        <f t="shared" si="82"/>
        <v>Operations</v>
      </c>
      <c r="K260" t="s">
        <v>1037</v>
      </c>
      <c r="L260" t="str">
        <f t="shared" si="83"/>
        <v>East Midlands</v>
      </c>
      <c r="M260" t="s">
        <v>1043</v>
      </c>
      <c r="N260" t="s">
        <v>1050</v>
      </c>
      <c r="O260" t="str">
        <f t="shared" si="84"/>
        <v>Reed</v>
      </c>
      <c r="P260" t="s">
        <v>1282</v>
      </c>
      <c r="Q260" s="9">
        <f t="shared" si="68"/>
        <v>45469</v>
      </c>
      <c r="R260" t="s">
        <v>1473</v>
      </c>
      <c r="S260" s="9">
        <f t="shared" si="69"/>
        <v>45490</v>
      </c>
      <c r="U260" s="9" t="str">
        <f t="shared" si="70"/>
        <v/>
      </c>
      <c r="W260" s="9" t="str">
        <f t="shared" si="71"/>
        <v/>
      </c>
      <c r="X260" t="s">
        <v>1615</v>
      </c>
      <c r="Y260" s="15">
        <v>51088</v>
      </c>
      <c r="AA260" t="s">
        <v>1622</v>
      </c>
      <c r="AB260" t="s">
        <v>1626</v>
      </c>
      <c r="AF260" t="str">
        <f t="shared" si="72"/>
        <v>2024/06/26</v>
      </c>
      <c r="AG260" t="str">
        <f t="shared" si="73"/>
        <v>07-17-2024</v>
      </c>
      <c r="AH260" t="str">
        <f t="shared" si="74"/>
        <v/>
      </c>
      <c r="AI260" t="str">
        <f t="shared" si="75"/>
        <v/>
      </c>
      <c r="AJ260" t="str">
        <f t="shared" si="76"/>
        <v>Not Found</v>
      </c>
      <c r="AK260" t="str">
        <f t="shared" si="77"/>
        <v>Not Found</v>
      </c>
    </row>
    <row r="261" spans="1:37" x14ac:dyDescent="0.35">
      <c r="A261" t="s">
        <v>277</v>
      </c>
      <c r="B261" t="s">
        <v>455</v>
      </c>
      <c r="C261" t="s">
        <v>881</v>
      </c>
      <c r="D261" t="str">
        <f t="shared" si="78"/>
        <v>Robert Todd</v>
      </c>
      <c r="E261" t="str">
        <f t="shared" si="79"/>
        <v>Robert</v>
      </c>
      <c r="F261" t="str">
        <f t="shared" si="80"/>
        <v>Todd</v>
      </c>
      <c r="G261" t="s">
        <v>1026</v>
      </c>
      <c r="H261" t="str">
        <f t="shared" si="81"/>
        <v>BI Analyst</v>
      </c>
      <c r="I261" t="s">
        <v>1030</v>
      </c>
      <c r="J261" t="str">
        <f t="shared" si="82"/>
        <v>Finance</v>
      </c>
      <c r="K261" t="s">
        <v>1037</v>
      </c>
      <c r="L261" t="str">
        <f t="shared" si="83"/>
        <v>East Midlands</v>
      </c>
      <c r="M261" t="s">
        <v>1043</v>
      </c>
      <c r="N261" t="s">
        <v>1051</v>
      </c>
      <c r="O261" t="str">
        <f t="shared" si="84"/>
        <v>CV Library</v>
      </c>
      <c r="P261" t="s">
        <v>1283</v>
      </c>
      <c r="Q261" s="9">
        <f t="shared" si="68"/>
        <v>45575</v>
      </c>
      <c r="R261" t="s">
        <v>1474</v>
      </c>
      <c r="S261" s="9">
        <f t="shared" si="69"/>
        <v>45580</v>
      </c>
      <c r="T261" t="s">
        <v>1560</v>
      </c>
      <c r="U261" s="9">
        <f t="shared" si="70"/>
        <v>45596</v>
      </c>
      <c r="V261" t="s">
        <v>1607</v>
      </c>
      <c r="W261" s="9">
        <f t="shared" si="71"/>
        <v>45617</v>
      </c>
      <c r="X261" t="s">
        <v>1620</v>
      </c>
      <c r="Y261" s="15">
        <v>40212</v>
      </c>
      <c r="Z261" s="15">
        <v>40707</v>
      </c>
      <c r="AA261" t="s">
        <v>1623</v>
      </c>
      <c r="AB261" t="s">
        <v>1628</v>
      </c>
      <c r="AC261" s="17">
        <v>4.0999999999999996</v>
      </c>
      <c r="AF261" t="str">
        <f t="shared" si="72"/>
        <v>2024/10/10</v>
      </c>
      <c r="AG261" t="str">
        <f t="shared" si="73"/>
        <v>10-15-2024</v>
      </c>
      <c r="AH261" t="str">
        <f t="shared" si="74"/>
        <v>10-31-2024</v>
      </c>
      <c r="AI261" t="str">
        <f t="shared" si="75"/>
        <v>2024/11/21</v>
      </c>
      <c r="AJ261" t="str">
        <f t="shared" si="76"/>
        <v>Not Found</v>
      </c>
      <c r="AK261" t="str">
        <f t="shared" si="77"/>
        <v>Not Found</v>
      </c>
    </row>
    <row r="262" spans="1:37" x14ac:dyDescent="0.35">
      <c r="A262" t="s">
        <v>278</v>
      </c>
      <c r="B262" t="s">
        <v>493</v>
      </c>
      <c r="C262" t="s">
        <v>882</v>
      </c>
      <c r="D262" t="str">
        <f t="shared" si="78"/>
        <v>Denis Leach Carter</v>
      </c>
      <c r="E262" t="str">
        <f t="shared" si="79"/>
        <v>Denis</v>
      </c>
      <c r="F262" t="str">
        <f t="shared" si="80"/>
        <v>Carter</v>
      </c>
      <c r="G262" t="s">
        <v>1024</v>
      </c>
      <c r="H262" t="str">
        <f t="shared" si="81"/>
        <v>Business Analyst</v>
      </c>
      <c r="I262" t="s">
        <v>1031</v>
      </c>
      <c r="J262" t="str">
        <f t="shared" si="82"/>
        <v>Technology</v>
      </c>
      <c r="K262" t="s">
        <v>1034</v>
      </c>
      <c r="L262" t="str">
        <f t="shared" si="83"/>
        <v>Scotland</v>
      </c>
      <c r="M262" t="s">
        <v>1044</v>
      </c>
      <c r="N262" t="s">
        <v>1051</v>
      </c>
      <c r="O262" t="str">
        <f t="shared" si="84"/>
        <v>CV Library</v>
      </c>
      <c r="P262" t="s">
        <v>1284</v>
      </c>
      <c r="Q262" s="9">
        <f t="shared" si="68"/>
        <v>45602</v>
      </c>
      <c r="S262" s="9" t="str">
        <f t="shared" si="69"/>
        <v/>
      </c>
      <c r="U262" s="9" t="str">
        <f t="shared" si="70"/>
        <v/>
      </c>
      <c r="W262" s="9" t="str">
        <f t="shared" si="71"/>
        <v/>
      </c>
      <c r="X262" t="s">
        <v>1619</v>
      </c>
      <c r="Y262" s="15">
        <v>34684</v>
      </c>
      <c r="AA262" t="s">
        <v>1622</v>
      </c>
      <c r="AB262" t="s">
        <v>1627</v>
      </c>
      <c r="AC262" s="17">
        <v>4.0999999999999996</v>
      </c>
      <c r="AF262" t="str">
        <f t="shared" si="72"/>
        <v>11-06-2024</v>
      </c>
      <c r="AG262" t="str">
        <f t="shared" si="73"/>
        <v/>
      </c>
      <c r="AH262" t="str">
        <f t="shared" si="74"/>
        <v/>
      </c>
      <c r="AI262" t="str">
        <f t="shared" si="75"/>
        <v/>
      </c>
      <c r="AJ262" t="str">
        <f t="shared" si="76"/>
        <v>Not Found</v>
      </c>
      <c r="AK262" t="str">
        <f t="shared" si="77"/>
        <v>Not Found</v>
      </c>
    </row>
    <row r="263" spans="1:37" x14ac:dyDescent="0.35">
      <c r="A263" t="s">
        <v>279</v>
      </c>
      <c r="B263" t="s">
        <v>499</v>
      </c>
      <c r="C263" t="s">
        <v>883</v>
      </c>
      <c r="D263" t="str">
        <f t="shared" si="78"/>
        <v>Robin Bishop Clark</v>
      </c>
      <c r="E263" t="str">
        <f t="shared" si="79"/>
        <v>Robin</v>
      </c>
      <c r="F263" t="str">
        <f t="shared" si="80"/>
        <v>Clark</v>
      </c>
      <c r="G263" t="s">
        <v>1024</v>
      </c>
      <c r="H263" t="str">
        <f t="shared" si="81"/>
        <v>Business Analyst</v>
      </c>
      <c r="I263" t="s">
        <v>1032</v>
      </c>
      <c r="J263" t="str">
        <f t="shared" si="82"/>
        <v>Operations</v>
      </c>
      <c r="K263" t="s">
        <v>1034</v>
      </c>
      <c r="L263" t="str">
        <f t="shared" si="83"/>
        <v>Scotland</v>
      </c>
      <c r="M263" t="s">
        <v>1041</v>
      </c>
      <c r="N263" t="s">
        <v>1048</v>
      </c>
      <c r="O263" t="str">
        <f t="shared" si="84"/>
        <v>Referral</v>
      </c>
      <c r="P263" t="s">
        <v>1285</v>
      </c>
      <c r="Q263" s="9">
        <f t="shared" si="68"/>
        <v>45391</v>
      </c>
      <c r="R263" t="s">
        <v>1475</v>
      </c>
      <c r="S263" s="9">
        <f t="shared" si="69"/>
        <v>45403</v>
      </c>
      <c r="T263" t="s">
        <v>1561</v>
      </c>
      <c r="U263" s="9">
        <f t="shared" si="70"/>
        <v>45434</v>
      </c>
      <c r="V263" t="s">
        <v>1397</v>
      </c>
      <c r="W263" s="9">
        <f t="shared" si="71"/>
        <v>45442</v>
      </c>
      <c r="X263" t="s">
        <v>1620</v>
      </c>
      <c r="Y263" s="15">
        <v>28134</v>
      </c>
      <c r="Z263" s="15">
        <v>31583</v>
      </c>
      <c r="AA263" t="s">
        <v>1622</v>
      </c>
      <c r="AB263" t="s">
        <v>1628</v>
      </c>
      <c r="AC263" s="17">
        <v>4.9000000000000004</v>
      </c>
      <c r="AF263" t="str">
        <f t="shared" si="72"/>
        <v>2024/04/09</v>
      </c>
      <c r="AG263" t="str">
        <f t="shared" si="73"/>
        <v>04-21-2024</v>
      </c>
      <c r="AH263" t="str">
        <f t="shared" si="74"/>
        <v>05-22-2024</v>
      </c>
      <c r="AI263" t="str">
        <f t="shared" si="75"/>
        <v>30/05/2024</v>
      </c>
      <c r="AJ263" t="str">
        <f t="shared" si="76"/>
        <v>Not Found</v>
      </c>
      <c r="AK263" t="str">
        <f t="shared" si="77"/>
        <v>Not Found</v>
      </c>
    </row>
    <row r="264" spans="1:37" x14ac:dyDescent="0.35">
      <c r="A264" t="s">
        <v>280</v>
      </c>
      <c r="B264" t="s">
        <v>588</v>
      </c>
      <c r="C264" t="s">
        <v>884</v>
      </c>
      <c r="D264" t="str">
        <f t="shared" si="78"/>
        <v>Eleanor Webb</v>
      </c>
      <c r="E264" t="str">
        <f t="shared" si="79"/>
        <v>Eleanor</v>
      </c>
      <c r="F264" t="str">
        <f t="shared" si="80"/>
        <v>Webb</v>
      </c>
      <c r="G264" t="s">
        <v>1022</v>
      </c>
      <c r="H264" t="str">
        <f t="shared" si="81"/>
        <v>Reporting Analyst</v>
      </c>
      <c r="I264" t="s">
        <v>1031</v>
      </c>
      <c r="J264" t="str">
        <f t="shared" si="82"/>
        <v>Technology</v>
      </c>
      <c r="K264" t="s">
        <v>1037</v>
      </c>
      <c r="L264" t="str">
        <f t="shared" si="83"/>
        <v>East Midlands</v>
      </c>
      <c r="M264" t="s">
        <v>1044</v>
      </c>
      <c r="N264" t="s">
        <v>1047</v>
      </c>
      <c r="O264" t="str">
        <f t="shared" si="84"/>
        <v>Linkedln</v>
      </c>
      <c r="P264" t="s">
        <v>1286</v>
      </c>
      <c r="Q264" s="9">
        <f t="shared" si="68"/>
        <v>45495</v>
      </c>
      <c r="S264" s="9" t="str">
        <f t="shared" si="69"/>
        <v/>
      </c>
      <c r="U264" s="9" t="str">
        <f t="shared" si="70"/>
        <v/>
      </c>
      <c r="W264" s="9" t="str">
        <f t="shared" si="71"/>
        <v/>
      </c>
      <c r="X264" t="s">
        <v>1619</v>
      </c>
      <c r="Y264" s="15">
        <v>36009</v>
      </c>
      <c r="AA264" t="s">
        <v>1622</v>
      </c>
      <c r="AB264" t="s">
        <v>1626</v>
      </c>
      <c r="AC264" s="17">
        <v>3.1</v>
      </c>
      <c r="AF264" t="str">
        <f t="shared" si="72"/>
        <v>2024/07/22</v>
      </c>
      <c r="AG264" t="str">
        <f t="shared" si="73"/>
        <v/>
      </c>
      <c r="AH264" t="str">
        <f t="shared" si="74"/>
        <v/>
      </c>
      <c r="AI264" t="str">
        <f t="shared" si="75"/>
        <v/>
      </c>
      <c r="AJ264" t="str">
        <f t="shared" si="76"/>
        <v>Not Found</v>
      </c>
      <c r="AK264" t="str">
        <f t="shared" si="77"/>
        <v>Not Found</v>
      </c>
    </row>
    <row r="265" spans="1:37" x14ac:dyDescent="0.35">
      <c r="A265" t="s">
        <v>281</v>
      </c>
      <c r="B265" t="s">
        <v>575</v>
      </c>
      <c r="C265" t="s">
        <v>885</v>
      </c>
      <c r="D265" t="str">
        <f t="shared" si="78"/>
        <v>Dylan Coleman</v>
      </c>
      <c r="E265" t="str">
        <f t="shared" si="79"/>
        <v>Dylan</v>
      </c>
      <c r="F265" t="str">
        <f t="shared" si="80"/>
        <v>Coleman</v>
      </c>
      <c r="G265" t="s">
        <v>1026</v>
      </c>
      <c r="H265" t="str">
        <f t="shared" si="81"/>
        <v>BI Analyst</v>
      </c>
      <c r="I265" t="s">
        <v>1029</v>
      </c>
      <c r="J265" t="str">
        <f t="shared" si="82"/>
        <v>Commercial</v>
      </c>
      <c r="K265" t="s">
        <v>1035</v>
      </c>
      <c r="L265" t="str">
        <f t="shared" si="83"/>
        <v>Yorkshire</v>
      </c>
      <c r="M265" t="s">
        <v>1044</v>
      </c>
      <c r="N265" t="s">
        <v>1050</v>
      </c>
      <c r="O265" t="str">
        <f t="shared" si="84"/>
        <v>Reed</v>
      </c>
      <c r="P265" t="s">
        <v>1287</v>
      </c>
      <c r="Q265" s="9">
        <f t="shared" si="68"/>
        <v>45396</v>
      </c>
      <c r="R265" t="s">
        <v>1476</v>
      </c>
      <c r="S265" s="9">
        <f t="shared" si="69"/>
        <v>45402</v>
      </c>
      <c r="T265" t="s">
        <v>1562</v>
      </c>
      <c r="U265" s="9">
        <f t="shared" si="70"/>
        <v>45411</v>
      </c>
      <c r="V265" t="s">
        <v>1406</v>
      </c>
      <c r="W265" s="9">
        <f t="shared" si="71"/>
        <v>45438</v>
      </c>
      <c r="X265" t="s">
        <v>1620</v>
      </c>
      <c r="Y265" s="15">
        <v>40466</v>
      </c>
      <c r="Z265" s="15">
        <v>37941</v>
      </c>
      <c r="AA265" t="s">
        <v>1625</v>
      </c>
      <c r="AB265" t="s">
        <v>1628</v>
      </c>
      <c r="AC265" s="17">
        <v>4.3</v>
      </c>
      <c r="AF265" t="str">
        <f t="shared" si="72"/>
        <v>04-14-2024</v>
      </c>
      <c r="AG265" t="str">
        <f t="shared" si="73"/>
        <v>20/04/2024</v>
      </c>
      <c r="AH265" t="str">
        <f t="shared" si="74"/>
        <v>2024/04/29</v>
      </c>
      <c r="AI265" t="str">
        <f t="shared" si="75"/>
        <v>05-26-2024</v>
      </c>
      <c r="AJ265" t="str">
        <f t="shared" si="76"/>
        <v>Not Found</v>
      </c>
      <c r="AK265" t="str">
        <f t="shared" si="77"/>
        <v>Not Found</v>
      </c>
    </row>
    <row r="266" spans="1:37" x14ac:dyDescent="0.35">
      <c r="A266" t="s">
        <v>282</v>
      </c>
      <c r="B266" t="s">
        <v>561</v>
      </c>
      <c r="C266" t="s">
        <v>886</v>
      </c>
      <c r="D266" t="str">
        <f t="shared" si="78"/>
        <v>Douglas Leonard Bennett</v>
      </c>
      <c r="E266" t="str">
        <f t="shared" si="79"/>
        <v>Douglas</v>
      </c>
      <c r="F266" t="str">
        <f t="shared" si="80"/>
        <v>Bennett</v>
      </c>
      <c r="G266" t="s">
        <v>1025</v>
      </c>
      <c r="H266" t="str">
        <f t="shared" si="81"/>
        <v>Finance Analyst</v>
      </c>
      <c r="I266" t="s">
        <v>1028</v>
      </c>
      <c r="J266" t="str">
        <f t="shared" si="82"/>
        <v>HR</v>
      </c>
      <c r="K266" t="s">
        <v>1039</v>
      </c>
      <c r="L266" t="str">
        <f t="shared" si="83"/>
        <v>South East</v>
      </c>
      <c r="M266" t="s">
        <v>1042</v>
      </c>
      <c r="N266" t="s">
        <v>1052</v>
      </c>
      <c r="O266" t="str">
        <f t="shared" si="84"/>
        <v>Linkedln</v>
      </c>
      <c r="P266" t="s">
        <v>1288</v>
      </c>
      <c r="Q266" s="9">
        <f t="shared" si="68"/>
        <v>45323</v>
      </c>
      <c r="R266" t="s">
        <v>1477</v>
      </c>
      <c r="S266" s="9">
        <f t="shared" si="69"/>
        <v>45339</v>
      </c>
      <c r="U266" s="9" t="str">
        <f t="shared" si="70"/>
        <v/>
      </c>
      <c r="W266" s="9" t="str">
        <f t="shared" si="71"/>
        <v/>
      </c>
      <c r="X266" t="s">
        <v>1615</v>
      </c>
      <c r="Y266" s="15">
        <v>40722</v>
      </c>
      <c r="AA266" t="s">
        <v>1623</v>
      </c>
      <c r="AB266" t="s">
        <v>1628</v>
      </c>
      <c r="AC266" s="17">
        <v>3.2</v>
      </c>
      <c r="AF266" t="str">
        <f t="shared" si="72"/>
        <v>2024/02/01</v>
      </c>
      <c r="AG266" t="str">
        <f t="shared" si="73"/>
        <v>02-17-2024</v>
      </c>
      <c r="AH266" t="str">
        <f t="shared" si="74"/>
        <v/>
      </c>
      <c r="AI266" t="str">
        <f t="shared" si="75"/>
        <v/>
      </c>
      <c r="AJ266" t="str">
        <f t="shared" si="76"/>
        <v>Not Found</v>
      </c>
      <c r="AK266" t="str">
        <f t="shared" si="77"/>
        <v>Not Found</v>
      </c>
    </row>
    <row r="267" spans="1:37" x14ac:dyDescent="0.35">
      <c r="A267" t="s">
        <v>283</v>
      </c>
      <c r="B267" t="s">
        <v>564</v>
      </c>
      <c r="C267" t="s">
        <v>887</v>
      </c>
      <c r="D267" t="str">
        <f t="shared" si="78"/>
        <v>Jeffrey Wade</v>
      </c>
      <c r="E267" t="str">
        <f t="shared" si="79"/>
        <v>Jeffrey</v>
      </c>
      <c r="F267" t="str">
        <f t="shared" si="80"/>
        <v>Wade</v>
      </c>
      <c r="G267" t="s">
        <v>1023</v>
      </c>
      <c r="H267" t="str">
        <f t="shared" si="81"/>
        <v>HR Analyst</v>
      </c>
      <c r="I267" t="s">
        <v>1029</v>
      </c>
      <c r="J267" t="str">
        <f t="shared" si="82"/>
        <v>Commercial</v>
      </c>
      <c r="K267" t="s">
        <v>1039</v>
      </c>
      <c r="L267" t="str">
        <f t="shared" si="83"/>
        <v>South East</v>
      </c>
      <c r="M267" t="s">
        <v>1044</v>
      </c>
      <c r="N267" t="s">
        <v>1050</v>
      </c>
      <c r="O267" t="str">
        <f t="shared" si="84"/>
        <v>Reed</v>
      </c>
      <c r="P267" t="s">
        <v>1289</v>
      </c>
      <c r="Q267" s="9">
        <f t="shared" si="68"/>
        <v>45344</v>
      </c>
      <c r="R267" t="s">
        <v>1478</v>
      </c>
      <c r="S267" s="9">
        <f t="shared" si="69"/>
        <v>45357</v>
      </c>
      <c r="U267" s="9" t="str">
        <f t="shared" si="70"/>
        <v/>
      </c>
      <c r="W267" s="9" t="str">
        <f t="shared" si="71"/>
        <v/>
      </c>
      <c r="X267" t="s">
        <v>1615</v>
      </c>
      <c r="Y267" s="15">
        <v>30710</v>
      </c>
      <c r="AA267" t="s">
        <v>1622</v>
      </c>
      <c r="AB267" t="s">
        <v>1626</v>
      </c>
      <c r="AC267" s="17">
        <v>3.2</v>
      </c>
      <c r="AF267" t="str">
        <f t="shared" si="72"/>
        <v>02-22-2024</v>
      </c>
      <c r="AG267" t="str">
        <f t="shared" si="73"/>
        <v>03-06-2024</v>
      </c>
      <c r="AH267" t="str">
        <f t="shared" si="74"/>
        <v/>
      </c>
      <c r="AI267" t="str">
        <f t="shared" si="75"/>
        <v/>
      </c>
      <c r="AJ267" t="str">
        <f t="shared" si="76"/>
        <v>Not Found</v>
      </c>
      <c r="AK267" t="str">
        <f t="shared" si="77"/>
        <v>Not Found</v>
      </c>
    </row>
    <row r="268" spans="1:37" x14ac:dyDescent="0.35">
      <c r="A268" t="s">
        <v>284</v>
      </c>
      <c r="B268" t="s">
        <v>572</v>
      </c>
      <c r="C268" t="s">
        <v>888</v>
      </c>
      <c r="D268" t="str">
        <f t="shared" si="78"/>
        <v>Wendy Moore</v>
      </c>
      <c r="E268" t="str">
        <f t="shared" si="79"/>
        <v>Wendy</v>
      </c>
      <c r="F268" t="str">
        <f t="shared" si="80"/>
        <v>Moore</v>
      </c>
      <c r="G268" t="s">
        <v>1023</v>
      </c>
      <c r="H268" t="str">
        <f t="shared" si="81"/>
        <v>HR Analyst</v>
      </c>
      <c r="I268" t="s">
        <v>1031</v>
      </c>
      <c r="J268" t="str">
        <f t="shared" si="82"/>
        <v>Technology</v>
      </c>
      <c r="K268" t="s">
        <v>1033</v>
      </c>
      <c r="L268" t="str">
        <f t="shared" si="83"/>
        <v>Midlands</v>
      </c>
      <c r="M268" t="s">
        <v>1041</v>
      </c>
      <c r="N268" t="s">
        <v>1051</v>
      </c>
      <c r="O268" t="str">
        <f t="shared" si="84"/>
        <v>CV Library</v>
      </c>
      <c r="P268" t="s">
        <v>1290</v>
      </c>
      <c r="Q268" s="9">
        <f t="shared" si="68"/>
        <v>45692</v>
      </c>
      <c r="S268" s="9" t="str">
        <f t="shared" si="69"/>
        <v/>
      </c>
      <c r="U268" s="9" t="str">
        <f t="shared" si="70"/>
        <v/>
      </c>
      <c r="W268" s="9" t="str">
        <f t="shared" si="71"/>
        <v/>
      </c>
      <c r="X268" t="s">
        <v>1619</v>
      </c>
      <c r="Y268" s="15">
        <v>35491</v>
      </c>
      <c r="AA268" t="s">
        <v>1625</v>
      </c>
      <c r="AB268" t="s">
        <v>1627</v>
      </c>
      <c r="AF268" t="str">
        <f t="shared" si="72"/>
        <v>2025/02/04</v>
      </c>
      <c r="AG268" t="str">
        <f t="shared" si="73"/>
        <v/>
      </c>
      <c r="AH268" t="str">
        <f t="shared" si="74"/>
        <v/>
      </c>
      <c r="AI268" t="str">
        <f t="shared" si="75"/>
        <v/>
      </c>
      <c r="AJ268" t="str">
        <f t="shared" si="76"/>
        <v>Not Found</v>
      </c>
      <c r="AK268" t="str">
        <f t="shared" si="77"/>
        <v>Not Found</v>
      </c>
    </row>
    <row r="269" spans="1:37" x14ac:dyDescent="0.35">
      <c r="A269" t="s">
        <v>285</v>
      </c>
      <c r="B269" t="s">
        <v>426</v>
      </c>
      <c r="C269" t="s">
        <v>889</v>
      </c>
      <c r="D269" t="str">
        <f t="shared" si="78"/>
        <v>Justin Howe</v>
      </c>
      <c r="E269" t="str">
        <f t="shared" si="79"/>
        <v>Justin</v>
      </c>
      <c r="F269" t="str">
        <f t="shared" si="80"/>
        <v>Howe</v>
      </c>
      <c r="G269" t="s">
        <v>1025</v>
      </c>
      <c r="H269" t="str">
        <f t="shared" si="81"/>
        <v>Finance Analyst</v>
      </c>
      <c r="I269" t="s">
        <v>1032</v>
      </c>
      <c r="J269" t="str">
        <f t="shared" si="82"/>
        <v>Operations</v>
      </c>
      <c r="K269" t="s">
        <v>1033</v>
      </c>
      <c r="L269" t="str">
        <f t="shared" si="83"/>
        <v>Midlands</v>
      </c>
      <c r="M269" t="s">
        <v>1043</v>
      </c>
      <c r="N269" t="s">
        <v>1048</v>
      </c>
      <c r="O269" t="str">
        <f t="shared" si="84"/>
        <v>Referral</v>
      </c>
      <c r="P269" t="s">
        <v>1291</v>
      </c>
      <c r="Q269" s="9">
        <f t="shared" si="68"/>
        <v>45704</v>
      </c>
      <c r="R269" t="s">
        <v>1479</v>
      </c>
      <c r="S269" s="9">
        <f t="shared" si="69"/>
        <v>45713</v>
      </c>
      <c r="T269" t="s">
        <v>1318</v>
      </c>
      <c r="U269" s="9">
        <f t="shared" si="70"/>
        <v>45728</v>
      </c>
      <c r="W269" s="9" t="str">
        <f t="shared" si="71"/>
        <v/>
      </c>
      <c r="X269" t="s">
        <v>1618</v>
      </c>
      <c r="Y269" s="15">
        <v>28035</v>
      </c>
      <c r="Z269" s="15">
        <v>31156</v>
      </c>
      <c r="AA269" t="s">
        <v>1622</v>
      </c>
      <c r="AB269" t="s">
        <v>1626</v>
      </c>
      <c r="AC269" s="17">
        <v>3.4</v>
      </c>
      <c r="AF269" t="str">
        <f t="shared" si="72"/>
        <v>02-16-2025</v>
      </c>
      <c r="AG269" t="str">
        <f t="shared" si="73"/>
        <v>25/02/2025</v>
      </c>
      <c r="AH269" t="str">
        <f t="shared" si="74"/>
        <v>03-12-2025</v>
      </c>
      <c r="AI269" t="str">
        <f t="shared" si="75"/>
        <v/>
      </c>
      <c r="AJ269" t="str">
        <f t="shared" si="76"/>
        <v>Not Found</v>
      </c>
      <c r="AK269" t="str">
        <f t="shared" si="77"/>
        <v>Not Found</v>
      </c>
    </row>
    <row r="270" spans="1:37" x14ac:dyDescent="0.35">
      <c r="A270" t="s">
        <v>286</v>
      </c>
      <c r="B270" t="s">
        <v>474</v>
      </c>
      <c r="C270" t="s">
        <v>890</v>
      </c>
      <c r="D270" t="str">
        <f t="shared" si="78"/>
        <v>Sara Lee</v>
      </c>
      <c r="E270" t="str">
        <f t="shared" si="79"/>
        <v>Sara</v>
      </c>
      <c r="F270" t="str">
        <f t="shared" si="80"/>
        <v>Lee</v>
      </c>
      <c r="G270" t="s">
        <v>1024</v>
      </c>
      <c r="H270" t="str">
        <f t="shared" si="81"/>
        <v>Business Analyst</v>
      </c>
      <c r="I270" t="s">
        <v>1029</v>
      </c>
      <c r="J270" t="str">
        <f t="shared" si="82"/>
        <v>Commercial</v>
      </c>
      <c r="K270" t="s">
        <v>1036</v>
      </c>
      <c r="L270" t="str">
        <f t="shared" si="83"/>
        <v>London</v>
      </c>
      <c r="M270" t="s">
        <v>1041</v>
      </c>
      <c r="N270" t="s">
        <v>1049</v>
      </c>
      <c r="O270" t="str">
        <f t="shared" si="84"/>
        <v>Indeed</v>
      </c>
      <c r="P270" t="s">
        <v>1292</v>
      </c>
      <c r="Q270" s="9">
        <f t="shared" si="68"/>
        <v>45366</v>
      </c>
      <c r="S270" s="9" t="str">
        <f t="shared" si="69"/>
        <v/>
      </c>
      <c r="U270" s="9" t="str">
        <f t="shared" si="70"/>
        <v/>
      </c>
      <c r="W270" s="9" t="str">
        <f t="shared" si="71"/>
        <v/>
      </c>
      <c r="X270" t="s">
        <v>1616</v>
      </c>
      <c r="Y270" s="15">
        <v>46255</v>
      </c>
      <c r="AA270" t="s">
        <v>1623</v>
      </c>
      <c r="AB270" t="s">
        <v>1627</v>
      </c>
      <c r="AC270" s="17">
        <v>2.2999999999999998</v>
      </c>
      <c r="AF270" t="str">
        <f t="shared" si="72"/>
        <v>2024/03/15</v>
      </c>
      <c r="AG270" t="str">
        <f t="shared" si="73"/>
        <v/>
      </c>
      <c r="AH270" t="str">
        <f t="shared" si="74"/>
        <v/>
      </c>
      <c r="AI270" t="str">
        <f t="shared" si="75"/>
        <v/>
      </c>
      <c r="AJ270" t="str">
        <f t="shared" si="76"/>
        <v>Not Found</v>
      </c>
      <c r="AK270" t="str">
        <f t="shared" si="77"/>
        <v>Not Found</v>
      </c>
    </row>
    <row r="271" spans="1:37" x14ac:dyDescent="0.35">
      <c r="A271" t="s">
        <v>287</v>
      </c>
      <c r="B271" t="s">
        <v>519</v>
      </c>
      <c r="C271" t="s">
        <v>891</v>
      </c>
      <c r="D271" t="str">
        <f t="shared" si="78"/>
        <v>Terry Brown</v>
      </c>
      <c r="E271" t="str">
        <f t="shared" si="79"/>
        <v>Terry</v>
      </c>
      <c r="F271" t="str">
        <f t="shared" si="80"/>
        <v>Brown</v>
      </c>
      <c r="G271" t="s">
        <v>1025</v>
      </c>
      <c r="H271" t="str">
        <f t="shared" si="81"/>
        <v>Finance Analyst</v>
      </c>
      <c r="I271" t="s">
        <v>1028</v>
      </c>
      <c r="J271" t="str">
        <f t="shared" si="82"/>
        <v>HR</v>
      </c>
      <c r="K271" t="s">
        <v>1040</v>
      </c>
      <c r="L271" t="str">
        <f t="shared" si="83"/>
        <v>North West</v>
      </c>
      <c r="M271" t="s">
        <v>1043</v>
      </c>
      <c r="N271" t="s">
        <v>1046</v>
      </c>
      <c r="O271" t="str">
        <f t="shared" si="84"/>
        <v>Linkedln</v>
      </c>
      <c r="P271" t="s">
        <v>1293</v>
      </c>
      <c r="Q271" s="9">
        <f t="shared" si="68"/>
        <v>45437</v>
      </c>
      <c r="S271" s="9" t="str">
        <f t="shared" si="69"/>
        <v/>
      </c>
      <c r="U271" s="9" t="str">
        <f t="shared" si="70"/>
        <v/>
      </c>
      <c r="W271" s="9" t="str">
        <f t="shared" si="71"/>
        <v/>
      </c>
      <c r="X271" t="s">
        <v>1619</v>
      </c>
      <c r="Y271" s="15">
        <v>47309</v>
      </c>
      <c r="AA271" t="s">
        <v>1621</v>
      </c>
      <c r="AB271" t="s">
        <v>1628</v>
      </c>
      <c r="AC271" s="17">
        <v>3.2</v>
      </c>
      <c r="AF271" t="str">
        <f t="shared" si="72"/>
        <v>05-25-2024</v>
      </c>
      <c r="AG271" t="str">
        <f t="shared" si="73"/>
        <v/>
      </c>
      <c r="AH271" t="str">
        <f t="shared" si="74"/>
        <v/>
      </c>
      <c r="AI271" t="str">
        <f t="shared" si="75"/>
        <v/>
      </c>
      <c r="AJ271" t="str">
        <f t="shared" si="76"/>
        <v>Not Found</v>
      </c>
      <c r="AK271" t="str">
        <f t="shared" si="77"/>
        <v>Not Found</v>
      </c>
    </row>
    <row r="272" spans="1:37" x14ac:dyDescent="0.35">
      <c r="A272" t="s">
        <v>288</v>
      </c>
      <c r="B272" t="s">
        <v>467</v>
      </c>
      <c r="C272" t="s">
        <v>892</v>
      </c>
      <c r="D272" t="str">
        <f t="shared" si="78"/>
        <v>Charlie Evans</v>
      </c>
      <c r="E272" t="str">
        <f t="shared" si="79"/>
        <v>Charlie</v>
      </c>
      <c r="F272" t="str">
        <f t="shared" si="80"/>
        <v>Evans</v>
      </c>
      <c r="G272" t="s">
        <v>1022</v>
      </c>
      <c r="H272" t="str">
        <f t="shared" si="81"/>
        <v>Reporting Analyst</v>
      </c>
      <c r="I272" t="s">
        <v>1029</v>
      </c>
      <c r="J272" t="str">
        <f t="shared" si="82"/>
        <v>Commercial</v>
      </c>
      <c r="K272" t="s">
        <v>1035</v>
      </c>
      <c r="L272" t="str">
        <f t="shared" si="83"/>
        <v>Yorkshire</v>
      </c>
      <c r="M272" t="s">
        <v>1042</v>
      </c>
      <c r="N272" t="s">
        <v>1047</v>
      </c>
      <c r="O272" t="str">
        <f t="shared" si="84"/>
        <v>Linkedln</v>
      </c>
      <c r="P272" t="s">
        <v>1294</v>
      </c>
      <c r="Q272" s="9">
        <f t="shared" si="68"/>
        <v>45712</v>
      </c>
      <c r="R272" t="s">
        <v>1480</v>
      </c>
      <c r="S272" s="9">
        <f t="shared" si="69"/>
        <v>45729</v>
      </c>
      <c r="T272" t="s">
        <v>1371</v>
      </c>
      <c r="U272" s="9">
        <f t="shared" si="70"/>
        <v>45750</v>
      </c>
      <c r="W272" s="9" t="str">
        <f t="shared" si="71"/>
        <v/>
      </c>
      <c r="X272" t="s">
        <v>1618</v>
      </c>
      <c r="Y272" s="15">
        <v>38059</v>
      </c>
      <c r="Z272" s="15">
        <v>35281</v>
      </c>
      <c r="AA272" t="s">
        <v>1625</v>
      </c>
      <c r="AB272" t="s">
        <v>1628</v>
      </c>
      <c r="AF272" t="str">
        <f t="shared" si="72"/>
        <v>2025/02/24</v>
      </c>
      <c r="AG272" t="str">
        <f t="shared" si="73"/>
        <v>03-13-2025</v>
      </c>
      <c r="AH272" t="str">
        <f t="shared" si="74"/>
        <v>03/04/2025</v>
      </c>
      <c r="AI272" t="str">
        <f t="shared" si="75"/>
        <v/>
      </c>
      <c r="AJ272" t="str">
        <f t="shared" si="76"/>
        <v>Not Found</v>
      </c>
      <c r="AK272" t="str">
        <f t="shared" si="77"/>
        <v>Not Found</v>
      </c>
    </row>
    <row r="273" spans="1:37" x14ac:dyDescent="0.35">
      <c r="A273" t="s">
        <v>289</v>
      </c>
      <c r="B273" t="s">
        <v>589</v>
      </c>
      <c r="C273" t="s">
        <v>893</v>
      </c>
      <c r="D273" t="str">
        <f t="shared" si="78"/>
        <v>Jessica Brown Ford</v>
      </c>
      <c r="E273" t="str">
        <f t="shared" si="79"/>
        <v>Jessica</v>
      </c>
      <c r="F273" t="str">
        <f t="shared" si="80"/>
        <v>Ford</v>
      </c>
      <c r="G273" t="s">
        <v>1024</v>
      </c>
      <c r="H273" t="str">
        <f t="shared" si="81"/>
        <v>Business Analyst</v>
      </c>
      <c r="I273" t="s">
        <v>1028</v>
      </c>
      <c r="J273" t="str">
        <f t="shared" si="82"/>
        <v>HR</v>
      </c>
      <c r="K273" t="s">
        <v>1036</v>
      </c>
      <c r="L273" t="str">
        <f t="shared" si="83"/>
        <v>London</v>
      </c>
      <c r="M273" t="s">
        <v>1044</v>
      </c>
      <c r="N273" t="s">
        <v>1052</v>
      </c>
      <c r="O273" t="str">
        <f t="shared" si="84"/>
        <v>Linkedln</v>
      </c>
      <c r="P273" t="s">
        <v>1295</v>
      </c>
      <c r="Q273" s="9">
        <f t="shared" si="68"/>
        <v>45423</v>
      </c>
      <c r="R273" t="s">
        <v>1481</v>
      </c>
      <c r="S273" s="9">
        <f t="shared" si="69"/>
        <v>45448</v>
      </c>
      <c r="U273" s="9" t="str">
        <f t="shared" si="70"/>
        <v/>
      </c>
      <c r="W273" s="9" t="str">
        <f t="shared" si="71"/>
        <v/>
      </c>
      <c r="X273" t="s">
        <v>1615</v>
      </c>
      <c r="Y273" s="15">
        <v>30155</v>
      </c>
      <c r="AA273" t="s">
        <v>1623</v>
      </c>
      <c r="AB273" t="s">
        <v>1628</v>
      </c>
      <c r="AC273" s="17">
        <v>2.2000000000000002</v>
      </c>
      <c r="AF273" t="str">
        <f t="shared" si="72"/>
        <v>2024/05/11</v>
      </c>
      <c r="AG273" t="str">
        <f t="shared" si="73"/>
        <v>06-05-2024</v>
      </c>
      <c r="AH273" t="str">
        <f t="shared" si="74"/>
        <v/>
      </c>
      <c r="AI273" t="str">
        <f t="shared" si="75"/>
        <v/>
      </c>
      <c r="AJ273" t="str">
        <f t="shared" si="76"/>
        <v>Not Found</v>
      </c>
      <c r="AK273" t="str">
        <f t="shared" si="77"/>
        <v>Not Found</v>
      </c>
    </row>
    <row r="274" spans="1:37" x14ac:dyDescent="0.35">
      <c r="A274" t="s">
        <v>290</v>
      </c>
      <c r="B274" t="s">
        <v>590</v>
      </c>
      <c r="C274" t="s">
        <v>894</v>
      </c>
      <c r="D274" t="str">
        <f t="shared" si="78"/>
        <v>Jason Stone</v>
      </c>
      <c r="E274" t="str">
        <f t="shared" si="79"/>
        <v>Jason</v>
      </c>
      <c r="F274" t="str">
        <f t="shared" si="80"/>
        <v>Stone</v>
      </c>
      <c r="G274" t="s">
        <v>1027</v>
      </c>
      <c r="H274" t="str">
        <f t="shared" si="81"/>
        <v>Data Analyst</v>
      </c>
      <c r="I274" t="s">
        <v>1031</v>
      </c>
      <c r="J274" t="str">
        <f t="shared" si="82"/>
        <v>Technology</v>
      </c>
      <c r="K274" t="s">
        <v>1033</v>
      </c>
      <c r="L274" t="str">
        <f t="shared" si="83"/>
        <v>Midlands</v>
      </c>
      <c r="M274" t="s">
        <v>1045</v>
      </c>
      <c r="N274" t="s">
        <v>1047</v>
      </c>
      <c r="O274" t="str">
        <f t="shared" si="84"/>
        <v>Linkedln</v>
      </c>
      <c r="P274" t="s">
        <v>1296</v>
      </c>
      <c r="Q274" s="9">
        <f t="shared" si="68"/>
        <v>45746</v>
      </c>
      <c r="S274" s="9" t="str">
        <f t="shared" si="69"/>
        <v/>
      </c>
      <c r="U274" s="9" t="str">
        <f t="shared" si="70"/>
        <v/>
      </c>
      <c r="W274" s="9" t="str">
        <f t="shared" si="71"/>
        <v/>
      </c>
      <c r="X274" t="s">
        <v>1617</v>
      </c>
      <c r="Y274" s="15">
        <v>32856</v>
      </c>
      <c r="AA274" t="s">
        <v>1625</v>
      </c>
      <c r="AB274" t="s">
        <v>1627</v>
      </c>
      <c r="AF274" t="str">
        <f t="shared" si="72"/>
        <v>03-30-2025</v>
      </c>
      <c r="AG274" t="str">
        <f t="shared" si="73"/>
        <v/>
      </c>
      <c r="AH274" t="str">
        <f t="shared" si="74"/>
        <v/>
      </c>
      <c r="AI274" t="str">
        <f t="shared" si="75"/>
        <v/>
      </c>
      <c r="AJ274" t="str">
        <f t="shared" si="76"/>
        <v>Not Found</v>
      </c>
      <c r="AK274" t="str">
        <f t="shared" si="77"/>
        <v>Not Found</v>
      </c>
    </row>
    <row r="275" spans="1:37" x14ac:dyDescent="0.35">
      <c r="A275" t="s">
        <v>291</v>
      </c>
      <c r="B275" t="s">
        <v>533</v>
      </c>
      <c r="C275" t="s">
        <v>895</v>
      </c>
      <c r="D275" t="str">
        <f t="shared" si="78"/>
        <v>Nicole Potts</v>
      </c>
      <c r="E275" t="str">
        <f t="shared" si="79"/>
        <v>Nicole</v>
      </c>
      <c r="F275" t="str">
        <f t="shared" si="80"/>
        <v>Potts</v>
      </c>
      <c r="G275" t="s">
        <v>1025</v>
      </c>
      <c r="H275" t="str">
        <f t="shared" si="81"/>
        <v>Finance Analyst</v>
      </c>
      <c r="I275" t="s">
        <v>1031</v>
      </c>
      <c r="J275" t="str">
        <f t="shared" si="82"/>
        <v>Technology</v>
      </c>
      <c r="K275" t="s">
        <v>1034</v>
      </c>
      <c r="L275" t="str">
        <f t="shared" si="83"/>
        <v>Scotland</v>
      </c>
      <c r="M275" t="s">
        <v>1042</v>
      </c>
      <c r="N275" t="s">
        <v>1051</v>
      </c>
      <c r="O275" t="str">
        <f t="shared" si="84"/>
        <v>CV Library</v>
      </c>
      <c r="P275" t="s">
        <v>1297</v>
      </c>
      <c r="Q275" s="9">
        <f t="shared" si="68"/>
        <v>45450</v>
      </c>
      <c r="R275" t="s">
        <v>1482</v>
      </c>
      <c r="S275" s="9">
        <f t="shared" si="69"/>
        <v>45459</v>
      </c>
      <c r="U275" s="9" t="str">
        <f t="shared" si="70"/>
        <v/>
      </c>
      <c r="W275" s="9" t="str">
        <f t="shared" si="71"/>
        <v/>
      </c>
      <c r="X275" t="s">
        <v>1615</v>
      </c>
      <c r="Y275" s="15">
        <v>49828</v>
      </c>
      <c r="AA275" t="s">
        <v>1623</v>
      </c>
      <c r="AB275" t="s">
        <v>1626</v>
      </c>
      <c r="AF275" t="str">
        <f t="shared" si="72"/>
        <v>07/06/2024</v>
      </c>
      <c r="AG275" t="str">
        <f t="shared" si="73"/>
        <v>2024/06/16</v>
      </c>
      <c r="AH275" t="str">
        <f t="shared" si="74"/>
        <v/>
      </c>
      <c r="AI275" t="str">
        <f t="shared" si="75"/>
        <v/>
      </c>
      <c r="AJ275" t="str">
        <f t="shared" si="76"/>
        <v>Not Found</v>
      </c>
      <c r="AK275" t="str">
        <f t="shared" si="77"/>
        <v>Not Found</v>
      </c>
    </row>
    <row r="276" spans="1:37" x14ac:dyDescent="0.35">
      <c r="A276" t="s">
        <v>292</v>
      </c>
      <c r="B276" t="s">
        <v>426</v>
      </c>
      <c r="C276" t="s">
        <v>896</v>
      </c>
      <c r="D276" t="str">
        <f t="shared" si="78"/>
        <v>Aaron Griffin</v>
      </c>
      <c r="E276" t="str">
        <f t="shared" si="79"/>
        <v>Aaron</v>
      </c>
      <c r="F276" t="str">
        <f t="shared" si="80"/>
        <v>Griffin</v>
      </c>
      <c r="G276" t="s">
        <v>1023</v>
      </c>
      <c r="H276" t="str">
        <f t="shared" si="81"/>
        <v>HR Analyst</v>
      </c>
      <c r="I276" t="s">
        <v>1032</v>
      </c>
      <c r="J276" t="str">
        <f t="shared" si="82"/>
        <v>Operations</v>
      </c>
      <c r="K276" t="s">
        <v>1037</v>
      </c>
      <c r="L276" t="str">
        <f t="shared" si="83"/>
        <v>East Midlands</v>
      </c>
      <c r="M276" t="s">
        <v>1041</v>
      </c>
      <c r="N276" t="s">
        <v>1049</v>
      </c>
      <c r="O276" t="str">
        <f t="shared" si="84"/>
        <v>Indeed</v>
      </c>
      <c r="P276" t="s">
        <v>1096</v>
      </c>
      <c r="Q276" s="9">
        <f t="shared" si="68"/>
        <v>45441</v>
      </c>
      <c r="S276" s="9" t="str">
        <f t="shared" si="69"/>
        <v/>
      </c>
      <c r="U276" s="9" t="str">
        <f t="shared" si="70"/>
        <v/>
      </c>
      <c r="W276" s="9" t="str">
        <f t="shared" si="71"/>
        <v/>
      </c>
      <c r="X276" t="s">
        <v>1619</v>
      </c>
      <c r="Y276" s="15">
        <v>33432</v>
      </c>
      <c r="AA276" t="s">
        <v>1623</v>
      </c>
      <c r="AB276" t="s">
        <v>1627</v>
      </c>
      <c r="AC276" s="17">
        <v>4.0999999999999996</v>
      </c>
      <c r="AF276" t="str">
        <f t="shared" si="72"/>
        <v>05-29-2024</v>
      </c>
      <c r="AG276" t="str">
        <f t="shared" si="73"/>
        <v/>
      </c>
      <c r="AH276" t="str">
        <f t="shared" si="74"/>
        <v/>
      </c>
      <c r="AI276" t="str">
        <f t="shared" si="75"/>
        <v/>
      </c>
      <c r="AJ276" t="str">
        <f t="shared" si="76"/>
        <v>Not Found</v>
      </c>
      <c r="AK276" t="str">
        <f t="shared" si="77"/>
        <v>Not Found</v>
      </c>
    </row>
    <row r="277" spans="1:37" x14ac:dyDescent="0.35">
      <c r="A277" t="s">
        <v>293</v>
      </c>
      <c r="B277" t="s">
        <v>447</v>
      </c>
      <c r="C277" t="s">
        <v>897</v>
      </c>
      <c r="D277" t="str">
        <f t="shared" si="78"/>
        <v>Denise Bradley</v>
      </c>
      <c r="E277" t="str">
        <f t="shared" si="79"/>
        <v>Denise</v>
      </c>
      <c r="F277" t="str">
        <f t="shared" si="80"/>
        <v>Bradley</v>
      </c>
      <c r="G277" t="s">
        <v>1024</v>
      </c>
      <c r="H277" t="str">
        <f t="shared" si="81"/>
        <v>Business Analyst</v>
      </c>
      <c r="I277" t="s">
        <v>1030</v>
      </c>
      <c r="J277" t="str">
        <f t="shared" si="82"/>
        <v>Finance</v>
      </c>
      <c r="K277" t="s">
        <v>1033</v>
      </c>
      <c r="L277" t="str">
        <f t="shared" si="83"/>
        <v>Midlands</v>
      </c>
      <c r="M277" t="s">
        <v>1045</v>
      </c>
      <c r="N277" t="s">
        <v>1049</v>
      </c>
      <c r="O277" t="str">
        <f t="shared" si="84"/>
        <v>Indeed</v>
      </c>
      <c r="P277" t="s">
        <v>1298</v>
      </c>
      <c r="Q277" s="9">
        <f t="shared" si="68"/>
        <v>45743</v>
      </c>
      <c r="S277" s="9" t="str">
        <f t="shared" si="69"/>
        <v/>
      </c>
      <c r="U277" s="9" t="str">
        <f t="shared" si="70"/>
        <v/>
      </c>
      <c r="W277" s="9" t="str">
        <f t="shared" si="71"/>
        <v/>
      </c>
      <c r="X277" t="s">
        <v>1617</v>
      </c>
      <c r="Y277" s="15">
        <v>40429</v>
      </c>
      <c r="AA277" t="s">
        <v>1621</v>
      </c>
      <c r="AB277" t="s">
        <v>1628</v>
      </c>
      <c r="AC277" s="17">
        <v>2.5</v>
      </c>
      <c r="AF277" t="str">
        <f t="shared" si="72"/>
        <v>27/03/2025</v>
      </c>
      <c r="AG277" t="str">
        <f t="shared" si="73"/>
        <v/>
      </c>
      <c r="AH277" t="str">
        <f t="shared" si="74"/>
        <v/>
      </c>
      <c r="AI277" t="str">
        <f t="shared" si="75"/>
        <v/>
      </c>
      <c r="AJ277" t="str">
        <f t="shared" si="76"/>
        <v>Not Found</v>
      </c>
      <c r="AK277" t="str">
        <f t="shared" si="77"/>
        <v>Not Found</v>
      </c>
    </row>
    <row r="278" spans="1:37" x14ac:dyDescent="0.35">
      <c r="A278" t="s">
        <v>294</v>
      </c>
      <c r="B278" t="s">
        <v>591</v>
      </c>
      <c r="C278" t="s">
        <v>898</v>
      </c>
      <c r="D278" t="str">
        <f t="shared" si="78"/>
        <v>Rita Bevan</v>
      </c>
      <c r="E278" t="str">
        <f t="shared" si="79"/>
        <v>Rita</v>
      </c>
      <c r="F278" t="str">
        <f t="shared" si="80"/>
        <v>Bevan</v>
      </c>
      <c r="G278" t="s">
        <v>1024</v>
      </c>
      <c r="H278" t="str">
        <f t="shared" si="81"/>
        <v>Business Analyst</v>
      </c>
      <c r="I278" t="s">
        <v>1029</v>
      </c>
      <c r="J278" t="str">
        <f t="shared" si="82"/>
        <v>Commercial</v>
      </c>
      <c r="K278" t="s">
        <v>1034</v>
      </c>
      <c r="L278" t="str">
        <f t="shared" si="83"/>
        <v>Scotland</v>
      </c>
      <c r="M278" t="s">
        <v>1044</v>
      </c>
      <c r="N278" t="s">
        <v>1049</v>
      </c>
      <c r="O278" t="str">
        <f t="shared" si="84"/>
        <v>Indeed</v>
      </c>
      <c r="P278" t="s">
        <v>1299</v>
      </c>
      <c r="Q278" s="9">
        <f t="shared" si="68"/>
        <v>45301</v>
      </c>
      <c r="S278" s="9" t="str">
        <f t="shared" si="69"/>
        <v/>
      </c>
      <c r="U278" s="9" t="str">
        <f t="shared" si="70"/>
        <v/>
      </c>
      <c r="W278" s="9" t="str">
        <f t="shared" si="71"/>
        <v/>
      </c>
      <c r="X278" t="s">
        <v>1617</v>
      </c>
      <c r="Y278" s="15">
        <v>51179</v>
      </c>
      <c r="AA278" t="s">
        <v>1623</v>
      </c>
      <c r="AB278" t="s">
        <v>1628</v>
      </c>
      <c r="AC278" s="17">
        <v>4</v>
      </c>
      <c r="AF278" t="str">
        <f t="shared" si="72"/>
        <v>2024/01/10</v>
      </c>
      <c r="AG278" t="str">
        <f t="shared" si="73"/>
        <v/>
      </c>
      <c r="AH278" t="str">
        <f t="shared" si="74"/>
        <v/>
      </c>
      <c r="AI278" t="str">
        <f t="shared" si="75"/>
        <v/>
      </c>
      <c r="AJ278" t="str">
        <f t="shared" si="76"/>
        <v>Not Found</v>
      </c>
      <c r="AK278" t="str">
        <f t="shared" si="77"/>
        <v>Not Found</v>
      </c>
    </row>
    <row r="279" spans="1:37" x14ac:dyDescent="0.35">
      <c r="A279" t="s">
        <v>295</v>
      </c>
      <c r="B279" t="s">
        <v>568</v>
      </c>
      <c r="C279" t="s">
        <v>899</v>
      </c>
      <c r="D279" t="str">
        <f t="shared" si="78"/>
        <v>Robin Wilkinson Smith</v>
      </c>
      <c r="E279" t="str">
        <f t="shared" si="79"/>
        <v>Robin</v>
      </c>
      <c r="F279" t="str">
        <f t="shared" si="80"/>
        <v>Smith</v>
      </c>
      <c r="G279" t="s">
        <v>1022</v>
      </c>
      <c r="H279" t="str">
        <f t="shared" si="81"/>
        <v>Reporting Analyst</v>
      </c>
      <c r="I279" t="s">
        <v>1032</v>
      </c>
      <c r="J279" t="str">
        <f t="shared" si="82"/>
        <v>Operations</v>
      </c>
      <c r="K279" t="s">
        <v>1034</v>
      </c>
      <c r="L279" t="str">
        <f t="shared" si="83"/>
        <v>Scotland</v>
      </c>
      <c r="M279" t="s">
        <v>1041</v>
      </c>
      <c r="N279" t="s">
        <v>1051</v>
      </c>
      <c r="O279" t="str">
        <f t="shared" si="84"/>
        <v>CV Library</v>
      </c>
      <c r="P279" t="s">
        <v>1300</v>
      </c>
      <c r="Q279" s="9">
        <f t="shared" si="68"/>
        <v>45628</v>
      </c>
      <c r="R279" t="s">
        <v>1483</v>
      </c>
      <c r="S279" s="9">
        <f t="shared" si="69"/>
        <v>45635</v>
      </c>
      <c r="T279" t="s">
        <v>1563</v>
      </c>
      <c r="U279" s="9">
        <f t="shared" si="70"/>
        <v>45647</v>
      </c>
      <c r="W279" s="9" t="str">
        <f t="shared" si="71"/>
        <v/>
      </c>
      <c r="X279" t="s">
        <v>1618</v>
      </c>
      <c r="Y279" s="15">
        <v>31897</v>
      </c>
      <c r="Z279" s="15">
        <v>31145</v>
      </c>
      <c r="AA279" t="s">
        <v>1623</v>
      </c>
      <c r="AB279" t="s">
        <v>1626</v>
      </c>
      <c r="AF279" t="str">
        <f t="shared" si="72"/>
        <v>12-02-2024</v>
      </c>
      <c r="AG279" t="str">
        <f t="shared" si="73"/>
        <v>2024/12/09</v>
      </c>
      <c r="AH279" t="str">
        <f t="shared" si="74"/>
        <v>21/12/2024</v>
      </c>
      <c r="AI279" t="str">
        <f t="shared" si="75"/>
        <v/>
      </c>
      <c r="AJ279" t="str">
        <f t="shared" si="76"/>
        <v>Not Found</v>
      </c>
      <c r="AK279" t="str">
        <f t="shared" si="77"/>
        <v>Not Found</v>
      </c>
    </row>
    <row r="280" spans="1:37" x14ac:dyDescent="0.35">
      <c r="A280" t="s">
        <v>296</v>
      </c>
      <c r="B280" t="s">
        <v>556</v>
      </c>
      <c r="C280" t="s">
        <v>900</v>
      </c>
      <c r="D280" t="str">
        <f t="shared" si="78"/>
        <v>Barbara Cooke</v>
      </c>
      <c r="E280" t="str">
        <f t="shared" si="79"/>
        <v>Barbara</v>
      </c>
      <c r="F280" t="str">
        <f t="shared" si="80"/>
        <v>Cooke</v>
      </c>
      <c r="G280" t="s">
        <v>1027</v>
      </c>
      <c r="H280" t="str">
        <f t="shared" si="81"/>
        <v>Data Analyst</v>
      </c>
      <c r="I280" t="s">
        <v>1030</v>
      </c>
      <c r="J280" t="str">
        <f t="shared" si="82"/>
        <v>Finance</v>
      </c>
      <c r="K280" t="s">
        <v>1033</v>
      </c>
      <c r="L280" t="str">
        <f t="shared" si="83"/>
        <v>Midlands</v>
      </c>
      <c r="M280" t="s">
        <v>1041</v>
      </c>
      <c r="N280" t="s">
        <v>1050</v>
      </c>
      <c r="O280" t="str">
        <f t="shared" si="84"/>
        <v>Reed</v>
      </c>
      <c r="P280" t="s">
        <v>1191</v>
      </c>
      <c r="Q280" s="9">
        <f t="shared" si="68"/>
        <v>45306</v>
      </c>
      <c r="S280" s="9" t="str">
        <f t="shared" si="69"/>
        <v/>
      </c>
      <c r="U280" s="9" t="str">
        <f t="shared" si="70"/>
        <v/>
      </c>
      <c r="W280" s="9" t="str">
        <f t="shared" si="71"/>
        <v/>
      </c>
      <c r="X280" t="s">
        <v>1619</v>
      </c>
      <c r="Y280" s="15">
        <v>44699</v>
      </c>
      <c r="AA280" t="s">
        <v>1621</v>
      </c>
      <c r="AB280" t="s">
        <v>1628</v>
      </c>
      <c r="AC280" s="17">
        <v>4.7</v>
      </c>
      <c r="AF280" t="str">
        <f t="shared" si="72"/>
        <v>15/01/2024</v>
      </c>
      <c r="AG280" t="str">
        <f t="shared" si="73"/>
        <v/>
      </c>
      <c r="AH280" t="str">
        <f t="shared" si="74"/>
        <v/>
      </c>
      <c r="AI280" t="str">
        <f t="shared" si="75"/>
        <v/>
      </c>
      <c r="AJ280" t="str">
        <f t="shared" si="76"/>
        <v>Not Found</v>
      </c>
      <c r="AK280" t="str">
        <f t="shared" si="77"/>
        <v>Not Found</v>
      </c>
    </row>
    <row r="281" spans="1:37" x14ac:dyDescent="0.35">
      <c r="A281" t="s">
        <v>297</v>
      </c>
      <c r="B281" t="s">
        <v>549</v>
      </c>
      <c r="C281" t="s">
        <v>901</v>
      </c>
      <c r="D281" t="str">
        <f t="shared" si="78"/>
        <v>Justin Bishop</v>
      </c>
      <c r="E281" t="str">
        <f t="shared" si="79"/>
        <v>Justin</v>
      </c>
      <c r="F281" t="str">
        <f t="shared" si="80"/>
        <v>Bishop</v>
      </c>
      <c r="G281" t="s">
        <v>1022</v>
      </c>
      <c r="H281" t="str">
        <f t="shared" si="81"/>
        <v>Reporting Analyst</v>
      </c>
      <c r="I281" t="s">
        <v>1031</v>
      </c>
      <c r="J281" t="str">
        <f t="shared" si="82"/>
        <v>Technology</v>
      </c>
      <c r="K281" t="s">
        <v>1033</v>
      </c>
      <c r="L281" t="str">
        <f t="shared" si="83"/>
        <v>Midlands</v>
      </c>
      <c r="M281" t="s">
        <v>1042</v>
      </c>
      <c r="N281" t="s">
        <v>1052</v>
      </c>
      <c r="O281" t="str">
        <f t="shared" si="84"/>
        <v>Linkedln</v>
      </c>
      <c r="P281" t="s">
        <v>1294</v>
      </c>
      <c r="Q281" s="9">
        <f t="shared" si="68"/>
        <v>45712</v>
      </c>
      <c r="S281" s="9" t="str">
        <f t="shared" si="69"/>
        <v/>
      </c>
      <c r="U281" s="9" t="str">
        <f t="shared" si="70"/>
        <v/>
      </c>
      <c r="W281" s="9" t="str">
        <f t="shared" si="71"/>
        <v/>
      </c>
      <c r="X281" t="s">
        <v>1616</v>
      </c>
      <c r="Y281" s="15">
        <v>46363</v>
      </c>
      <c r="AA281" t="s">
        <v>1623</v>
      </c>
      <c r="AB281" t="s">
        <v>1627</v>
      </c>
      <c r="AC281" s="17">
        <v>3.1</v>
      </c>
      <c r="AF281" t="str">
        <f t="shared" si="72"/>
        <v>2025/02/24</v>
      </c>
      <c r="AG281" t="str">
        <f t="shared" si="73"/>
        <v/>
      </c>
      <c r="AH281" t="str">
        <f t="shared" si="74"/>
        <v/>
      </c>
      <c r="AI281" t="str">
        <f t="shared" si="75"/>
        <v/>
      </c>
      <c r="AJ281" t="str">
        <f t="shared" si="76"/>
        <v>Not Found</v>
      </c>
      <c r="AK281" t="str">
        <f t="shared" si="77"/>
        <v>Not Found</v>
      </c>
    </row>
    <row r="282" spans="1:37" x14ac:dyDescent="0.35">
      <c r="A282" t="s">
        <v>298</v>
      </c>
      <c r="B282" t="s">
        <v>423</v>
      </c>
      <c r="C282" t="s">
        <v>902</v>
      </c>
      <c r="D282" t="str">
        <f t="shared" si="78"/>
        <v>Kyle Barnes</v>
      </c>
      <c r="E282" t="str">
        <f t="shared" si="79"/>
        <v>Kyle</v>
      </c>
      <c r="F282" t="str">
        <f t="shared" si="80"/>
        <v>Barnes</v>
      </c>
      <c r="G282" t="s">
        <v>1022</v>
      </c>
      <c r="H282" t="str">
        <f t="shared" si="81"/>
        <v>Reporting Analyst</v>
      </c>
      <c r="I282" t="s">
        <v>1030</v>
      </c>
      <c r="J282" t="str">
        <f t="shared" si="82"/>
        <v>Finance</v>
      </c>
      <c r="K282" t="s">
        <v>1033</v>
      </c>
      <c r="L282" t="str">
        <f t="shared" si="83"/>
        <v>Midlands</v>
      </c>
      <c r="M282" t="s">
        <v>1041</v>
      </c>
      <c r="N282" t="s">
        <v>1050</v>
      </c>
      <c r="O282" t="str">
        <f t="shared" si="84"/>
        <v>Reed</v>
      </c>
      <c r="P282" t="s">
        <v>1301</v>
      </c>
      <c r="Q282" s="9">
        <f t="shared" si="68"/>
        <v>45701</v>
      </c>
      <c r="S282" s="9" t="str">
        <f t="shared" si="69"/>
        <v/>
      </c>
      <c r="U282" s="9" t="str">
        <f t="shared" si="70"/>
        <v/>
      </c>
      <c r="W282" s="9" t="str">
        <f t="shared" si="71"/>
        <v/>
      </c>
      <c r="X282" t="s">
        <v>1619</v>
      </c>
      <c r="Y282" s="15">
        <v>50641</v>
      </c>
      <c r="AA282" t="s">
        <v>1623</v>
      </c>
      <c r="AB282" t="s">
        <v>1628</v>
      </c>
      <c r="AC282" s="17">
        <v>4.4000000000000004</v>
      </c>
      <c r="AF282" t="str">
        <f t="shared" si="72"/>
        <v>02-13-2025</v>
      </c>
      <c r="AG282" t="str">
        <f t="shared" si="73"/>
        <v/>
      </c>
      <c r="AH282" t="str">
        <f t="shared" si="74"/>
        <v/>
      </c>
      <c r="AI282" t="str">
        <f t="shared" si="75"/>
        <v/>
      </c>
      <c r="AJ282" t="str">
        <f t="shared" si="76"/>
        <v>Not Found</v>
      </c>
      <c r="AK282" t="str">
        <f t="shared" si="77"/>
        <v>Not Found</v>
      </c>
    </row>
    <row r="283" spans="1:37" x14ac:dyDescent="0.35">
      <c r="A283" t="s">
        <v>299</v>
      </c>
      <c r="B283" t="s">
        <v>592</v>
      </c>
      <c r="C283" t="s">
        <v>903</v>
      </c>
      <c r="D283" t="str">
        <f t="shared" si="78"/>
        <v>Margaret Elliott Taylor</v>
      </c>
      <c r="E283" t="str">
        <f t="shared" si="79"/>
        <v>Margaret</v>
      </c>
      <c r="F283" t="str">
        <f t="shared" si="80"/>
        <v>Taylor</v>
      </c>
      <c r="G283" t="s">
        <v>1022</v>
      </c>
      <c r="H283" t="str">
        <f t="shared" si="81"/>
        <v>Reporting Analyst</v>
      </c>
      <c r="I283" t="s">
        <v>1031</v>
      </c>
      <c r="J283" t="str">
        <f t="shared" si="82"/>
        <v>Technology</v>
      </c>
      <c r="K283" t="s">
        <v>1037</v>
      </c>
      <c r="L283" t="str">
        <f t="shared" si="83"/>
        <v>East Midlands</v>
      </c>
      <c r="M283" t="s">
        <v>1042</v>
      </c>
      <c r="N283" t="s">
        <v>1048</v>
      </c>
      <c r="O283" t="str">
        <f t="shared" si="84"/>
        <v>Referral</v>
      </c>
      <c r="P283" t="s">
        <v>1302</v>
      </c>
      <c r="Q283" s="9">
        <f t="shared" si="68"/>
        <v>45709</v>
      </c>
      <c r="R283" t="s">
        <v>1387</v>
      </c>
      <c r="S283" s="9">
        <f t="shared" si="69"/>
        <v>45721</v>
      </c>
      <c r="T283" t="s">
        <v>1564</v>
      </c>
      <c r="U283" s="9">
        <f t="shared" si="70"/>
        <v>45749</v>
      </c>
      <c r="W283" s="9" t="str">
        <f t="shared" si="71"/>
        <v/>
      </c>
      <c r="X283" t="s">
        <v>1618</v>
      </c>
      <c r="Y283" s="15">
        <v>42265</v>
      </c>
      <c r="Z283" s="15">
        <v>45500</v>
      </c>
      <c r="AA283" t="s">
        <v>1622</v>
      </c>
      <c r="AB283" t="s">
        <v>1628</v>
      </c>
      <c r="AC283" s="17">
        <v>3.6</v>
      </c>
      <c r="AF283" t="str">
        <f t="shared" si="72"/>
        <v>21/02/2025</v>
      </c>
      <c r="AG283" t="str">
        <f t="shared" si="73"/>
        <v>03-05-2025</v>
      </c>
      <c r="AH283" t="str">
        <f t="shared" si="74"/>
        <v>02/04/2025</v>
      </c>
      <c r="AI283" t="str">
        <f t="shared" si="75"/>
        <v/>
      </c>
      <c r="AJ283" t="str">
        <f t="shared" si="76"/>
        <v>Not Found</v>
      </c>
      <c r="AK283" t="str">
        <f t="shared" si="77"/>
        <v>Not Found</v>
      </c>
    </row>
    <row r="284" spans="1:37" x14ac:dyDescent="0.35">
      <c r="A284" t="s">
        <v>300</v>
      </c>
      <c r="B284" t="s">
        <v>521</v>
      </c>
      <c r="C284" t="s">
        <v>904</v>
      </c>
      <c r="D284" t="str">
        <f t="shared" si="78"/>
        <v>Leanne Smith</v>
      </c>
      <c r="E284" t="str">
        <f t="shared" si="79"/>
        <v>Leanne</v>
      </c>
      <c r="F284" t="str">
        <f t="shared" si="80"/>
        <v>Smith</v>
      </c>
      <c r="G284" t="s">
        <v>1025</v>
      </c>
      <c r="H284" t="str">
        <f t="shared" si="81"/>
        <v>Finance Analyst</v>
      </c>
      <c r="I284" t="s">
        <v>1028</v>
      </c>
      <c r="J284" t="str">
        <f t="shared" si="82"/>
        <v>HR</v>
      </c>
      <c r="K284" t="s">
        <v>1033</v>
      </c>
      <c r="L284" t="str">
        <f t="shared" si="83"/>
        <v>Midlands</v>
      </c>
      <c r="M284" t="s">
        <v>1044</v>
      </c>
      <c r="N284" t="s">
        <v>1049</v>
      </c>
      <c r="O284" t="str">
        <f t="shared" si="84"/>
        <v>Indeed</v>
      </c>
      <c r="P284" t="s">
        <v>1303</v>
      </c>
      <c r="Q284" s="9">
        <f t="shared" si="68"/>
        <v>45703</v>
      </c>
      <c r="R284" t="s">
        <v>1366</v>
      </c>
      <c r="S284" s="9">
        <f t="shared" si="69"/>
        <v>45730</v>
      </c>
      <c r="T284" t="s">
        <v>1100</v>
      </c>
      <c r="U284" s="9">
        <f t="shared" si="70"/>
        <v>45724</v>
      </c>
      <c r="W284" s="9" t="str">
        <f t="shared" si="71"/>
        <v/>
      </c>
      <c r="X284" t="s">
        <v>1618</v>
      </c>
      <c r="Y284" s="15">
        <v>45025</v>
      </c>
      <c r="Z284" s="15">
        <v>44603</v>
      </c>
      <c r="AA284" t="s">
        <v>1625</v>
      </c>
      <c r="AB284" t="s">
        <v>1627</v>
      </c>
      <c r="AC284" s="17">
        <v>2.2999999999999998</v>
      </c>
      <c r="AF284" t="str">
        <f t="shared" si="72"/>
        <v>02-15-2025</v>
      </c>
      <c r="AG284" t="str">
        <f t="shared" si="73"/>
        <v>14/03/2025</v>
      </c>
      <c r="AH284" t="str">
        <f t="shared" si="74"/>
        <v>2025/03/08</v>
      </c>
      <c r="AI284" t="str">
        <f t="shared" si="75"/>
        <v/>
      </c>
      <c r="AJ284" t="str">
        <f t="shared" si="76"/>
        <v>Not Found</v>
      </c>
      <c r="AK284" t="str">
        <f t="shared" si="77"/>
        <v>Not Found</v>
      </c>
    </row>
    <row r="285" spans="1:37" x14ac:dyDescent="0.35">
      <c r="A285" t="s">
        <v>301</v>
      </c>
      <c r="B285" t="s">
        <v>499</v>
      </c>
      <c r="C285" t="s">
        <v>905</v>
      </c>
      <c r="D285" t="str">
        <f t="shared" si="78"/>
        <v>Owen Brown</v>
      </c>
      <c r="E285" t="str">
        <f t="shared" si="79"/>
        <v>Owen</v>
      </c>
      <c r="F285" t="str">
        <f t="shared" si="80"/>
        <v>Brown</v>
      </c>
      <c r="G285" t="s">
        <v>1024</v>
      </c>
      <c r="H285" t="str">
        <f t="shared" si="81"/>
        <v>Business Analyst</v>
      </c>
      <c r="I285" t="s">
        <v>1030</v>
      </c>
      <c r="J285" t="str">
        <f t="shared" si="82"/>
        <v>Finance</v>
      </c>
      <c r="K285" t="s">
        <v>1037</v>
      </c>
      <c r="L285" t="str">
        <f t="shared" si="83"/>
        <v>East Midlands</v>
      </c>
      <c r="M285" t="s">
        <v>1041</v>
      </c>
      <c r="N285" t="s">
        <v>1046</v>
      </c>
      <c r="O285" t="str">
        <f t="shared" si="84"/>
        <v>Linkedln</v>
      </c>
      <c r="P285" t="s">
        <v>1078</v>
      </c>
      <c r="Q285" s="9">
        <f t="shared" si="68"/>
        <v>45769</v>
      </c>
      <c r="S285" s="9" t="str">
        <f t="shared" si="69"/>
        <v/>
      </c>
      <c r="U285" s="9" t="str">
        <f t="shared" si="70"/>
        <v/>
      </c>
      <c r="W285" s="9" t="str">
        <f t="shared" si="71"/>
        <v/>
      </c>
      <c r="X285" t="s">
        <v>1619</v>
      </c>
      <c r="Y285" s="15">
        <v>33469</v>
      </c>
      <c r="AA285" t="s">
        <v>1622</v>
      </c>
      <c r="AB285" t="s">
        <v>1628</v>
      </c>
      <c r="AC285" s="17">
        <v>2.6</v>
      </c>
      <c r="AF285" t="str">
        <f t="shared" si="72"/>
        <v>2025/04/22</v>
      </c>
      <c r="AG285" t="str">
        <f t="shared" si="73"/>
        <v/>
      </c>
      <c r="AH285" t="str">
        <f t="shared" si="74"/>
        <v/>
      </c>
      <c r="AI285" t="str">
        <f t="shared" si="75"/>
        <v/>
      </c>
      <c r="AJ285" t="str">
        <f t="shared" si="76"/>
        <v>Not Found</v>
      </c>
      <c r="AK285" t="str">
        <f t="shared" si="77"/>
        <v>Not Found</v>
      </c>
    </row>
    <row r="286" spans="1:37" x14ac:dyDescent="0.35">
      <c r="A286" t="s">
        <v>302</v>
      </c>
      <c r="B286" t="s">
        <v>503</v>
      </c>
      <c r="C286" t="s">
        <v>906</v>
      </c>
      <c r="D286" t="str">
        <f t="shared" si="78"/>
        <v>Dean Ross Robinson</v>
      </c>
      <c r="E286" t="str">
        <f t="shared" si="79"/>
        <v>Dean</v>
      </c>
      <c r="F286" t="str">
        <f t="shared" si="80"/>
        <v>Robinson</v>
      </c>
      <c r="G286" t="s">
        <v>1022</v>
      </c>
      <c r="H286" t="str">
        <f t="shared" si="81"/>
        <v>Reporting Analyst</v>
      </c>
      <c r="I286" t="s">
        <v>1031</v>
      </c>
      <c r="J286" t="str">
        <f t="shared" si="82"/>
        <v>Technology</v>
      </c>
      <c r="K286" t="s">
        <v>1037</v>
      </c>
      <c r="L286" t="str">
        <f t="shared" si="83"/>
        <v>East Midlands</v>
      </c>
      <c r="M286" t="s">
        <v>1044</v>
      </c>
      <c r="N286" t="s">
        <v>1047</v>
      </c>
      <c r="O286" t="str">
        <f t="shared" si="84"/>
        <v>Linkedln</v>
      </c>
      <c r="P286" t="s">
        <v>1304</v>
      </c>
      <c r="Q286" s="9">
        <f t="shared" si="68"/>
        <v>45374</v>
      </c>
      <c r="S286" s="9" t="str">
        <f t="shared" si="69"/>
        <v/>
      </c>
      <c r="U286" s="9" t="str">
        <f t="shared" si="70"/>
        <v/>
      </c>
      <c r="W286" s="9" t="str">
        <f t="shared" si="71"/>
        <v/>
      </c>
      <c r="X286" t="s">
        <v>1616</v>
      </c>
      <c r="Y286" s="15">
        <v>37714</v>
      </c>
      <c r="AA286" t="s">
        <v>1624</v>
      </c>
      <c r="AB286" t="s">
        <v>1628</v>
      </c>
      <c r="AC286" s="17">
        <v>3.5</v>
      </c>
      <c r="AF286" t="str">
        <f t="shared" si="72"/>
        <v>03-23-2024</v>
      </c>
      <c r="AG286" t="str">
        <f t="shared" si="73"/>
        <v/>
      </c>
      <c r="AH286" t="str">
        <f t="shared" si="74"/>
        <v/>
      </c>
      <c r="AI286" t="str">
        <f t="shared" si="75"/>
        <v/>
      </c>
      <c r="AJ286" t="str">
        <f t="shared" si="76"/>
        <v>Not Found</v>
      </c>
      <c r="AK286" t="str">
        <f t="shared" si="77"/>
        <v>Not Found</v>
      </c>
    </row>
    <row r="287" spans="1:37" x14ac:dyDescent="0.35">
      <c r="A287" t="s">
        <v>303</v>
      </c>
      <c r="B287" t="s">
        <v>571</v>
      </c>
      <c r="C287" t="s">
        <v>907</v>
      </c>
      <c r="D287" t="str">
        <f t="shared" si="78"/>
        <v>Megan Norman</v>
      </c>
      <c r="E287" t="str">
        <f t="shared" si="79"/>
        <v>Megan</v>
      </c>
      <c r="F287" t="str">
        <f t="shared" si="80"/>
        <v>Norman</v>
      </c>
      <c r="G287" t="s">
        <v>1023</v>
      </c>
      <c r="H287" t="str">
        <f t="shared" si="81"/>
        <v>HR Analyst</v>
      </c>
      <c r="I287" t="s">
        <v>1029</v>
      </c>
      <c r="J287" t="str">
        <f t="shared" si="82"/>
        <v>Commercial</v>
      </c>
      <c r="K287" t="s">
        <v>1040</v>
      </c>
      <c r="L287" t="str">
        <f t="shared" si="83"/>
        <v>North West</v>
      </c>
      <c r="M287" t="s">
        <v>1043</v>
      </c>
      <c r="N287" t="s">
        <v>1046</v>
      </c>
      <c r="O287" t="str">
        <f t="shared" si="84"/>
        <v>Linkedln</v>
      </c>
      <c r="P287" t="s">
        <v>1305</v>
      </c>
      <c r="Q287" s="9">
        <f t="shared" si="68"/>
        <v>45696</v>
      </c>
      <c r="R287" t="s">
        <v>1484</v>
      </c>
      <c r="S287" s="9">
        <f t="shared" si="69"/>
        <v>45723</v>
      </c>
      <c r="U287" s="9" t="str">
        <f t="shared" si="70"/>
        <v/>
      </c>
      <c r="W287" s="9" t="str">
        <f t="shared" si="71"/>
        <v/>
      </c>
      <c r="X287" t="s">
        <v>1615</v>
      </c>
      <c r="Y287" s="15">
        <v>40739</v>
      </c>
      <c r="AA287" t="s">
        <v>1625</v>
      </c>
      <c r="AB287" t="s">
        <v>1628</v>
      </c>
      <c r="AF287" t="str">
        <f t="shared" si="72"/>
        <v>02-08-2025</v>
      </c>
      <c r="AG287" t="str">
        <f t="shared" si="73"/>
        <v>2025/03/07</v>
      </c>
      <c r="AH287" t="str">
        <f t="shared" si="74"/>
        <v/>
      </c>
      <c r="AI287" t="str">
        <f t="shared" si="75"/>
        <v/>
      </c>
      <c r="AJ287" t="str">
        <f t="shared" si="76"/>
        <v>Not Found</v>
      </c>
      <c r="AK287" t="str">
        <f t="shared" si="77"/>
        <v>Not Found</v>
      </c>
    </row>
    <row r="288" spans="1:37" x14ac:dyDescent="0.35">
      <c r="A288" t="s">
        <v>304</v>
      </c>
      <c r="B288" t="s">
        <v>490</v>
      </c>
      <c r="C288" t="s">
        <v>908</v>
      </c>
      <c r="D288" t="str">
        <f t="shared" si="78"/>
        <v>Lisa Daly</v>
      </c>
      <c r="E288" t="str">
        <f t="shared" si="79"/>
        <v>Lisa</v>
      </c>
      <c r="F288" t="str">
        <f t="shared" si="80"/>
        <v>Daly</v>
      </c>
      <c r="G288" t="s">
        <v>1025</v>
      </c>
      <c r="H288" t="str">
        <f t="shared" si="81"/>
        <v>Finance Analyst</v>
      </c>
      <c r="I288" t="s">
        <v>1031</v>
      </c>
      <c r="J288" t="str">
        <f t="shared" si="82"/>
        <v>Technology</v>
      </c>
      <c r="K288" t="s">
        <v>1033</v>
      </c>
      <c r="L288" t="str">
        <f t="shared" si="83"/>
        <v>Midlands</v>
      </c>
      <c r="M288" t="s">
        <v>1044</v>
      </c>
      <c r="N288" t="s">
        <v>1047</v>
      </c>
      <c r="O288" t="str">
        <f t="shared" si="84"/>
        <v>Linkedln</v>
      </c>
      <c r="P288" t="s">
        <v>1306</v>
      </c>
      <c r="Q288" s="9">
        <f t="shared" si="68"/>
        <v>45413</v>
      </c>
      <c r="R288" t="s">
        <v>1485</v>
      </c>
      <c r="S288" s="9">
        <f t="shared" si="69"/>
        <v>45428</v>
      </c>
      <c r="T288" t="s">
        <v>1565</v>
      </c>
      <c r="U288" s="9">
        <f t="shared" si="70"/>
        <v>45429</v>
      </c>
      <c r="W288" s="9" t="str">
        <f t="shared" si="71"/>
        <v/>
      </c>
      <c r="X288" t="s">
        <v>1618</v>
      </c>
      <c r="Y288" s="15">
        <v>28452</v>
      </c>
      <c r="Z288" s="15">
        <v>25597</v>
      </c>
      <c r="AA288" t="s">
        <v>1622</v>
      </c>
      <c r="AB288" t="s">
        <v>1628</v>
      </c>
      <c r="AC288" s="17">
        <v>3.3</v>
      </c>
      <c r="AF288" t="str">
        <f t="shared" si="72"/>
        <v>01/05/2024</v>
      </c>
      <c r="AG288" t="str">
        <f t="shared" si="73"/>
        <v>2024/05/16</v>
      </c>
      <c r="AH288" t="str">
        <f t="shared" si="74"/>
        <v>05-17-2024</v>
      </c>
      <c r="AI288" t="str">
        <f t="shared" si="75"/>
        <v/>
      </c>
      <c r="AJ288" t="str">
        <f t="shared" si="76"/>
        <v>Not Found</v>
      </c>
      <c r="AK288" t="str">
        <f t="shared" si="77"/>
        <v>Not Found</v>
      </c>
    </row>
    <row r="289" spans="1:37" x14ac:dyDescent="0.35">
      <c r="A289" t="s">
        <v>305</v>
      </c>
      <c r="B289" t="s">
        <v>593</v>
      </c>
      <c r="C289" t="s">
        <v>909</v>
      </c>
      <c r="D289" t="str">
        <f t="shared" si="78"/>
        <v>Carole Bradley</v>
      </c>
      <c r="E289" t="str">
        <f t="shared" si="79"/>
        <v>Carole</v>
      </c>
      <c r="F289" t="str">
        <f t="shared" si="80"/>
        <v>Bradley</v>
      </c>
      <c r="G289" t="s">
        <v>1023</v>
      </c>
      <c r="H289" t="str">
        <f t="shared" si="81"/>
        <v>HR Analyst</v>
      </c>
      <c r="I289" t="s">
        <v>1028</v>
      </c>
      <c r="J289" t="str">
        <f t="shared" si="82"/>
        <v>HR</v>
      </c>
      <c r="K289" t="s">
        <v>1037</v>
      </c>
      <c r="L289" t="str">
        <f t="shared" si="83"/>
        <v>East Midlands</v>
      </c>
      <c r="M289" t="s">
        <v>1044</v>
      </c>
      <c r="N289" t="s">
        <v>1049</v>
      </c>
      <c r="O289" t="str">
        <f t="shared" si="84"/>
        <v>Indeed</v>
      </c>
      <c r="P289" t="s">
        <v>1127</v>
      </c>
      <c r="Q289" s="9">
        <f t="shared" si="68"/>
        <v>45613</v>
      </c>
      <c r="S289" s="9" t="str">
        <f t="shared" si="69"/>
        <v/>
      </c>
      <c r="U289" s="9" t="str">
        <f t="shared" si="70"/>
        <v/>
      </c>
      <c r="W289" s="9" t="str">
        <f t="shared" si="71"/>
        <v/>
      </c>
      <c r="X289" t="s">
        <v>1616</v>
      </c>
      <c r="Y289" s="15">
        <v>41179</v>
      </c>
      <c r="AA289" t="s">
        <v>1621</v>
      </c>
      <c r="AB289" t="s">
        <v>1628</v>
      </c>
      <c r="AC289" s="17">
        <v>4.5</v>
      </c>
      <c r="AF289" t="str">
        <f t="shared" si="72"/>
        <v>11-17-2024</v>
      </c>
      <c r="AG289" t="str">
        <f t="shared" si="73"/>
        <v/>
      </c>
      <c r="AH289" t="str">
        <f t="shared" si="74"/>
        <v/>
      </c>
      <c r="AI289" t="str">
        <f t="shared" si="75"/>
        <v/>
      </c>
      <c r="AJ289" t="str">
        <f t="shared" si="76"/>
        <v>Not Found</v>
      </c>
      <c r="AK289" t="str">
        <f t="shared" si="77"/>
        <v>Not Found</v>
      </c>
    </row>
    <row r="290" spans="1:37" x14ac:dyDescent="0.35">
      <c r="A290" t="s">
        <v>306</v>
      </c>
      <c r="B290" t="s">
        <v>594</v>
      </c>
      <c r="C290" t="s">
        <v>910</v>
      </c>
      <c r="D290" t="str">
        <f t="shared" si="78"/>
        <v>Sian Elliott</v>
      </c>
      <c r="E290" t="str">
        <f t="shared" si="79"/>
        <v>Sian</v>
      </c>
      <c r="F290" t="str">
        <f t="shared" si="80"/>
        <v>Elliott</v>
      </c>
      <c r="G290" t="s">
        <v>1024</v>
      </c>
      <c r="H290" t="str">
        <f t="shared" si="81"/>
        <v>Business Analyst</v>
      </c>
      <c r="I290" t="s">
        <v>1032</v>
      </c>
      <c r="J290" t="str">
        <f t="shared" si="82"/>
        <v>Operations</v>
      </c>
      <c r="K290" t="s">
        <v>1035</v>
      </c>
      <c r="L290" t="str">
        <f t="shared" si="83"/>
        <v>Yorkshire</v>
      </c>
      <c r="M290" t="s">
        <v>1045</v>
      </c>
      <c r="N290" t="s">
        <v>1049</v>
      </c>
      <c r="O290" t="str">
        <f t="shared" si="84"/>
        <v>Indeed</v>
      </c>
      <c r="P290" t="s">
        <v>1079</v>
      </c>
      <c r="Q290" s="9">
        <f t="shared" si="68"/>
        <v>45679</v>
      </c>
      <c r="S290" s="9" t="str">
        <f t="shared" si="69"/>
        <v/>
      </c>
      <c r="U290" s="9" t="str">
        <f t="shared" si="70"/>
        <v/>
      </c>
      <c r="W290" s="9" t="str">
        <f t="shared" si="71"/>
        <v/>
      </c>
      <c r="X290" t="s">
        <v>1616</v>
      </c>
      <c r="Y290" s="15">
        <v>28942</v>
      </c>
      <c r="AA290" t="s">
        <v>1621</v>
      </c>
      <c r="AB290" t="s">
        <v>1628</v>
      </c>
      <c r="AC290" s="17">
        <v>3.7</v>
      </c>
      <c r="AF290" t="str">
        <f t="shared" si="72"/>
        <v>01-22-2025</v>
      </c>
      <c r="AG290" t="str">
        <f t="shared" si="73"/>
        <v/>
      </c>
      <c r="AH290" t="str">
        <f t="shared" si="74"/>
        <v/>
      </c>
      <c r="AI290" t="str">
        <f t="shared" si="75"/>
        <v/>
      </c>
      <c r="AJ290" t="str">
        <f t="shared" si="76"/>
        <v>Not Found</v>
      </c>
      <c r="AK290" t="str">
        <f t="shared" si="77"/>
        <v>Not Found</v>
      </c>
    </row>
    <row r="291" spans="1:37" x14ac:dyDescent="0.35">
      <c r="A291" t="s">
        <v>307</v>
      </c>
      <c r="B291" t="s">
        <v>440</v>
      </c>
      <c r="C291" t="s">
        <v>911</v>
      </c>
      <c r="D291" t="str">
        <f t="shared" si="78"/>
        <v>Dominic Knight</v>
      </c>
      <c r="E291" t="str">
        <f t="shared" si="79"/>
        <v>Dominic</v>
      </c>
      <c r="F291" t="str">
        <f t="shared" si="80"/>
        <v>Knight</v>
      </c>
      <c r="G291" t="s">
        <v>1024</v>
      </c>
      <c r="H291" t="str">
        <f t="shared" si="81"/>
        <v>Business Analyst</v>
      </c>
      <c r="I291" t="s">
        <v>1032</v>
      </c>
      <c r="J291" t="str">
        <f t="shared" si="82"/>
        <v>Operations</v>
      </c>
      <c r="K291" t="s">
        <v>1033</v>
      </c>
      <c r="L291" t="str">
        <f t="shared" si="83"/>
        <v>Midlands</v>
      </c>
      <c r="M291" t="s">
        <v>1045</v>
      </c>
      <c r="N291" t="s">
        <v>1052</v>
      </c>
      <c r="O291" t="str">
        <f t="shared" si="84"/>
        <v>Linkedln</v>
      </c>
      <c r="P291" t="s">
        <v>1307</v>
      </c>
      <c r="Q291" s="9">
        <f t="shared" si="68"/>
        <v>45329</v>
      </c>
      <c r="S291" s="9" t="str">
        <f t="shared" si="69"/>
        <v/>
      </c>
      <c r="U291" s="9" t="str">
        <f t="shared" si="70"/>
        <v/>
      </c>
      <c r="W291" s="9" t="str">
        <f t="shared" si="71"/>
        <v/>
      </c>
      <c r="X291" t="s">
        <v>1616</v>
      </c>
      <c r="Y291" s="15">
        <v>29553</v>
      </c>
      <c r="AA291" t="s">
        <v>1622</v>
      </c>
      <c r="AB291" t="s">
        <v>1627</v>
      </c>
      <c r="AC291" s="17">
        <v>2.6</v>
      </c>
      <c r="AF291" t="str">
        <f t="shared" si="72"/>
        <v>07/02/2024</v>
      </c>
      <c r="AG291" t="str">
        <f t="shared" si="73"/>
        <v/>
      </c>
      <c r="AH291" t="str">
        <f t="shared" si="74"/>
        <v/>
      </c>
      <c r="AI291" t="str">
        <f t="shared" si="75"/>
        <v/>
      </c>
      <c r="AJ291" t="str">
        <f t="shared" si="76"/>
        <v>Not Found</v>
      </c>
      <c r="AK291" t="str">
        <f t="shared" si="77"/>
        <v>Not Found</v>
      </c>
    </row>
    <row r="292" spans="1:37" x14ac:dyDescent="0.35">
      <c r="A292" t="s">
        <v>308</v>
      </c>
      <c r="B292" t="s">
        <v>595</v>
      </c>
      <c r="C292" t="s">
        <v>912</v>
      </c>
      <c r="D292" t="str">
        <f t="shared" si="78"/>
        <v>Billy Flynn</v>
      </c>
      <c r="E292" t="str">
        <f t="shared" si="79"/>
        <v>Billy</v>
      </c>
      <c r="F292" t="str">
        <f t="shared" si="80"/>
        <v>Flynn</v>
      </c>
      <c r="G292" t="s">
        <v>1026</v>
      </c>
      <c r="H292" t="str">
        <f t="shared" si="81"/>
        <v>BI Analyst</v>
      </c>
      <c r="I292" t="s">
        <v>1032</v>
      </c>
      <c r="J292" t="str">
        <f t="shared" si="82"/>
        <v>Operations</v>
      </c>
      <c r="K292" t="s">
        <v>1036</v>
      </c>
      <c r="L292" t="str">
        <f t="shared" si="83"/>
        <v>London</v>
      </c>
      <c r="M292" t="s">
        <v>1044</v>
      </c>
      <c r="N292" t="s">
        <v>1047</v>
      </c>
      <c r="O292" t="str">
        <f t="shared" si="84"/>
        <v>Linkedln</v>
      </c>
      <c r="P292" t="s">
        <v>1308</v>
      </c>
      <c r="Q292" s="9">
        <f t="shared" si="68"/>
        <v>45494</v>
      </c>
      <c r="S292" s="9" t="str">
        <f t="shared" si="69"/>
        <v/>
      </c>
      <c r="U292" s="9" t="str">
        <f t="shared" si="70"/>
        <v/>
      </c>
      <c r="W292" s="9" t="str">
        <f t="shared" si="71"/>
        <v/>
      </c>
      <c r="X292" t="s">
        <v>1619</v>
      </c>
      <c r="Y292" s="15">
        <v>44473</v>
      </c>
      <c r="AA292" t="s">
        <v>1624</v>
      </c>
      <c r="AB292" t="s">
        <v>1628</v>
      </c>
      <c r="AF292" t="str">
        <f t="shared" si="72"/>
        <v>2024/07/21</v>
      </c>
      <c r="AG292" t="str">
        <f t="shared" si="73"/>
        <v/>
      </c>
      <c r="AH292" t="str">
        <f t="shared" si="74"/>
        <v/>
      </c>
      <c r="AI292" t="str">
        <f t="shared" si="75"/>
        <v/>
      </c>
      <c r="AJ292" t="str">
        <f t="shared" si="76"/>
        <v>Not Found</v>
      </c>
      <c r="AK292" t="str">
        <f t="shared" si="77"/>
        <v>Not Found</v>
      </c>
    </row>
    <row r="293" spans="1:37" x14ac:dyDescent="0.35">
      <c r="A293" t="s">
        <v>309</v>
      </c>
      <c r="B293" t="s">
        <v>596</v>
      </c>
      <c r="C293" t="s">
        <v>913</v>
      </c>
      <c r="D293" t="str">
        <f t="shared" si="78"/>
        <v>Rhys Hall</v>
      </c>
      <c r="E293" t="str">
        <f t="shared" si="79"/>
        <v>Rhys</v>
      </c>
      <c r="F293" t="str">
        <f t="shared" si="80"/>
        <v>Hall</v>
      </c>
      <c r="G293" t="s">
        <v>1022</v>
      </c>
      <c r="H293" t="str">
        <f t="shared" si="81"/>
        <v>Reporting Analyst</v>
      </c>
      <c r="I293" t="s">
        <v>1029</v>
      </c>
      <c r="J293" t="str">
        <f t="shared" si="82"/>
        <v>Commercial</v>
      </c>
      <c r="K293" t="s">
        <v>1033</v>
      </c>
      <c r="L293" t="str">
        <f t="shared" si="83"/>
        <v>Midlands</v>
      </c>
      <c r="M293" t="s">
        <v>1042</v>
      </c>
      <c r="N293" t="s">
        <v>1046</v>
      </c>
      <c r="O293" t="str">
        <f t="shared" si="84"/>
        <v>Linkedln</v>
      </c>
      <c r="P293" t="s">
        <v>1309</v>
      </c>
      <c r="Q293" s="9">
        <f t="shared" si="68"/>
        <v>45574</v>
      </c>
      <c r="R293" t="s">
        <v>1103</v>
      </c>
      <c r="S293" s="9">
        <f t="shared" si="69"/>
        <v>45596</v>
      </c>
      <c r="U293" s="9" t="str">
        <f t="shared" si="70"/>
        <v/>
      </c>
      <c r="W293" s="9" t="str">
        <f t="shared" si="71"/>
        <v/>
      </c>
      <c r="X293" t="s">
        <v>1615</v>
      </c>
      <c r="Y293" s="15">
        <v>42302</v>
      </c>
      <c r="AA293" t="s">
        <v>1622</v>
      </c>
      <c r="AB293" t="s">
        <v>1628</v>
      </c>
      <c r="AC293" s="17">
        <v>4.3</v>
      </c>
      <c r="AF293" t="str">
        <f t="shared" si="72"/>
        <v>10-09-2024</v>
      </c>
      <c r="AG293" t="str">
        <f t="shared" si="73"/>
        <v>31/10/2024</v>
      </c>
      <c r="AH293" t="str">
        <f t="shared" si="74"/>
        <v/>
      </c>
      <c r="AI293" t="str">
        <f t="shared" si="75"/>
        <v/>
      </c>
      <c r="AJ293" t="str">
        <f t="shared" si="76"/>
        <v>Not Found</v>
      </c>
      <c r="AK293" t="str">
        <f t="shared" si="77"/>
        <v>Not Found</v>
      </c>
    </row>
    <row r="294" spans="1:37" x14ac:dyDescent="0.35">
      <c r="A294" t="s">
        <v>310</v>
      </c>
      <c r="B294" t="s">
        <v>565</v>
      </c>
      <c r="C294" t="s">
        <v>914</v>
      </c>
      <c r="D294" t="str">
        <f t="shared" si="78"/>
        <v>Edward Sanderson Harris</v>
      </c>
      <c r="E294" t="str">
        <f t="shared" si="79"/>
        <v>Edward</v>
      </c>
      <c r="F294" t="str">
        <f t="shared" si="80"/>
        <v>Harris</v>
      </c>
      <c r="G294" t="s">
        <v>1026</v>
      </c>
      <c r="H294" t="str">
        <f t="shared" si="81"/>
        <v>BI Analyst</v>
      </c>
      <c r="I294" t="s">
        <v>1030</v>
      </c>
      <c r="J294" t="str">
        <f t="shared" si="82"/>
        <v>Finance</v>
      </c>
      <c r="K294" t="s">
        <v>1037</v>
      </c>
      <c r="L294" t="str">
        <f t="shared" si="83"/>
        <v>East Midlands</v>
      </c>
      <c r="M294" t="s">
        <v>1041</v>
      </c>
      <c r="N294" t="s">
        <v>1046</v>
      </c>
      <c r="O294" t="str">
        <f t="shared" si="84"/>
        <v>Linkedln</v>
      </c>
      <c r="P294" t="s">
        <v>1310</v>
      </c>
      <c r="Q294" s="9">
        <f t="shared" si="68"/>
        <v>45371</v>
      </c>
      <c r="S294" s="9" t="str">
        <f t="shared" si="69"/>
        <v/>
      </c>
      <c r="U294" s="9" t="str">
        <f t="shared" si="70"/>
        <v/>
      </c>
      <c r="W294" s="9" t="str">
        <f t="shared" si="71"/>
        <v/>
      </c>
      <c r="X294" t="s">
        <v>1619</v>
      </c>
      <c r="Y294" s="15">
        <v>41705</v>
      </c>
      <c r="AA294" t="s">
        <v>1624</v>
      </c>
      <c r="AB294" t="s">
        <v>1627</v>
      </c>
      <c r="AC294" s="17">
        <v>4.0999999999999996</v>
      </c>
      <c r="AF294" t="str">
        <f t="shared" si="72"/>
        <v>03-20-2024</v>
      </c>
      <c r="AG294" t="str">
        <f t="shared" si="73"/>
        <v/>
      </c>
      <c r="AH294" t="str">
        <f t="shared" si="74"/>
        <v/>
      </c>
      <c r="AI294" t="str">
        <f t="shared" si="75"/>
        <v/>
      </c>
      <c r="AJ294" t="str">
        <f t="shared" si="76"/>
        <v>Not Found</v>
      </c>
      <c r="AK294" t="str">
        <f t="shared" si="77"/>
        <v>Not Found</v>
      </c>
    </row>
    <row r="295" spans="1:37" x14ac:dyDescent="0.35">
      <c r="A295" t="s">
        <v>311</v>
      </c>
      <c r="B295" t="s">
        <v>558</v>
      </c>
      <c r="C295" t="s">
        <v>915</v>
      </c>
      <c r="D295" t="str">
        <f t="shared" si="78"/>
        <v>Lesley Pope Hughes</v>
      </c>
      <c r="E295" t="str">
        <f t="shared" si="79"/>
        <v>Lesley</v>
      </c>
      <c r="F295" t="str">
        <f t="shared" si="80"/>
        <v>Hughes</v>
      </c>
      <c r="G295" t="s">
        <v>1027</v>
      </c>
      <c r="H295" t="str">
        <f t="shared" si="81"/>
        <v>Data Analyst</v>
      </c>
      <c r="I295" t="s">
        <v>1028</v>
      </c>
      <c r="J295" t="str">
        <f t="shared" si="82"/>
        <v>HR</v>
      </c>
      <c r="K295" t="s">
        <v>1040</v>
      </c>
      <c r="L295" t="str">
        <f t="shared" si="83"/>
        <v>North West</v>
      </c>
      <c r="M295" t="s">
        <v>1045</v>
      </c>
      <c r="N295" t="s">
        <v>1047</v>
      </c>
      <c r="O295" t="str">
        <f t="shared" si="84"/>
        <v>Linkedln</v>
      </c>
      <c r="P295" t="s">
        <v>1311</v>
      </c>
      <c r="Q295" s="9">
        <f t="shared" si="68"/>
        <v>45713</v>
      </c>
      <c r="S295" s="9" t="str">
        <f t="shared" si="69"/>
        <v/>
      </c>
      <c r="U295" s="9" t="str">
        <f t="shared" si="70"/>
        <v/>
      </c>
      <c r="W295" s="9" t="str">
        <f t="shared" si="71"/>
        <v/>
      </c>
      <c r="X295" t="s">
        <v>1616</v>
      </c>
      <c r="Y295" s="15">
        <v>30363</v>
      </c>
      <c r="AA295" t="s">
        <v>1625</v>
      </c>
      <c r="AB295" t="s">
        <v>1626</v>
      </c>
      <c r="AF295" t="str">
        <f t="shared" si="72"/>
        <v>2025/02/25</v>
      </c>
      <c r="AG295" t="str">
        <f t="shared" si="73"/>
        <v/>
      </c>
      <c r="AH295" t="str">
        <f t="shared" si="74"/>
        <v/>
      </c>
      <c r="AI295" t="str">
        <f t="shared" si="75"/>
        <v/>
      </c>
      <c r="AJ295" t="str">
        <f t="shared" si="76"/>
        <v>Not Found</v>
      </c>
      <c r="AK295" t="str">
        <f t="shared" si="77"/>
        <v>Not Found</v>
      </c>
    </row>
    <row r="296" spans="1:37" x14ac:dyDescent="0.35">
      <c r="A296" t="s">
        <v>312</v>
      </c>
      <c r="B296" t="s">
        <v>502</v>
      </c>
      <c r="C296" t="s">
        <v>916</v>
      </c>
      <c r="D296" t="str">
        <f t="shared" si="78"/>
        <v>Paige Butcher</v>
      </c>
      <c r="E296" t="str">
        <f t="shared" si="79"/>
        <v>Paige</v>
      </c>
      <c r="F296" t="str">
        <f t="shared" si="80"/>
        <v>Butcher</v>
      </c>
      <c r="G296" t="s">
        <v>1023</v>
      </c>
      <c r="H296" t="str">
        <f t="shared" si="81"/>
        <v>HR Analyst</v>
      </c>
      <c r="I296" t="s">
        <v>1028</v>
      </c>
      <c r="J296" t="str">
        <f t="shared" si="82"/>
        <v>HR</v>
      </c>
      <c r="K296" t="s">
        <v>1034</v>
      </c>
      <c r="L296" t="str">
        <f t="shared" si="83"/>
        <v>Scotland</v>
      </c>
      <c r="M296" t="s">
        <v>1042</v>
      </c>
      <c r="N296" t="s">
        <v>1050</v>
      </c>
      <c r="O296" t="str">
        <f t="shared" si="84"/>
        <v>Reed</v>
      </c>
      <c r="P296" t="s">
        <v>1312</v>
      </c>
      <c r="Q296" s="9">
        <f t="shared" si="68"/>
        <v>45785</v>
      </c>
      <c r="S296" s="9" t="str">
        <f t="shared" si="69"/>
        <v/>
      </c>
      <c r="U296" s="9" t="str">
        <f t="shared" si="70"/>
        <v/>
      </c>
      <c r="W296" s="9" t="str">
        <f t="shared" si="71"/>
        <v/>
      </c>
      <c r="X296" t="s">
        <v>1616</v>
      </c>
      <c r="Y296" s="15">
        <v>36961</v>
      </c>
      <c r="AA296" t="s">
        <v>1625</v>
      </c>
      <c r="AB296" t="s">
        <v>1628</v>
      </c>
      <c r="AC296" s="17">
        <v>3.4</v>
      </c>
      <c r="AF296" t="str">
        <f t="shared" si="72"/>
        <v>05-08-2025</v>
      </c>
      <c r="AG296" t="str">
        <f t="shared" si="73"/>
        <v/>
      </c>
      <c r="AH296" t="str">
        <f t="shared" si="74"/>
        <v/>
      </c>
      <c r="AI296" t="str">
        <f t="shared" si="75"/>
        <v/>
      </c>
      <c r="AJ296" t="str">
        <f t="shared" si="76"/>
        <v>Not Found</v>
      </c>
      <c r="AK296" t="str">
        <f t="shared" si="77"/>
        <v>Not Found</v>
      </c>
    </row>
    <row r="297" spans="1:37" x14ac:dyDescent="0.35">
      <c r="A297" t="s">
        <v>313</v>
      </c>
      <c r="B297" t="s">
        <v>597</v>
      </c>
      <c r="C297" t="s">
        <v>917</v>
      </c>
      <c r="D297" t="str">
        <f t="shared" si="78"/>
        <v>Chelsea Shepherd</v>
      </c>
      <c r="E297" t="str">
        <f t="shared" si="79"/>
        <v>Chelsea</v>
      </c>
      <c r="F297" t="str">
        <f t="shared" si="80"/>
        <v>Shepherd</v>
      </c>
      <c r="G297" t="s">
        <v>1026</v>
      </c>
      <c r="H297" t="str">
        <f t="shared" si="81"/>
        <v>BI Analyst</v>
      </c>
      <c r="I297" t="s">
        <v>1029</v>
      </c>
      <c r="J297" t="str">
        <f t="shared" si="82"/>
        <v>Commercial</v>
      </c>
      <c r="K297" t="s">
        <v>1037</v>
      </c>
      <c r="L297" t="str">
        <f t="shared" si="83"/>
        <v>East Midlands</v>
      </c>
      <c r="M297" t="s">
        <v>1041</v>
      </c>
      <c r="N297" t="s">
        <v>1051</v>
      </c>
      <c r="O297" t="str">
        <f t="shared" si="84"/>
        <v>CV Library</v>
      </c>
      <c r="P297" t="s">
        <v>1313</v>
      </c>
      <c r="Q297" s="9">
        <f t="shared" si="68"/>
        <v>45539</v>
      </c>
      <c r="R297" t="s">
        <v>1486</v>
      </c>
      <c r="S297" s="9">
        <f t="shared" si="69"/>
        <v>45544</v>
      </c>
      <c r="T297" t="s">
        <v>1566</v>
      </c>
      <c r="U297" s="9">
        <f t="shared" si="70"/>
        <v>45579</v>
      </c>
      <c r="V297" t="s">
        <v>1227</v>
      </c>
      <c r="W297" s="9">
        <f t="shared" si="71"/>
        <v>45610</v>
      </c>
      <c r="X297" t="s">
        <v>1620</v>
      </c>
      <c r="Y297" s="15">
        <v>39797</v>
      </c>
      <c r="Z297" s="15">
        <v>39531</v>
      </c>
      <c r="AA297" t="s">
        <v>1623</v>
      </c>
      <c r="AB297" t="s">
        <v>1626</v>
      </c>
      <c r="AC297" s="17">
        <v>2.7</v>
      </c>
      <c r="AF297" t="str">
        <f t="shared" si="72"/>
        <v>2024/09/04</v>
      </c>
      <c r="AG297" t="str">
        <f t="shared" si="73"/>
        <v>09-09-2024</v>
      </c>
      <c r="AH297" t="str">
        <f t="shared" si="74"/>
        <v>14/10/2024</v>
      </c>
      <c r="AI297" t="str">
        <f t="shared" si="75"/>
        <v>2024/11/14</v>
      </c>
      <c r="AJ297" t="str">
        <f t="shared" si="76"/>
        <v>Not Found</v>
      </c>
      <c r="AK297" t="str">
        <f t="shared" si="77"/>
        <v>Not Found</v>
      </c>
    </row>
    <row r="298" spans="1:37" x14ac:dyDescent="0.35">
      <c r="A298" t="s">
        <v>314</v>
      </c>
      <c r="B298" t="s">
        <v>598</v>
      </c>
      <c r="C298" t="s">
        <v>918</v>
      </c>
      <c r="D298" t="str">
        <f t="shared" si="78"/>
        <v>Katie Anderson</v>
      </c>
      <c r="E298" t="str">
        <f t="shared" si="79"/>
        <v>Katie</v>
      </c>
      <c r="F298" t="str">
        <f t="shared" si="80"/>
        <v>Anderson</v>
      </c>
      <c r="G298" t="s">
        <v>1027</v>
      </c>
      <c r="H298" t="str">
        <f t="shared" si="81"/>
        <v>Data Analyst</v>
      </c>
      <c r="I298" t="s">
        <v>1032</v>
      </c>
      <c r="J298" t="str">
        <f t="shared" si="82"/>
        <v>Operations</v>
      </c>
      <c r="K298" t="s">
        <v>1037</v>
      </c>
      <c r="L298" t="str">
        <f t="shared" si="83"/>
        <v>East Midlands</v>
      </c>
      <c r="M298" t="s">
        <v>1042</v>
      </c>
      <c r="N298" t="s">
        <v>1050</v>
      </c>
      <c r="O298" t="str">
        <f t="shared" si="84"/>
        <v>Reed</v>
      </c>
      <c r="P298" t="s">
        <v>1314</v>
      </c>
      <c r="Q298" s="9">
        <f t="shared" si="68"/>
        <v>45766</v>
      </c>
      <c r="S298" s="9" t="str">
        <f t="shared" si="69"/>
        <v/>
      </c>
      <c r="U298" s="9" t="str">
        <f t="shared" si="70"/>
        <v/>
      </c>
      <c r="W298" s="9" t="str">
        <f t="shared" si="71"/>
        <v/>
      </c>
      <c r="X298" t="s">
        <v>1616</v>
      </c>
      <c r="Y298" s="15">
        <v>31652</v>
      </c>
      <c r="AA298" t="s">
        <v>1625</v>
      </c>
      <c r="AB298" t="s">
        <v>1627</v>
      </c>
      <c r="AC298" s="17">
        <v>4.2</v>
      </c>
      <c r="AF298" t="str">
        <f t="shared" si="72"/>
        <v>2025/04/19</v>
      </c>
      <c r="AG298" t="str">
        <f t="shared" si="73"/>
        <v/>
      </c>
      <c r="AH298" t="str">
        <f t="shared" si="74"/>
        <v/>
      </c>
      <c r="AI298" t="str">
        <f t="shared" si="75"/>
        <v/>
      </c>
      <c r="AJ298" t="str">
        <f t="shared" si="76"/>
        <v>Not Found</v>
      </c>
      <c r="AK298" t="str">
        <f t="shared" si="77"/>
        <v>Not Found</v>
      </c>
    </row>
    <row r="299" spans="1:37" x14ac:dyDescent="0.35">
      <c r="A299" t="s">
        <v>315</v>
      </c>
      <c r="B299" t="s">
        <v>599</v>
      </c>
      <c r="C299" t="s">
        <v>919</v>
      </c>
      <c r="D299" t="str">
        <f t="shared" si="78"/>
        <v>Declan Hyde</v>
      </c>
      <c r="E299" t="str">
        <f t="shared" si="79"/>
        <v>Declan</v>
      </c>
      <c r="F299" t="str">
        <f t="shared" si="80"/>
        <v>Hyde</v>
      </c>
      <c r="G299" t="s">
        <v>1027</v>
      </c>
      <c r="H299" t="str">
        <f t="shared" si="81"/>
        <v>Data Analyst</v>
      </c>
      <c r="I299" t="s">
        <v>1028</v>
      </c>
      <c r="J299" t="str">
        <f t="shared" si="82"/>
        <v>HR</v>
      </c>
      <c r="K299" t="s">
        <v>1038</v>
      </c>
      <c r="L299" t="str">
        <f t="shared" si="83"/>
        <v>East Midlands</v>
      </c>
      <c r="M299" t="s">
        <v>1045</v>
      </c>
      <c r="N299" t="s">
        <v>1051</v>
      </c>
      <c r="O299" t="str">
        <f t="shared" si="84"/>
        <v>CV Library</v>
      </c>
      <c r="P299" t="s">
        <v>1315</v>
      </c>
      <c r="Q299" s="9">
        <f t="shared" si="68"/>
        <v>45308</v>
      </c>
      <c r="R299" t="s">
        <v>1487</v>
      </c>
      <c r="S299" s="9">
        <f t="shared" si="69"/>
        <v>45331</v>
      </c>
      <c r="U299" s="9" t="str">
        <f t="shared" si="70"/>
        <v/>
      </c>
      <c r="W299" s="9" t="str">
        <f t="shared" si="71"/>
        <v/>
      </c>
      <c r="X299" t="s">
        <v>1615</v>
      </c>
      <c r="Y299" s="15">
        <v>30009</v>
      </c>
      <c r="AA299" t="s">
        <v>1623</v>
      </c>
      <c r="AB299" t="s">
        <v>1626</v>
      </c>
      <c r="AC299" s="17">
        <v>4.2</v>
      </c>
      <c r="AF299" t="str">
        <f t="shared" si="72"/>
        <v>2024/01/17</v>
      </c>
      <c r="AG299" t="str">
        <f t="shared" si="73"/>
        <v>2024/02/09</v>
      </c>
      <c r="AH299" t="str">
        <f t="shared" si="74"/>
        <v/>
      </c>
      <c r="AI299" t="str">
        <f t="shared" si="75"/>
        <v/>
      </c>
      <c r="AJ299" t="str">
        <f t="shared" si="76"/>
        <v>Not Found</v>
      </c>
      <c r="AK299" t="str">
        <f t="shared" si="77"/>
        <v>Not Found</v>
      </c>
    </row>
    <row r="300" spans="1:37" x14ac:dyDescent="0.35">
      <c r="A300" t="s">
        <v>316</v>
      </c>
      <c r="B300" t="s">
        <v>498</v>
      </c>
      <c r="C300" t="s">
        <v>920</v>
      </c>
      <c r="D300" t="str">
        <f t="shared" si="78"/>
        <v>Sylvia Gilbert</v>
      </c>
      <c r="E300" t="str">
        <f t="shared" si="79"/>
        <v>Sylvia</v>
      </c>
      <c r="F300" t="str">
        <f t="shared" si="80"/>
        <v>Gilbert</v>
      </c>
      <c r="G300" t="s">
        <v>1024</v>
      </c>
      <c r="H300" t="str">
        <f t="shared" si="81"/>
        <v>Business Analyst</v>
      </c>
      <c r="I300" t="s">
        <v>1032</v>
      </c>
      <c r="J300" t="str">
        <f t="shared" si="82"/>
        <v>Operations</v>
      </c>
      <c r="K300" t="s">
        <v>1038</v>
      </c>
      <c r="L300" t="str">
        <f t="shared" si="83"/>
        <v>East Midlands</v>
      </c>
      <c r="M300" t="s">
        <v>1044</v>
      </c>
      <c r="N300" t="s">
        <v>1049</v>
      </c>
      <c r="O300" t="str">
        <f t="shared" si="84"/>
        <v>Indeed</v>
      </c>
      <c r="P300" t="s">
        <v>1279</v>
      </c>
      <c r="Q300" s="9">
        <f t="shared" si="68"/>
        <v>45463</v>
      </c>
      <c r="S300" s="9" t="str">
        <f t="shared" si="69"/>
        <v/>
      </c>
      <c r="U300" s="9" t="str">
        <f t="shared" si="70"/>
        <v/>
      </c>
      <c r="W300" s="9" t="str">
        <f t="shared" si="71"/>
        <v/>
      </c>
      <c r="X300" t="s">
        <v>1616</v>
      </c>
      <c r="Y300" s="15">
        <v>29865</v>
      </c>
      <c r="AA300" t="s">
        <v>1621</v>
      </c>
      <c r="AB300" t="s">
        <v>1626</v>
      </c>
      <c r="AC300" s="17">
        <v>2.7</v>
      </c>
      <c r="AF300" t="str">
        <f t="shared" si="72"/>
        <v>06-20-2024</v>
      </c>
      <c r="AG300" t="str">
        <f t="shared" si="73"/>
        <v/>
      </c>
      <c r="AH300" t="str">
        <f t="shared" si="74"/>
        <v/>
      </c>
      <c r="AI300" t="str">
        <f t="shared" si="75"/>
        <v/>
      </c>
      <c r="AJ300" t="str">
        <f t="shared" si="76"/>
        <v>Not Found</v>
      </c>
      <c r="AK300" t="str">
        <f t="shared" si="77"/>
        <v>Not Found</v>
      </c>
    </row>
    <row r="301" spans="1:37" x14ac:dyDescent="0.35">
      <c r="A301" t="s">
        <v>317</v>
      </c>
      <c r="B301" t="s">
        <v>600</v>
      </c>
      <c r="C301" t="s">
        <v>921</v>
      </c>
      <c r="D301" t="str">
        <f t="shared" si="78"/>
        <v>Claire Gregory</v>
      </c>
      <c r="E301" t="str">
        <f t="shared" si="79"/>
        <v>Claire</v>
      </c>
      <c r="F301" t="str">
        <f t="shared" si="80"/>
        <v>Gregory</v>
      </c>
      <c r="G301" t="s">
        <v>1023</v>
      </c>
      <c r="H301" t="str">
        <f t="shared" si="81"/>
        <v>HR Analyst</v>
      </c>
      <c r="I301" t="s">
        <v>1029</v>
      </c>
      <c r="J301" t="str">
        <f t="shared" si="82"/>
        <v>Commercial</v>
      </c>
      <c r="K301" t="s">
        <v>1039</v>
      </c>
      <c r="L301" t="str">
        <f t="shared" si="83"/>
        <v>South East</v>
      </c>
      <c r="M301" t="s">
        <v>1044</v>
      </c>
      <c r="N301" t="s">
        <v>1048</v>
      </c>
      <c r="O301" t="str">
        <f t="shared" si="84"/>
        <v>Referral</v>
      </c>
      <c r="P301" t="s">
        <v>1316</v>
      </c>
      <c r="Q301" s="9">
        <f t="shared" si="68"/>
        <v>45488</v>
      </c>
      <c r="R301" t="s">
        <v>1488</v>
      </c>
      <c r="S301" s="9">
        <f t="shared" si="69"/>
        <v>45493</v>
      </c>
      <c r="T301" t="s">
        <v>1567</v>
      </c>
      <c r="U301" s="9">
        <f t="shared" si="70"/>
        <v>45526</v>
      </c>
      <c r="V301" t="s">
        <v>1251</v>
      </c>
      <c r="W301" s="9">
        <f t="shared" si="71"/>
        <v>45525</v>
      </c>
      <c r="X301" t="s">
        <v>1620</v>
      </c>
      <c r="Y301" s="15">
        <v>44712</v>
      </c>
      <c r="Z301" s="15">
        <v>44176</v>
      </c>
      <c r="AA301" t="s">
        <v>1621</v>
      </c>
      <c r="AB301" t="s">
        <v>1628</v>
      </c>
      <c r="AC301" s="17">
        <v>2.9</v>
      </c>
      <c r="AF301" t="str">
        <f t="shared" si="72"/>
        <v>07-15-2024</v>
      </c>
      <c r="AG301" t="str">
        <f t="shared" si="73"/>
        <v>07-20-2024</v>
      </c>
      <c r="AH301" t="str">
        <f t="shared" si="74"/>
        <v>2024/08/22</v>
      </c>
      <c r="AI301" t="str">
        <f t="shared" si="75"/>
        <v>2024/08/21</v>
      </c>
      <c r="AJ301" t="str">
        <f t="shared" si="76"/>
        <v>Not Found</v>
      </c>
      <c r="AK301" t="str">
        <f t="shared" si="77"/>
        <v>Not Found</v>
      </c>
    </row>
    <row r="302" spans="1:37" x14ac:dyDescent="0.35">
      <c r="A302" t="s">
        <v>318</v>
      </c>
      <c r="B302" t="s">
        <v>601</v>
      </c>
      <c r="C302" t="s">
        <v>922</v>
      </c>
      <c r="D302" t="str">
        <f t="shared" si="78"/>
        <v>Hollie Simpson</v>
      </c>
      <c r="E302" t="str">
        <f t="shared" si="79"/>
        <v>Hollie</v>
      </c>
      <c r="F302" t="str">
        <f t="shared" si="80"/>
        <v>Simpson</v>
      </c>
      <c r="G302" t="s">
        <v>1025</v>
      </c>
      <c r="H302" t="str">
        <f t="shared" si="81"/>
        <v>Finance Analyst</v>
      </c>
      <c r="I302" t="s">
        <v>1028</v>
      </c>
      <c r="J302" t="str">
        <f t="shared" si="82"/>
        <v>HR</v>
      </c>
      <c r="K302" t="s">
        <v>1040</v>
      </c>
      <c r="L302" t="str">
        <f t="shared" si="83"/>
        <v>North West</v>
      </c>
      <c r="M302" t="s">
        <v>1044</v>
      </c>
      <c r="N302" t="s">
        <v>1049</v>
      </c>
      <c r="O302" t="str">
        <f t="shared" si="84"/>
        <v>Indeed</v>
      </c>
      <c r="P302" t="s">
        <v>1317</v>
      </c>
      <c r="Q302" s="9">
        <f t="shared" si="68"/>
        <v>45562</v>
      </c>
      <c r="R302" t="s">
        <v>1489</v>
      </c>
      <c r="S302" s="9">
        <f t="shared" si="69"/>
        <v>45571</v>
      </c>
      <c r="T302" t="s">
        <v>1215</v>
      </c>
      <c r="U302" s="9">
        <f t="shared" si="70"/>
        <v>45605</v>
      </c>
      <c r="V302" t="s">
        <v>1608</v>
      </c>
      <c r="W302" s="9">
        <f t="shared" si="71"/>
        <v>45591</v>
      </c>
      <c r="X302" t="s">
        <v>1620</v>
      </c>
      <c r="Y302" s="15">
        <v>47034</v>
      </c>
      <c r="Z302" s="15">
        <v>49759</v>
      </c>
      <c r="AA302" t="s">
        <v>1622</v>
      </c>
      <c r="AB302" t="s">
        <v>1626</v>
      </c>
      <c r="AC302" s="17">
        <v>4.5</v>
      </c>
      <c r="AF302" t="str">
        <f t="shared" si="72"/>
        <v>2024/09/27</v>
      </c>
      <c r="AG302" t="str">
        <f t="shared" si="73"/>
        <v>2024/10/06</v>
      </c>
      <c r="AH302" t="str">
        <f t="shared" si="74"/>
        <v>11-09-2024</v>
      </c>
      <c r="AI302" t="str">
        <f t="shared" si="75"/>
        <v>10-26-2024</v>
      </c>
      <c r="AJ302" t="str">
        <f t="shared" si="76"/>
        <v>Not Found</v>
      </c>
      <c r="AK302" t="str">
        <f t="shared" si="77"/>
        <v>Not Found</v>
      </c>
    </row>
    <row r="303" spans="1:37" x14ac:dyDescent="0.35">
      <c r="A303" t="s">
        <v>319</v>
      </c>
      <c r="B303" t="s">
        <v>602</v>
      </c>
      <c r="C303" t="s">
        <v>923</v>
      </c>
      <c r="D303" t="str">
        <f t="shared" si="78"/>
        <v>Sophie Miller</v>
      </c>
      <c r="E303" t="str">
        <f t="shared" si="79"/>
        <v>Sophie</v>
      </c>
      <c r="F303" t="str">
        <f t="shared" si="80"/>
        <v>Miller</v>
      </c>
      <c r="G303" t="s">
        <v>1023</v>
      </c>
      <c r="H303" t="str">
        <f t="shared" si="81"/>
        <v>HR Analyst</v>
      </c>
      <c r="I303" t="s">
        <v>1029</v>
      </c>
      <c r="J303" t="str">
        <f t="shared" si="82"/>
        <v>Commercial</v>
      </c>
      <c r="K303" t="s">
        <v>1037</v>
      </c>
      <c r="L303" t="str">
        <f t="shared" si="83"/>
        <v>East Midlands</v>
      </c>
      <c r="M303" t="s">
        <v>1041</v>
      </c>
      <c r="N303" t="s">
        <v>1049</v>
      </c>
      <c r="O303" t="str">
        <f t="shared" si="84"/>
        <v>Indeed</v>
      </c>
      <c r="P303" t="s">
        <v>1318</v>
      </c>
      <c r="Q303" s="9">
        <f t="shared" si="68"/>
        <v>45728</v>
      </c>
      <c r="S303" s="9" t="str">
        <f t="shared" si="69"/>
        <v/>
      </c>
      <c r="U303" s="9" t="str">
        <f t="shared" si="70"/>
        <v/>
      </c>
      <c r="W303" s="9" t="str">
        <f t="shared" si="71"/>
        <v/>
      </c>
      <c r="X303" t="s">
        <v>1616</v>
      </c>
      <c r="Y303" s="15">
        <v>45927</v>
      </c>
      <c r="AA303" t="s">
        <v>1622</v>
      </c>
      <c r="AB303" t="s">
        <v>1627</v>
      </c>
      <c r="AC303" s="17">
        <v>2.1</v>
      </c>
      <c r="AF303" t="str">
        <f t="shared" si="72"/>
        <v>03-12-2025</v>
      </c>
      <c r="AG303" t="str">
        <f t="shared" si="73"/>
        <v/>
      </c>
      <c r="AH303" t="str">
        <f t="shared" si="74"/>
        <v/>
      </c>
      <c r="AI303" t="str">
        <f t="shared" si="75"/>
        <v/>
      </c>
      <c r="AJ303" t="str">
        <f t="shared" si="76"/>
        <v>Not Found</v>
      </c>
      <c r="AK303" t="str">
        <f t="shared" si="77"/>
        <v>Not Found</v>
      </c>
    </row>
    <row r="304" spans="1:37" x14ac:dyDescent="0.35">
      <c r="A304" t="s">
        <v>320</v>
      </c>
      <c r="B304" t="s">
        <v>603</v>
      </c>
      <c r="C304" t="s">
        <v>924</v>
      </c>
      <c r="D304" t="str">
        <f t="shared" si="78"/>
        <v>Dean Griffiths</v>
      </c>
      <c r="E304" t="str">
        <f t="shared" si="79"/>
        <v>Dean</v>
      </c>
      <c r="F304" t="str">
        <f t="shared" si="80"/>
        <v>Griffiths</v>
      </c>
      <c r="G304" t="s">
        <v>1022</v>
      </c>
      <c r="H304" t="str">
        <f t="shared" si="81"/>
        <v>Reporting Analyst</v>
      </c>
      <c r="I304" t="s">
        <v>1032</v>
      </c>
      <c r="J304" t="str">
        <f t="shared" si="82"/>
        <v>Operations</v>
      </c>
      <c r="K304" t="s">
        <v>1038</v>
      </c>
      <c r="L304" t="str">
        <f t="shared" si="83"/>
        <v>East Midlands</v>
      </c>
      <c r="M304" t="s">
        <v>1042</v>
      </c>
      <c r="N304" t="s">
        <v>1050</v>
      </c>
      <c r="O304" t="str">
        <f t="shared" si="84"/>
        <v>Reed</v>
      </c>
      <c r="P304" t="s">
        <v>1319</v>
      </c>
      <c r="Q304" s="9">
        <f t="shared" si="68"/>
        <v>45385</v>
      </c>
      <c r="R304" t="s">
        <v>1490</v>
      </c>
      <c r="S304" s="9">
        <f t="shared" si="69"/>
        <v>45409</v>
      </c>
      <c r="T304" t="s">
        <v>1568</v>
      </c>
      <c r="U304" s="9">
        <f t="shared" si="70"/>
        <v>45423</v>
      </c>
      <c r="V304" t="s">
        <v>1247</v>
      </c>
      <c r="W304" s="9">
        <f t="shared" si="71"/>
        <v>45440</v>
      </c>
      <c r="X304" t="s">
        <v>1620</v>
      </c>
      <c r="Y304" s="15">
        <v>28257</v>
      </c>
      <c r="Z304" s="15">
        <v>32088</v>
      </c>
      <c r="AA304" t="s">
        <v>1624</v>
      </c>
      <c r="AB304" t="s">
        <v>1627</v>
      </c>
      <c r="AC304" s="17">
        <v>4.0999999999999996</v>
      </c>
      <c r="AF304" t="str">
        <f t="shared" si="72"/>
        <v>03/04/2024</v>
      </c>
      <c r="AG304" t="str">
        <f t="shared" si="73"/>
        <v>27/04/2024</v>
      </c>
      <c r="AH304" t="str">
        <f t="shared" si="74"/>
        <v>05-11-2024</v>
      </c>
      <c r="AI304" t="str">
        <f t="shared" si="75"/>
        <v>2024/05/28</v>
      </c>
      <c r="AJ304" t="str">
        <f t="shared" si="76"/>
        <v>Not Found</v>
      </c>
      <c r="AK304" t="str">
        <f t="shared" si="77"/>
        <v>Not Found</v>
      </c>
    </row>
    <row r="305" spans="1:37" x14ac:dyDescent="0.35">
      <c r="A305" t="s">
        <v>321</v>
      </c>
      <c r="B305" t="s">
        <v>487</v>
      </c>
      <c r="C305" t="s">
        <v>925</v>
      </c>
      <c r="D305" t="str">
        <f t="shared" si="78"/>
        <v>Harry Read</v>
      </c>
      <c r="E305" t="str">
        <f t="shared" si="79"/>
        <v>Harry</v>
      </c>
      <c r="F305" t="str">
        <f t="shared" si="80"/>
        <v>Read</v>
      </c>
      <c r="G305" t="s">
        <v>1025</v>
      </c>
      <c r="H305" t="str">
        <f t="shared" si="81"/>
        <v>Finance Analyst</v>
      </c>
      <c r="I305" t="s">
        <v>1031</v>
      </c>
      <c r="J305" t="str">
        <f t="shared" si="82"/>
        <v>Technology</v>
      </c>
      <c r="K305" t="s">
        <v>1037</v>
      </c>
      <c r="L305" t="str">
        <f t="shared" si="83"/>
        <v>East Midlands</v>
      </c>
      <c r="M305" t="s">
        <v>1044</v>
      </c>
      <c r="N305" t="s">
        <v>1052</v>
      </c>
      <c r="O305" t="str">
        <f t="shared" si="84"/>
        <v>Linkedln</v>
      </c>
      <c r="P305" t="s">
        <v>1320</v>
      </c>
      <c r="Q305" s="9">
        <f t="shared" si="68"/>
        <v>45688</v>
      </c>
      <c r="S305" s="9" t="str">
        <f t="shared" si="69"/>
        <v/>
      </c>
      <c r="U305" s="9" t="str">
        <f t="shared" si="70"/>
        <v/>
      </c>
      <c r="W305" s="9" t="str">
        <f t="shared" si="71"/>
        <v/>
      </c>
      <c r="X305" t="s">
        <v>1619</v>
      </c>
      <c r="Y305" s="15">
        <v>40755</v>
      </c>
      <c r="AA305" t="s">
        <v>1623</v>
      </c>
      <c r="AB305" t="s">
        <v>1628</v>
      </c>
      <c r="AC305" s="17">
        <v>3.7</v>
      </c>
      <c r="AF305" t="str">
        <f t="shared" si="72"/>
        <v>31/01/2025</v>
      </c>
      <c r="AG305" t="str">
        <f t="shared" si="73"/>
        <v/>
      </c>
      <c r="AH305" t="str">
        <f t="shared" si="74"/>
        <v/>
      </c>
      <c r="AI305" t="str">
        <f t="shared" si="75"/>
        <v/>
      </c>
      <c r="AJ305" t="str">
        <f t="shared" si="76"/>
        <v>Not Found</v>
      </c>
      <c r="AK305" t="str">
        <f t="shared" si="77"/>
        <v>Not Found</v>
      </c>
    </row>
    <row r="306" spans="1:37" x14ac:dyDescent="0.35">
      <c r="A306" t="s">
        <v>322</v>
      </c>
      <c r="B306" t="s">
        <v>435</v>
      </c>
      <c r="C306" t="s">
        <v>926</v>
      </c>
      <c r="D306" t="str">
        <f t="shared" si="78"/>
        <v>Benjamin Morley</v>
      </c>
      <c r="E306" t="str">
        <f t="shared" si="79"/>
        <v>Benjamin</v>
      </c>
      <c r="F306" t="str">
        <f t="shared" si="80"/>
        <v>Morley</v>
      </c>
      <c r="G306" t="s">
        <v>1027</v>
      </c>
      <c r="H306" t="str">
        <f t="shared" si="81"/>
        <v>Data Analyst</v>
      </c>
      <c r="I306" t="s">
        <v>1028</v>
      </c>
      <c r="J306" t="str">
        <f t="shared" si="82"/>
        <v>HR</v>
      </c>
      <c r="K306" t="s">
        <v>1038</v>
      </c>
      <c r="L306" t="str">
        <f t="shared" si="83"/>
        <v>East Midlands</v>
      </c>
      <c r="M306" t="s">
        <v>1043</v>
      </c>
      <c r="N306" t="s">
        <v>1048</v>
      </c>
      <c r="O306" t="str">
        <f t="shared" si="84"/>
        <v>Referral</v>
      </c>
      <c r="P306" t="s">
        <v>1321</v>
      </c>
      <c r="Q306" s="9">
        <f t="shared" si="68"/>
        <v>45620</v>
      </c>
      <c r="S306" s="9" t="str">
        <f t="shared" si="69"/>
        <v/>
      </c>
      <c r="U306" s="9" t="str">
        <f t="shared" si="70"/>
        <v/>
      </c>
      <c r="W306" s="9" t="str">
        <f t="shared" si="71"/>
        <v/>
      </c>
      <c r="X306" t="s">
        <v>1619</v>
      </c>
      <c r="Y306" s="15">
        <v>38343</v>
      </c>
      <c r="AA306" t="s">
        <v>1622</v>
      </c>
      <c r="AB306" t="s">
        <v>1628</v>
      </c>
      <c r="AC306" s="17">
        <v>3.9</v>
      </c>
      <c r="AF306" t="str">
        <f t="shared" si="72"/>
        <v>24/11/2024</v>
      </c>
      <c r="AG306" t="str">
        <f t="shared" si="73"/>
        <v/>
      </c>
      <c r="AH306" t="str">
        <f t="shared" si="74"/>
        <v/>
      </c>
      <c r="AI306" t="str">
        <f t="shared" si="75"/>
        <v/>
      </c>
      <c r="AJ306" t="str">
        <f t="shared" si="76"/>
        <v>Not Found</v>
      </c>
      <c r="AK306" t="str">
        <f t="shared" si="77"/>
        <v>Not Found</v>
      </c>
    </row>
    <row r="307" spans="1:37" x14ac:dyDescent="0.35">
      <c r="A307" t="s">
        <v>323</v>
      </c>
      <c r="B307" t="s">
        <v>590</v>
      </c>
      <c r="C307" t="s">
        <v>927</v>
      </c>
      <c r="D307" t="str">
        <f t="shared" si="78"/>
        <v>Gavin Turner</v>
      </c>
      <c r="E307" t="str">
        <f t="shared" si="79"/>
        <v>Gavin</v>
      </c>
      <c r="F307" t="str">
        <f t="shared" si="80"/>
        <v>Turner</v>
      </c>
      <c r="G307" t="s">
        <v>1024</v>
      </c>
      <c r="H307" t="str">
        <f t="shared" si="81"/>
        <v>Business Analyst</v>
      </c>
      <c r="I307" t="s">
        <v>1031</v>
      </c>
      <c r="J307" t="str">
        <f t="shared" si="82"/>
        <v>Technology</v>
      </c>
      <c r="K307" t="s">
        <v>1036</v>
      </c>
      <c r="L307" t="str">
        <f t="shared" si="83"/>
        <v>London</v>
      </c>
      <c r="M307" t="s">
        <v>1042</v>
      </c>
      <c r="N307" t="s">
        <v>1050</v>
      </c>
      <c r="O307" t="str">
        <f t="shared" si="84"/>
        <v>Reed</v>
      </c>
      <c r="P307" t="s">
        <v>1322</v>
      </c>
      <c r="Q307" s="9">
        <f t="shared" si="68"/>
        <v>45767</v>
      </c>
      <c r="S307" s="9" t="str">
        <f t="shared" si="69"/>
        <v/>
      </c>
      <c r="U307" s="9" t="str">
        <f t="shared" si="70"/>
        <v/>
      </c>
      <c r="W307" s="9" t="str">
        <f t="shared" si="71"/>
        <v/>
      </c>
      <c r="X307" t="s">
        <v>1619</v>
      </c>
      <c r="Y307" s="15">
        <v>42637</v>
      </c>
      <c r="AA307" t="s">
        <v>1624</v>
      </c>
      <c r="AB307" t="s">
        <v>1626</v>
      </c>
      <c r="AC307" s="17">
        <v>3.6</v>
      </c>
      <c r="AF307" t="str">
        <f t="shared" si="72"/>
        <v>20/04/2025</v>
      </c>
      <c r="AG307" t="str">
        <f t="shared" si="73"/>
        <v/>
      </c>
      <c r="AH307" t="str">
        <f t="shared" si="74"/>
        <v/>
      </c>
      <c r="AI307" t="str">
        <f t="shared" si="75"/>
        <v/>
      </c>
      <c r="AJ307" t="str">
        <f t="shared" si="76"/>
        <v>Not Found</v>
      </c>
      <c r="AK307" t="str">
        <f t="shared" si="77"/>
        <v>Not Found</v>
      </c>
    </row>
    <row r="308" spans="1:37" x14ac:dyDescent="0.35">
      <c r="A308" t="s">
        <v>324</v>
      </c>
      <c r="B308" t="s">
        <v>493</v>
      </c>
      <c r="C308" t="s">
        <v>928</v>
      </c>
      <c r="D308" t="str">
        <f t="shared" si="78"/>
        <v>Kate Chapman</v>
      </c>
      <c r="E308" t="str">
        <f t="shared" si="79"/>
        <v>Kate</v>
      </c>
      <c r="F308" t="str">
        <f t="shared" si="80"/>
        <v>Chapman</v>
      </c>
      <c r="G308" t="s">
        <v>1027</v>
      </c>
      <c r="H308" t="str">
        <f t="shared" si="81"/>
        <v>Data Analyst</v>
      </c>
      <c r="I308" t="s">
        <v>1032</v>
      </c>
      <c r="J308" t="str">
        <f t="shared" si="82"/>
        <v>Operations</v>
      </c>
      <c r="K308" t="s">
        <v>1033</v>
      </c>
      <c r="L308" t="str">
        <f t="shared" si="83"/>
        <v>Midlands</v>
      </c>
      <c r="M308" t="s">
        <v>1044</v>
      </c>
      <c r="N308" t="s">
        <v>1051</v>
      </c>
      <c r="O308" t="str">
        <f t="shared" si="84"/>
        <v>CV Library</v>
      </c>
      <c r="P308" t="s">
        <v>1323</v>
      </c>
      <c r="Q308" s="9">
        <f t="shared" si="68"/>
        <v>45369</v>
      </c>
      <c r="R308" t="s">
        <v>1491</v>
      </c>
      <c r="S308" s="9">
        <f t="shared" si="69"/>
        <v>45380</v>
      </c>
      <c r="U308" s="9" t="str">
        <f t="shared" si="70"/>
        <v/>
      </c>
      <c r="W308" s="9" t="str">
        <f t="shared" si="71"/>
        <v/>
      </c>
      <c r="X308" t="s">
        <v>1615</v>
      </c>
      <c r="Y308" s="15">
        <v>51148</v>
      </c>
      <c r="AA308" t="s">
        <v>1624</v>
      </c>
      <c r="AB308" t="s">
        <v>1627</v>
      </c>
      <c r="AC308" s="17">
        <v>3.2</v>
      </c>
      <c r="AF308" t="str">
        <f t="shared" si="72"/>
        <v>18/03/2024</v>
      </c>
      <c r="AG308" t="str">
        <f t="shared" si="73"/>
        <v>03-29-2024</v>
      </c>
      <c r="AH308" t="str">
        <f t="shared" si="74"/>
        <v/>
      </c>
      <c r="AI308" t="str">
        <f t="shared" si="75"/>
        <v/>
      </c>
      <c r="AJ308" t="str">
        <f t="shared" si="76"/>
        <v>Not Found</v>
      </c>
      <c r="AK308" t="str">
        <f t="shared" si="77"/>
        <v>Not Found</v>
      </c>
    </row>
    <row r="309" spans="1:37" x14ac:dyDescent="0.35">
      <c r="A309" t="s">
        <v>325</v>
      </c>
      <c r="B309" t="s">
        <v>527</v>
      </c>
      <c r="C309" t="s">
        <v>929</v>
      </c>
      <c r="D309" t="str">
        <f t="shared" si="78"/>
        <v>Mark Allen Lewis</v>
      </c>
      <c r="E309" t="str">
        <f t="shared" si="79"/>
        <v>Mark</v>
      </c>
      <c r="F309" t="str">
        <f t="shared" si="80"/>
        <v>Lewis</v>
      </c>
      <c r="G309" t="s">
        <v>1024</v>
      </c>
      <c r="H309" t="str">
        <f t="shared" si="81"/>
        <v>Business Analyst</v>
      </c>
      <c r="I309" t="s">
        <v>1029</v>
      </c>
      <c r="J309" t="str">
        <f t="shared" si="82"/>
        <v>Commercial</v>
      </c>
      <c r="K309" t="s">
        <v>1036</v>
      </c>
      <c r="L309" t="str">
        <f t="shared" si="83"/>
        <v>London</v>
      </c>
      <c r="M309" t="s">
        <v>1041</v>
      </c>
      <c r="N309" t="s">
        <v>1049</v>
      </c>
      <c r="O309" t="str">
        <f t="shared" si="84"/>
        <v>Indeed</v>
      </c>
      <c r="P309" t="s">
        <v>1324</v>
      </c>
      <c r="Q309" s="9">
        <f t="shared" si="68"/>
        <v>45638</v>
      </c>
      <c r="S309" s="9" t="str">
        <f t="shared" si="69"/>
        <v/>
      </c>
      <c r="U309" s="9" t="str">
        <f t="shared" si="70"/>
        <v/>
      </c>
      <c r="W309" s="9" t="str">
        <f t="shared" si="71"/>
        <v/>
      </c>
      <c r="X309" t="s">
        <v>1617</v>
      </c>
      <c r="Y309" s="15">
        <v>46343</v>
      </c>
      <c r="AA309" t="s">
        <v>1624</v>
      </c>
      <c r="AB309" t="s">
        <v>1627</v>
      </c>
      <c r="AC309" s="17">
        <v>3.5</v>
      </c>
      <c r="AF309" t="str">
        <f t="shared" si="72"/>
        <v>12/12/2024</v>
      </c>
      <c r="AG309" t="str">
        <f t="shared" si="73"/>
        <v/>
      </c>
      <c r="AH309" t="str">
        <f t="shared" si="74"/>
        <v/>
      </c>
      <c r="AI309" t="str">
        <f t="shared" si="75"/>
        <v/>
      </c>
      <c r="AJ309" t="str">
        <f t="shared" si="76"/>
        <v>Not Found</v>
      </c>
      <c r="AK309" t="str">
        <f t="shared" si="77"/>
        <v>Not Found</v>
      </c>
    </row>
    <row r="310" spans="1:37" x14ac:dyDescent="0.35">
      <c r="A310" t="s">
        <v>326</v>
      </c>
      <c r="B310" t="s">
        <v>458</v>
      </c>
      <c r="C310" t="s">
        <v>930</v>
      </c>
      <c r="D310" t="str">
        <f t="shared" si="78"/>
        <v>Jamie Kent Morris</v>
      </c>
      <c r="E310" t="str">
        <f t="shared" si="79"/>
        <v>Jamie</v>
      </c>
      <c r="F310" t="str">
        <f t="shared" si="80"/>
        <v>Morris</v>
      </c>
      <c r="G310" t="s">
        <v>1024</v>
      </c>
      <c r="H310" t="str">
        <f t="shared" si="81"/>
        <v>Business Analyst</v>
      </c>
      <c r="I310" t="s">
        <v>1031</v>
      </c>
      <c r="J310" t="str">
        <f t="shared" si="82"/>
        <v>Technology</v>
      </c>
      <c r="K310" t="s">
        <v>1038</v>
      </c>
      <c r="L310" t="str">
        <f t="shared" si="83"/>
        <v>East Midlands</v>
      </c>
      <c r="M310" t="s">
        <v>1044</v>
      </c>
      <c r="N310" t="s">
        <v>1051</v>
      </c>
      <c r="O310" t="str">
        <f t="shared" si="84"/>
        <v>CV Library</v>
      </c>
      <c r="P310" t="s">
        <v>1197</v>
      </c>
      <c r="Q310" s="9">
        <f t="shared" si="68"/>
        <v>45691</v>
      </c>
      <c r="S310" s="9" t="str">
        <f t="shared" si="69"/>
        <v/>
      </c>
      <c r="U310" s="9" t="str">
        <f t="shared" si="70"/>
        <v/>
      </c>
      <c r="W310" s="9" t="str">
        <f t="shared" si="71"/>
        <v/>
      </c>
      <c r="X310" t="s">
        <v>1616</v>
      </c>
      <c r="Y310" s="15">
        <v>47847</v>
      </c>
      <c r="AA310" t="s">
        <v>1622</v>
      </c>
      <c r="AB310" t="s">
        <v>1626</v>
      </c>
      <c r="AC310" s="17">
        <v>3.7</v>
      </c>
      <c r="AF310" t="str">
        <f t="shared" si="72"/>
        <v>02-03-2025</v>
      </c>
      <c r="AG310" t="str">
        <f t="shared" si="73"/>
        <v/>
      </c>
      <c r="AH310" t="str">
        <f t="shared" si="74"/>
        <v/>
      </c>
      <c r="AI310" t="str">
        <f t="shared" si="75"/>
        <v/>
      </c>
      <c r="AJ310" t="str">
        <f t="shared" si="76"/>
        <v>Not Found</v>
      </c>
      <c r="AK310" t="str">
        <f t="shared" si="77"/>
        <v>Not Found</v>
      </c>
    </row>
    <row r="311" spans="1:37" x14ac:dyDescent="0.35">
      <c r="A311" t="s">
        <v>327</v>
      </c>
      <c r="B311" t="s">
        <v>604</v>
      </c>
      <c r="C311" t="s">
        <v>931</v>
      </c>
      <c r="D311" t="str">
        <f t="shared" si="78"/>
        <v>Ben Walker</v>
      </c>
      <c r="E311" t="str">
        <f t="shared" si="79"/>
        <v>Ben</v>
      </c>
      <c r="F311" t="str">
        <f t="shared" si="80"/>
        <v>Walker</v>
      </c>
      <c r="G311" t="s">
        <v>1023</v>
      </c>
      <c r="H311" t="str">
        <f t="shared" si="81"/>
        <v>HR Analyst</v>
      </c>
      <c r="I311" t="s">
        <v>1030</v>
      </c>
      <c r="J311" t="str">
        <f t="shared" si="82"/>
        <v>Finance</v>
      </c>
      <c r="K311" t="s">
        <v>1036</v>
      </c>
      <c r="L311" t="str">
        <f t="shared" si="83"/>
        <v>London</v>
      </c>
      <c r="M311" t="s">
        <v>1043</v>
      </c>
      <c r="N311" t="s">
        <v>1046</v>
      </c>
      <c r="O311" t="str">
        <f t="shared" si="84"/>
        <v>Linkedln</v>
      </c>
      <c r="P311" t="s">
        <v>1325</v>
      </c>
      <c r="Q311" s="9">
        <f t="shared" si="68"/>
        <v>45756</v>
      </c>
      <c r="S311" s="9" t="str">
        <f t="shared" si="69"/>
        <v/>
      </c>
      <c r="U311" s="9" t="str">
        <f t="shared" si="70"/>
        <v/>
      </c>
      <c r="W311" s="9" t="str">
        <f t="shared" si="71"/>
        <v/>
      </c>
      <c r="X311" t="s">
        <v>1616</v>
      </c>
      <c r="Y311" s="15">
        <v>30506</v>
      </c>
      <c r="AA311" t="s">
        <v>1625</v>
      </c>
      <c r="AB311" t="s">
        <v>1627</v>
      </c>
      <c r="AC311" s="17">
        <v>2.1</v>
      </c>
      <c r="AF311" t="str">
        <f t="shared" si="72"/>
        <v>2025/04/09</v>
      </c>
      <c r="AG311" t="str">
        <f t="shared" si="73"/>
        <v/>
      </c>
      <c r="AH311" t="str">
        <f t="shared" si="74"/>
        <v/>
      </c>
      <c r="AI311" t="str">
        <f t="shared" si="75"/>
        <v/>
      </c>
      <c r="AJ311" t="str">
        <f t="shared" si="76"/>
        <v>Not Found</v>
      </c>
      <c r="AK311" t="str">
        <f t="shared" si="77"/>
        <v>Not Found</v>
      </c>
    </row>
    <row r="312" spans="1:37" x14ac:dyDescent="0.35">
      <c r="A312" t="s">
        <v>328</v>
      </c>
      <c r="B312" t="s">
        <v>460</v>
      </c>
      <c r="C312" t="s">
        <v>932</v>
      </c>
      <c r="D312" t="str">
        <f t="shared" si="78"/>
        <v>Kelly Wilson</v>
      </c>
      <c r="E312" t="str">
        <f t="shared" si="79"/>
        <v>Kelly</v>
      </c>
      <c r="F312" t="str">
        <f t="shared" si="80"/>
        <v>Wilson</v>
      </c>
      <c r="G312" t="s">
        <v>1027</v>
      </c>
      <c r="H312" t="str">
        <f t="shared" si="81"/>
        <v>Data Analyst</v>
      </c>
      <c r="I312" t="s">
        <v>1032</v>
      </c>
      <c r="J312" t="str">
        <f t="shared" si="82"/>
        <v>Operations</v>
      </c>
      <c r="K312" t="s">
        <v>1039</v>
      </c>
      <c r="L312" t="str">
        <f t="shared" si="83"/>
        <v>South East</v>
      </c>
      <c r="M312" t="s">
        <v>1041</v>
      </c>
      <c r="N312" t="s">
        <v>1048</v>
      </c>
      <c r="O312" t="str">
        <f t="shared" si="84"/>
        <v>Referral</v>
      </c>
      <c r="P312" t="s">
        <v>1203</v>
      </c>
      <c r="Q312" s="9">
        <f t="shared" si="68"/>
        <v>45304</v>
      </c>
      <c r="S312" s="9" t="str">
        <f t="shared" si="69"/>
        <v/>
      </c>
      <c r="U312" s="9" t="str">
        <f t="shared" si="70"/>
        <v/>
      </c>
      <c r="W312" s="9" t="str">
        <f t="shared" si="71"/>
        <v/>
      </c>
      <c r="X312" t="s">
        <v>1616</v>
      </c>
      <c r="Y312" s="15">
        <v>50055</v>
      </c>
      <c r="AA312" t="s">
        <v>1622</v>
      </c>
      <c r="AB312" t="s">
        <v>1627</v>
      </c>
      <c r="AC312" s="17">
        <v>4.3</v>
      </c>
      <c r="AF312" t="str">
        <f t="shared" si="72"/>
        <v>01-13-2024</v>
      </c>
      <c r="AG312" t="str">
        <f t="shared" si="73"/>
        <v/>
      </c>
      <c r="AH312" t="str">
        <f t="shared" si="74"/>
        <v/>
      </c>
      <c r="AI312" t="str">
        <f t="shared" si="75"/>
        <v/>
      </c>
      <c r="AJ312" t="str">
        <f t="shared" si="76"/>
        <v>Not Found</v>
      </c>
      <c r="AK312" t="str">
        <f t="shared" si="77"/>
        <v>Not Found</v>
      </c>
    </row>
    <row r="313" spans="1:37" x14ac:dyDescent="0.35">
      <c r="A313" t="s">
        <v>329</v>
      </c>
      <c r="B313" t="s">
        <v>420</v>
      </c>
      <c r="C313" t="s">
        <v>933</v>
      </c>
      <c r="D313" t="str">
        <f t="shared" si="78"/>
        <v>Harriet Potter</v>
      </c>
      <c r="E313" t="str">
        <f t="shared" si="79"/>
        <v>Harriet</v>
      </c>
      <c r="F313" t="str">
        <f t="shared" si="80"/>
        <v>Potter</v>
      </c>
      <c r="G313" t="s">
        <v>1023</v>
      </c>
      <c r="H313" t="str">
        <f t="shared" si="81"/>
        <v>HR Analyst</v>
      </c>
      <c r="I313" t="s">
        <v>1028</v>
      </c>
      <c r="J313" t="str">
        <f t="shared" si="82"/>
        <v>HR</v>
      </c>
      <c r="K313" t="s">
        <v>1040</v>
      </c>
      <c r="L313" t="str">
        <f t="shared" si="83"/>
        <v>North West</v>
      </c>
      <c r="M313" t="s">
        <v>1042</v>
      </c>
      <c r="N313" t="s">
        <v>1048</v>
      </c>
      <c r="O313" t="str">
        <f t="shared" si="84"/>
        <v>Referral</v>
      </c>
      <c r="P313" t="s">
        <v>1251</v>
      </c>
      <c r="Q313" s="9">
        <f t="shared" si="68"/>
        <v>45525</v>
      </c>
      <c r="S313" s="9" t="str">
        <f t="shared" si="69"/>
        <v/>
      </c>
      <c r="U313" s="9" t="str">
        <f t="shared" si="70"/>
        <v/>
      </c>
      <c r="W313" s="9" t="str">
        <f t="shared" si="71"/>
        <v/>
      </c>
      <c r="X313" t="s">
        <v>1616</v>
      </c>
      <c r="Y313" s="15">
        <v>29031</v>
      </c>
      <c r="AA313" t="s">
        <v>1624</v>
      </c>
      <c r="AB313" t="s">
        <v>1626</v>
      </c>
      <c r="AC313" s="17">
        <v>3.3</v>
      </c>
      <c r="AF313" t="str">
        <f t="shared" si="72"/>
        <v>2024/08/21</v>
      </c>
      <c r="AG313" t="str">
        <f t="shared" si="73"/>
        <v/>
      </c>
      <c r="AH313" t="str">
        <f t="shared" si="74"/>
        <v/>
      </c>
      <c r="AI313" t="str">
        <f t="shared" si="75"/>
        <v/>
      </c>
      <c r="AJ313" t="str">
        <f t="shared" si="76"/>
        <v>Not Found</v>
      </c>
      <c r="AK313" t="str">
        <f t="shared" si="77"/>
        <v>Not Found</v>
      </c>
    </row>
    <row r="314" spans="1:37" x14ac:dyDescent="0.35">
      <c r="A314" t="s">
        <v>330</v>
      </c>
      <c r="B314" t="s">
        <v>605</v>
      </c>
      <c r="C314" t="s">
        <v>934</v>
      </c>
      <c r="D314" t="str">
        <f t="shared" si="78"/>
        <v>Tracey Phillips</v>
      </c>
      <c r="E314" t="str">
        <f t="shared" si="79"/>
        <v>Tracey</v>
      </c>
      <c r="F314" t="str">
        <f t="shared" si="80"/>
        <v>Phillips</v>
      </c>
      <c r="G314" t="s">
        <v>1025</v>
      </c>
      <c r="H314" t="str">
        <f t="shared" si="81"/>
        <v>Finance Analyst</v>
      </c>
      <c r="I314" t="s">
        <v>1029</v>
      </c>
      <c r="J314" t="str">
        <f t="shared" si="82"/>
        <v>Commercial</v>
      </c>
      <c r="K314" t="s">
        <v>1037</v>
      </c>
      <c r="L314" t="str">
        <f t="shared" si="83"/>
        <v>East Midlands</v>
      </c>
      <c r="M314" t="s">
        <v>1045</v>
      </c>
      <c r="N314" t="s">
        <v>1052</v>
      </c>
      <c r="O314" t="str">
        <f t="shared" si="84"/>
        <v>Linkedln</v>
      </c>
      <c r="P314" t="s">
        <v>1326</v>
      </c>
      <c r="Q314" s="9">
        <f t="shared" si="68"/>
        <v>45473</v>
      </c>
      <c r="S314" s="9" t="str">
        <f t="shared" si="69"/>
        <v/>
      </c>
      <c r="U314" s="9" t="str">
        <f t="shared" si="70"/>
        <v/>
      </c>
      <c r="W314" s="9" t="str">
        <f t="shared" si="71"/>
        <v/>
      </c>
      <c r="X314" t="s">
        <v>1616</v>
      </c>
      <c r="Y314" s="15">
        <v>51917</v>
      </c>
      <c r="AA314" t="s">
        <v>1621</v>
      </c>
      <c r="AB314" t="s">
        <v>1628</v>
      </c>
      <c r="AF314" t="str">
        <f t="shared" si="72"/>
        <v>06-30-2024</v>
      </c>
      <c r="AG314" t="str">
        <f t="shared" si="73"/>
        <v/>
      </c>
      <c r="AH314" t="str">
        <f t="shared" si="74"/>
        <v/>
      </c>
      <c r="AI314" t="str">
        <f t="shared" si="75"/>
        <v/>
      </c>
      <c r="AJ314" t="str">
        <f t="shared" si="76"/>
        <v>Not Found</v>
      </c>
      <c r="AK314" t="str">
        <f t="shared" si="77"/>
        <v>Not Found</v>
      </c>
    </row>
    <row r="315" spans="1:37" x14ac:dyDescent="0.35">
      <c r="A315" t="s">
        <v>331</v>
      </c>
      <c r="B315" t="s">
        <v>425</v>
      </c>
      <c r="C315" t="s">
        <v>935</v>
      </c>
      <c r="D315" t="str">
        <f t="shared" si="78"/>
        <v>Susan James</v>
      </c>
      <c r="E315" t="str">
        <f t="shared" si="79"/>
        <v>Susan</v>
      </c>
      <c r="F315" t="str">
        <f t="shared" si="80"/>
        <v>James</v>
      </c>
      <c r="G315" t="s">
        <v>1022</v>
      </c>
      <c r="H315" t="str">
        <f t="shared" si="81"/>
        <v>Reporting Analyst</v>
      </c>
      <c r="I315" t="s">
        <v>1030</v>
      </c>
      <c r="J315" t="str">
        <f t="shared" si="82"/>
        <v>Finance</v>
      </c>
      <c r="K315" t="s">
        <v>1033</v>
      </c>
      <c r="L315" t="str">
        <f t="shared" si="83"/>
        <v>Midlands</v>
      </c>
      <c r="M315" t="s">
        <v>1043</v>
      </c>
      <c r="N315" t="s">
        <v>1052</v>
      </c>
      <c r="O315" t="str">
        <f t="shared" si="84"/>
        <v>Linkedln</v>
      </c>
      <c r="P315" t="s">
        <v>1327</v>
      </c>
      <c r="Q315" s="9">
        <f t="shared" si="68"/>
        <v>45563</v>
      </c>
      <c r="S315" s="9" t="str">
        <f t="shared" si="69"/>
        <v/>
      </c>
      <c r="U315" s="9" t="str">
        <f t="shared" si="70"/>
        <v/>
      </c>
      <c r="W315" s="9" t="str">
        <f t="shared" si="71"/>
        <v/>
      </c>
      <c r="X315" t="s">
        <v>1616</v>
      </c>
      <c r="Y315" s="15">
        <v>50952</v>
      </c>
      <c r="AA315" t="s">
        <v>1624</v>
      </c>
      <c r="AB315" t="s">
        <v>1627</v>
      </c>
      <c r="AC315" s="17">
        <v>3.4</v>
      </c>
      <c r="AF315" t="str">
        <f t="shared" si="72"/>
        <v>2024/09/28</v>
      </c>
      <c r="AG315" t="str">
        <f t="shared" si="73"/>
        <v/>
      </c>
      <c r="AH315" t="str">
        <f t="shared" si="74"/>
        <v/>
      </c>
      <c r="AI315" t="str">
        <f t="shared" si="75"/>
        <v/>
      </c>
      <c r="AJ315" t="str">
        <f t="shared" si="76"/>
        <v>Not Found</v>
      </c>
      <c r="AK315" t="str">
        <f t="shared" si="77"/>
        <v>Not Found</v>
      </c>
    </row>
    <row r="316" spans="1:37" x14ac:dyDescent="0.35">
      <c r="A316" t="s">
        <v>332</v>
      </c>
      <c r="B316" t="s">
        <v>606</v>
      </c>
      <c r="C316" t="s">
        <v>936</v>
      </c>
      <c r="D316" t="str">
        <f t="shared" si="78"/>
        <v>Guy Brown</v>
      </c>
      <c r="E316" t="str">
        <f t="shared" si="79"/>
        <v>Guy</v>
      </c>
      <c r="F316" t="str">
        <f t="shared" si="80"/>
        <v>Brown</v>
      </c>
      <c r="G316" t="s">
        <v>1022</v>
      </c>
      <c r="H316" t="str">
        <f t="shared" si="81"/>
        <v>Reporting Analyst</v>
      </c>
      <c r="I316" t="s">
        <v>1030</v>
      </c>
      <c r="J316" t="str">
        <f t="shared" si="82"/>
        <v>Finance</v>
      </c>
      <c r="K316" t="s">
        <v>1036</v>
      </c>
      <c r="L316" t="str">
        <f t="shared" si="83"/>
        <v>London</v>
      </c>
      <c r="M316" t="s">
        <v>1043</v>
      </c>
      <c r="N316" t="s">
        <v>1050</v>
      </c>
      <c r="O316" t="str">
        <f t="shared" si="84"/>
        <v>Reed</v>
      </c>
      <c r="P316" t="s">
        <v>1259</v>
      </c>
      <c r="Q316" s="9">
        <f t="shared" si="68"/>
        <v>45554</v>
      </c>
      <c r="R316" t="s">
        <v>1492</v>
      </c>
      <c r="S316" s="9">
        <f t="shared" si="69"/>
        <v>45571</v>
      </c>
      <c r="T316" t="s">
        <v>1103</v>
      </c>
      <c r="U316" s="9">
        <f t="shared" si="70"/>
        <v>45596</v>
      </c>
      <c r="W316" s="9" t="str">
        <f t="shared" si="71"/>
        <v/>
      </c>
      <c r="X316" t="s">
        <v>1618</v>
      </c>
      <c r="Y316" s="15">
        <v>47635</v>
      </c>
      <c r="Z316" s="15">
        <v>50381</v>
      </c>
      <c r="AA316" t="s">
        <v>1625</v>
      </c>
      <c r="AB316" t="s">
        <v>1626</v>
      </c>
      <c r="AC316" s="17">
        <v>3.6</v>
      </c>
      <c r="AF316" t="str">
        <f t="shared" si="72"/>
        <v>19/09/2024</v>
      </c>
      <c r="AG316" t="str">
        <f t="shared" si="73"/>
        <v>10-06-2024</v>
      </c>
      <c r="AH316" t="str">
        <f t="shared" si="74"/>
        <v>31/10/2024</v>
      </c>
      <c r="AI316" t="str">
        <f t="shared" si="75"/>
        <v/>
      </c>
      <c r="AJ316" t="str">
        <f t="shared" si="76"/>
        <v>Not Found</v>
      </c>
      <c r="AK316" t="str">
        <f t="shared" si="77"/>
        <v>Not Found</v>
      </c>
    </row>
    <row r="317" spans="1:37" x14ac:dyDescent="0.35">
      <c r="A317" t="s">
        <v>333</v>
      </c>
      <c r="B317" t="s">
        <v>536</v>
      </c>
      <c r="C317" t="s">
        <v>937</v>
      </c>
      <c r="D317" t="str">
        <f t="shared" si="78"/>
        <v>Sylvia Stephens</v>
      </c>
      <c r="E317" t="str">
        <f t="shared" si="79"/>
        <v>Sylvia</v>
      </c>
      <c r="F317" t="str">
        <f t="shared" si="80"/>
        <v>Stephens</v>
      </c>
      <c r="G317" t="s">
        <v>1025</v>
      </c>
      <c r="H317" t="str">
        <f t="shared" si="81"/>
        <v>Finance Analyst</v>
      </c>
      <c r="I317" t="s">
        <v>1032</v>
      </c>
      <c r="J317" t="str">
        <f t="shared" si="82"/>
        <v>Operations</v>
      </c>
      <c r="K317" t="s">
        <v>1038</v>
      </c>
      <c r="L317" t="str">
        <f t="shared" si="83"/>
        <v>East Midlands</v>
      </c>
      <c r="M317" t="s">
        <v>1041</v>
      </c>
      <c r="N317" t="s">
        <v>1049</v>
      </c>
      <c r="O317" t="str">
        <f t="shared" si="84"/>
        <v>Indeed</v>
      </c>
      <c r="P317" t="s">
        <v>1328</v>
      </c>
      <c r="Q317" s="9">
        <f t="shared" si="68"/>
        <v>45769</v>
      </c>
      <c r="R317" t="s">
        <v>1493</v>
      </c>
      <c r="S317" s="9">
        <f t="shared" si="69"/>
        <v>45788</v>
      </c>
      <c r="U317" s="9" t="str">
        <f t="shared" si="70"/>
        <v/>
      </c>
      <c r="W317" s="9" t="str">
        <f t="shared" si="71"/>
        <v/>
      </c>
      <c r="X317" t="s">
        <v>1615</v>
      </c>
      <c r="Y317" s="15">
        <v>47134</v>
      </c>
      <c r="AA317" t="s">
        <v>1625</v>
      </c>
      <c r="AB317" t="s">
        <v>1628</v>
      </c>
      <c r="AC317" s="17">
        <v>3.3</v>
      </c>
      <c r="AF317" t="str">
        <f t="shared" si="72"/>
        <v>22/04/2025</v>
      </c>
      <c r="AG317" t="str">
        <f t="shared" si="73"/>
        <v>2025/05/11</v>
      </c>
      <c r="AH317" t="str">
        <f t="shared" si="74"/>
        <v/>
      </c>
      <c r="AI317" t="str">
        <f t="shared" si="75"/>
        <v/>
      </c>
      <c r="AJ317" t="str">
        <f t="shared" si="76"/>
        <v>Not Found</v>
      </c>
      <c r="AK317" t="str">
        <f t="shared" si="77"/>
        <v>Not Found</v>
      </c>
    </row>
    <row r="318" spans="1:37" x14ac:dyDescent="0.35">
      <c r="A318" t="s">
        <v>334</v>
      </c>
      <c r="B318" t="s">
        <v>607</v>
      </c>
      <c r="C318" t="s">
        <v>938</v>
      </c>
      <c r="D318" t="str">
        <f t="shared" si="78"/>
        <v>Hayley Parry</v>
      </c>
      <c r="E318" t="str">
        <f t="shared" si="79"/>
        <v>Hayley</v>
      </c>
      <c r="F318" t="str">
        <f t="shared" si="80"/>
        <v>Parry</v>
      </c>
      <c r="G318" t="s">
        <v>1027</v>
      </c>
      <c r="H318" t="str">
        <f t="shared" si="81"/>
        <v>Data Analyst</v>
      </c>
      <c r="I318" t="s">
        <v>1030</v>
      </c>
      <c r="J318" t="str">
        <f t="shared" si="82"/>
        <v>Finance</v>
      </c>
      <c r="K318" t="s">
        <v>1040</v>
      </c>
      <c r="L318" t="str">
        <f t="shared" si="83"/>
        <v>North West</v>
      </c>
      <c r="M318" t="s">
        <v>1042</v>
      </c>
      <c r="N318" t="s">
        <v>1051</v>
      </c>
      <c r="O318" t="str">
        <f t="shared" si="84"/>
        <v>CV Library</v>
      </c>
      <c r="P318" t="s">
        <v>1329</v>
      </c>
      <c r="Q318" s="9">
        <f t="shared" si="68"/>
        <v>45429</v>
      </c>
      <c r="S318" s="9" t="str">
        <f t="shared" si="69"/>
        <v/>
      </c>
      <c r="U318" s="9" t="str">
        <f t="shared" si="70"/>
        <v/>
      </c>
      <c r="W318" s="9" t="str">
        <f t="shared" si="71"/>
        <v/>
      </c>
      <c r="X318" t="s">
        <v>1616</v>
      </c>
      <c r="Y318" s="15">
        <v>35541</v>
      </c>
      <c r="AA318" t="s">
        <v>1624</v>
      </c>
      <c r="AB318" t="s">
        <v>1628</v>
      </c>
      <c r="AC318" s="17">
        <v>4.9000000000000004</v>
      </c>
      <c r="AF318" t="str">
        <f t="shared" si="72"/>
        <v>17/05/2024</v>
      </c>
      <c r="AG318" t="str">
        <f t="shared" si="73"/>
        <v/>
      </c>
      <c r="AH318" t="str">
        <f t="shared" si="74"/>
        <v/>
      </c>
      <c r="AI318" t="str">
        <f t="shared" si="75"/>
        <v/>
      </c>
      <c r="AJ318" t="str">
        <f t="shared" si="76"/>
        <v>Not Found</v>
      </c>
      <c r="AK318" t="str">
        <f t="shared" si="77"/>
        <v>Not Found</v>
      </c>
    </row>
    <row r="319" spans="1:37" x14ac:dyDescent="0.35">
      <c r="A319" t="s">
        <v>335</v>
      </c>
      <c r="B319" t="s">
        <v>452</v>
      </c>
      <c r="C319" t="s">
        <v>939</v>
      </c>
      <c r="D319" t="str">
        <f t="shared" si="78"/>
        <v>Christine Young</v>
      </c>
      <c r="E319" t="str">
        <f t="shared" si="79"/>
        <v>Christine</v>
      </c>
      <c r="F319" t="str">
        <f t="shared" si="80"/>
        <v>Young</v>
      </c>
      <c r="G319" t="s">
        <v>1027</v>
      </c>
      <c r="H319" t="str">
        <f t="shared" si="81"/>
        <v>Data Analyst</v>
      </c>
      <c r="I319" t="s">
        <v>1029</v>
      </c>
      <c r="J319" t="str">
        <f t="shared" si="82"/>
        <v>Commercial</v>
      </c>
      <c r="K319" t="s">
        <v>1036</v>
      </c>
      <c r="L319" t="str">
        <f t="shared" si="83"/>
        <v>London</v>
      </c>
      <c r="M319" t="s">
        <v>1045</v>
      </c>
      <c r="N319" t="s">
        <v>1052</v>
      </c>
      <c r="O319" t="str">
        <f t="shared" si="84"/>
        <v>Linkedln</v>
      </c>
      <c r="P319" t="s">
        <v>1330</v>
      </c>
      <c r="Q319" s="9">
        <f t="shared" si="68"/>
        <v>45346</v>
      </c>
      <c r="S319" s="9" t="str">
        <f t="shared" si="69"/>
        <v/>
      </c>
      <c r="U319" s="9" t="str">
        <f t="shared" si="70"/>
        <v/>
      </c>
      <c r="W319" s="9" t="str">
        <f t="shared" si="71"/>
        <v/>
      </c>
      <c r="X319" t="s">
        <v>1619</v>
      </c>
      <c r="Y319" s="15">
        <v>45957</v>
      </c>
      <c r="AA319" t="s">
        <v>1624</v>
      </c>
      <c r="AB319" t="s">
        <v>1627</v>
      </c>
      <c r="AC319" s="17">
        <v>4.0999999999999996</v>
      </c>
      <c r="AF319" t="str">
        <f t="shared" si="72"/>
        <v>02-24-2024</v>
      </c>
      <c r="AG319" t="str">
        <f t="shared" si="73"/>
        <v/>
      </c>
      <c r="AH319" t="str">
        <f t="shared" si="74"/>
        <v/>
      </c>
      <c r="AI319" t="str">
        <f t="shared" si="75"/>
        <v/>
      </c>
      <c r="AJ319" t="str">
        <f t="shared" si="76"/>
        <v>Not Found</v>
      </c>
      <c r="AK319" t="str">
        <f t="shared" si="77"/>
        <v>Not Found</v>
      </c>
    </row>
    <row r="320" spans="1:37" x14ac:dyDescent="0.35">
      <c r="A320" t="s">
        <v>336</v>
      </c>
      <c r="B320" t="s">
        <v>504</v>
      </c>
      <c r="C320" t="s">
        <v>940</v>
      </c>
      <c r="D320" t="str">
        <f t="shared" si="78"/>
        <v>George Moore</v>
      </c>
      <c r="E320" t="str">
        <f t="shared" si="79"/>
        <v>George</v>
      </c>
      <c r="F320" t="str">
        <f t="shared" si="80"/>
        <v>Moore</v>
      </c>
      <c r="G320" t="s">
        <v>1025</v>
      </c>
      <c r="H320" t="str">
        <f t="shared" si="81"/>
        <v>Finance Analyst</v>
      </c>
      <c r="I320" t="s">
        <v>1031</v>
      </c>
      <c r="J320" t="str">
        <f t="shared" si="82"/>
        <v>Technology</v>
      </c>
      <c r="K320" t="s">
        <v>1037</v>
      </c>
      <c r="L320" t="str">
        <f t="shared" si="83"/>
        <v>East Midlands</v>
      </c>
      <c r="M320" t="s">
        <v>1045</v>
      </c>
      <c r="N320" t="s">
        <v>1047</v>
      </c>
      <c r="O320" t="str">
        <f t="shared" si="84"/>
        <v>Linkedln</v>
      </c>
      <c r="P320" t="s">
        <v>1331</v>
      </c>
      <c r="Q320" s="9">
        <f t="shared" si="68"/>
        <v>45697</v>
      </c>
      <c r="R320" t="s">
        <v>1494</v>
      </c>
      <c r="S320" s="9">
        <f t="shared" si="69"/>
        <v>45720</v>
      </c>
      <c r="U320" s="9" t="str">
        <f t="shared" si="70"/>
        <v/>
      </c>
      <c r="W320" s="9" t="str">
        <f t="shared" si="71"/>
        <v/>
      </c>
      <c r="X320" t="s">
        <v>1615</v>
      </c>
      <c r="Y320" s="15">
        <v>49445</v>
      </c>
      <c r="AA320" t="s">
        <v>1624</v>
      </c>
      <c r="AB320" t="s">
        <v>1628</v>
      </c>
      <c r="AC320" s="17">
        <v>4.5</v>
      </c>
      <c r="AF320" t="str">
        <f t="shared" si="72"/>
        <v>2025/02/09</v>
      </c>
      <c r="AG320" t="str">
        <f t="shared" si="73"/>
        <v>03-04-2025</v>
      </c>
      <c r="AH320" t="str">
        <f t="shared" si="74"/>
        <v/>
      </c>
      <c r="AI320" t="str">
        <f t="shared" si="75"/>
        <v/>
      </c>
      <c r="AJ320" t="str">
        <f t="shared" si="76"/>
        <v>Not Found</v>
      </c>
      <c r="AK320" t="str">
        <f t="shared" si="77"/>
        <v>Not Found</v>
      </c>
    </row>
    <row r="321" spans="1:37" x14ac:dyDescent="0.35">
      <c r="A321" t="s">
        <v>337</v>
      </c>
      <c r="B321" t="s">
        <v>433</v>
      </c>
      <c r="C321" t="s">
        <v>941</v>
      </c>
      <c r="D321" t="str">
        <f t="shared" si="78"/>
        <v>Aaron Andrews</v>
      </c>
      <c r="E321" t="str">
        <f t="shared" si="79"/>
        <v>Aaron</v>
      </c>
      <c r="F321" t="str">
        <f t="shared" si="80"/>
        <v>Andrews</v>
      </c>
      <c r="G321" t="s">
        <v>1022</v>
      </c>
      <c r="H321" t="str">
        <f t="shared" si="81"/>
        <v>Reporting Analyst</v>
      </c>
      <c r="I321" t="s">
        <v>1028</v>
      </c>
      <c r="J321" t="str">
        <f t="shared" si="82"/>
        <v>HR</v>
      </c>
      <c r="K321" t="s">
        <v>1034</v>
      </c>
      <c r="L321" t="str">
        <f t="shared" si="83"/>
        <v>Scotland</v>
      </c>
      <c r="M321" t="s">
        <v>1042</v>
      </c>
      <c r="N321" t="s">
        <v>1047</v>
      </c>
      <c r="O321" t="str">
        <f t="shared" si="84"/>
        <v>Linkedln</v>
      </c>
      <c r="P321" t="s">
        <v>1332</v>
      </c>
      <c r="Q321" s="9">
        <f t="shared" si="68"/>
        <v>45330</v>
      </c>
      <c r="R321" t="s">
        <v>1495</v>
      </c>
      <c r="S321" s="9">
        <f t="shared" si="69"/>
        <v>45341</v>
      </c>
      <c r="T321" t="s">
        <v>1569</v>
      </c>
      <c r="U321" s="9">
        <f t="shared" si="70"/>
        <v>45347</v>
      </c>
      <c r="W321" s="9" t="str">
        <f t="shared" si="71"/>
        <v/>
      </c>
      <c r="X321" t="s">
        <v>1618</v>
      </c>
      <c r="Y321" s="15">
        <v>34414</v>
      </c>
      <c r="Z321" s="15">
        <v>35275</v>
      </c>
      <c r="AA321" t="s">
        <v>1623</v>
      </c>
      <c r="AB321" t="s">
        <v>1628</v>
      </c>
      <c r="AC321" s="17">
        <v>3.6</v>
      </c>
      <c r="AF321" t="str">
        <f t="shared" si="72"/>
        <v>02-08-2024</v>
      </c>
      <c r="AG321" t="str">
        <f t="shared" si="73"/>
        <v>02-19-2024</v>
      </c>
      <c r="AH321" t="str">
        <f t="shared" si="74"/>
        <v>2024/02/25</v>
      </c>
      <c r="AI321" t="str">
        <f t="shared" si="75"/>
        <v/>
      </c>
      <c r="AJ321" t="str">
        <f t="shared" si="76"/>
        <v>Not Found</v>
      </c>
      <c r="AK321" t="str">
        <f t="shared" si="77"/>
        <v>Not Found</v>
      </c>
    </row>
    <row r="322" spans="1:37" x14ac:dyDescent="0.35">
      <c r="A322" t="s">
        <v>338</v>
      </c>
      <c r="B322" t="s">
        <v>608</v>
      </c>
      <c r="C322" t="s">
        <v>942</v>
      </c>
      <c r="D322" t="str">
        <f t="shared" si="78"/>
        <v>Nathan Martin Cross</v>
      </c>
      <c r="E322" t="str">
        <f t="shared" si="79"/>
        <v>Nathan</v>
      </c>
      <c r="F322" t="str">
        <f t="shared" si="80"/>
        <v>Cross</v>
      </c>
      <c r="G322" t="s">
        <v>1023</v>
      </c>
      <c r="H322" t="str">
        <f t="shared" si="81"/>
        <v>HR Analyst</v>
      </c>
      <c r="I322" t="s">
        <v>1029</v>
      </c>
      <c r="J322" t="str">
        <f t="shared" si="82"/>
        <v>Commercial</v>
      </c>
      <c r="K322" t="s">
        <v>1040</v>
      </c>
      <c r="L322" t="str">
        <f t="shared" si="83"/>
        <v>North West</v>
      </c>
      <c r="M322" t="s">
        <v>1043</v>
      </c>
      <c r="N322" t="s">
        <v>1052</v>
      </c>
      <c r="O322" t="str">
        <f t="shared" si="84"/>
        <v>Linkedln</v>
      </c>
      <c r="P322" t="s">
        <v>1333</v>
      </c>
      <c r="Q322" s="9">
        <f t="shared" ref="Q322:Q385" si="85">IF(IFERROR(FIND("-",AF322),0)=3,DATE(RIGHT(AF322,4),LEFT(AF322,2),MID(AF322,4,2)), IF(IFERROR(FIND("/",AF322)=5,0), DATE(LEFT(AF322,4),MID(AF322,6,2),RIGHT(AF322,2)), DATE(RIGHT(AF322,4), MID(AF322,4,2), LEFT(AF322,2))))</f>
        <v>45296</v>
      </c>
      <c r="S322" s="9" t="str">
        <f t="shared" ref="S322:S385" si="86">IFERROR( IF(IFERROR(FIND("-",AG322),0)=3, DATE(RIGHT(AG322,4),LEFT(AG322,2),MID(AG322,4,2)),  IF(IFERROR(FIND("/",AG322)=5,0), DATE(LEFT(AG322,4),MID(AG322,6,2),RIGHT(AG322,2)), DATE(RIGHT(AG322,4), MID(AG322,4,2), LEFT(AG322,2)))),"")</f>
        <v/>
      </c>
      <c r="U322" s="9" t="str">
        <f t="shared" ref="U322:U385" si="87">IFERROR( IF(IFERROR(FIND("-",AH322),0)=3, DATE(RIGHT(AH322,4),LEFT(AH322,2),MID(AH322,4,2)),  IF(IFERROR(FIND("/",AH322)=5,0), DATE(LEFT(AH322,4),MID(AH322,6,2),RIGHT(AH322,2)), DATE(RIGHT(AH322,4), MID(AH322,4,2), LEFT(AH322,2)))),"")</f>
        <v/>
      </c>
      <c r="W322" s="9" t="str">
        <f t="shared" ref="W322:W385" si="88">IFERROR( IF(IFERROR(FIND("-",AI322),0)=3, DATE(RIGHT(AI322,4),LEFT(AI322,2),MID(AI322,4,2)),  IF(IFERROR(FIND("/",AI322)=5,0), DATE(LEFT(AI322,4),MID(AI322,6,2),RIGHT(AI322,2)), DATE(RIGHT(AI322,4), MID(AI322,4,2), LEFT(AI322,2)))),"")</f>
        <v/>
      </c>
      <c r="X322" t="s">
        <v>1619</v>
      </c>
      <c r="Y322" s="15">
        <v>34505</v>
      </c>
      <c r="AA322" t="s">
        <v>1624</v>
      </c>
      <c r="AB322" t="s">
        <v>1628</v>
      </c>
      <c r="AC322" s="17">
        <v>2.9</v>
      </c>
      <c r="AF322" t="str">
        <f t="shared" ref="AF322:AF385" si="89">IF(IFERROR(FIND("-",P322),0) = 5, SUBSTITUTE(P322,"-","/"), P322)</f>
        <v>05/01/2024</v>
      </c>
      <c r="AG322" t="str">
        <f t="shared" ref="AG322:AG385" si="90">IF(R322 = "", "", IF(IFERROR(FIND("-",R322),0) = 5, SUBSTITUTE(R322,"-","/"), R322))</f>
        <v/>
      </c>
      <c r="AH322" t="str">
        <f t="shared" ref="AH322:AH385" si="91">IF(T322 = "", "", IF(IFERROR(FIND("-",T322),0) = 5, SUBSTITUTE(T322,"-","/"), T322))</f>
        <v/>
      </c>
      <c r="AI322" t="str">
        <f t="shared" ref="AI322:AI385" si="92">IF(V322 = "", "", IF(IFERROR(FIND("-",V322),0) = 5, SUBSTITUTE(V322,"-","/"), V322))</f>
        <v/>
      </c>
      <c r="AJ322" t="str">
        <f t="shared" ref="AJ322:AJ385" si="93">IFERROR(FIND(" ",X322),"Not Found")</f>
        <v>Not Found</v>
      </c>
      <c r="AK322" t="str">
        <f t="shared" ref="AK322:AK385" si="94">IFERROR(FIND(" ",AA322), "Not Found")</f>
        <v>Not Found</v>
      </c>
    </row>
    <row r="323" spans="1:37" x14ac:dyDescent="0.35">
      <c r="A323" t="s">
        <v>339</v>
      </c>
      <c r="B323" t="s">
        <v>489</v>
      </c>
      <c r="C323" t="s">
        <v>943</v>
      </c>
      <c r="D323" t="str">
        <f t="shared" ref="D323:D386" si="95">PROPER(TRIM(SUBSTITUTE(SUBSTITUTE(SUBSTITUTE(SUBSTITUTE(SUBSTITUTE(SUBSTITUTE(C323,"Mr "," "),"Dr "," "),"-"," "),"Miss "," "),"Mrs "," "),"Ms ", " ")))</f>
        <v>Sian Collins</v>
      </c>
      <c r="E323" t="str">
        <f t="shared" ref="E323:E386" si="96">_xlfn.TEXTBEFORE(D323," ",1,,,)</f>
        <v>Sian</v>
      </c>
      <c r="F323" t="str">
        <f t="shared" ref="F323:F386" si="97">_xlfn.TEXTAFTER(D323," ",-1,,,)</f>
        <v>Collins</v>
      </c>
      <c r="G323" t="s">
        <v>1022</v>
      </c>
      <c r="H323" t="str">
        <f t="shared" ref="H323:H386" si="98">TRIM(G323)</f>
        <v>Reporting Analyst</v>
      </c>
      <c r="I323" t="s">
        <v>1029</v>
      </c>
      <c r="J323" t="str">
        <f t="shared" ref="J323:J386" si="99">TRIM(I323)</f>
        <v>Commercial</v>
      </c>
      <c r="K323" t="s">
        <v>1033</v>
      </c>
      <c r="L323" t="str">
        <f t="shared" ref="L323:L386" si="100">PROPER(TRIM(K323))</f>
        <v>Midlands</v>
      </c>
      <c r="M323" t="s">
        <v>1045</v>
      </c>
      <c r="N323" t="s">
        <v>1051</v>
      </c>
      <c r="O323" t="str">
        <f t="shared" ref="O323:O386" si="101">IF(OR(TRIM(N323) = "linkedin", TRIM(N323) = "LI"),"Linkedln",TRIM(N323))</f>
        <v>CV Library</v>
      </c>
      <c r="P323" t="s">
        <v>1334</v>
      </c>
      <c r="Q323" s="9">
        <f t="shared" si="85"/>
        <v>45736</v>
      </c>
      <c r="R323" t="s">
        <v>1364</v>
      </c>
      <c r="S323" s="9">
        <f t="shared" si="86"/>
        <v>45754</v>
      </c>
      <c r="U323" s="9" t="str">
        <f t="shared" si="87"/>
        <v/>
      </c>
      <c r="W323" s="9" t="str">
        <f t="shared" si="88"/>
        <v/>
      </c>
      <c r="X323" t="s">
        <v>1615</v>
      </c>
      <c r="Y323" s="15">
        <v>39091</v>
      </c>
      <c r="AA323" t="s">
        <v>1623</v>
      </c>
      <c r="AB323" t="s">
        <v>1627</v>
      </c>
      <c r="AC323" s="17">
        <v>2.9</v>
      </c>
      <c r="AF323" t="str">
        <f t="shared" si="89"/>
        <v>03-20-2025</v>
      </c>
      <c r="AG323" t="str">
        <f t="shared" si="90"/>
        <v>07/04/2025</v>
      </c>
      <c r="AH323" t="str">
        <f t="shared" si="91"/>
        <v/>
      </c>
      <c r="AI323" t="str">
        <f t="shared" si="92"/>
        <v/>
      </c>
      <c r="AJ323" t="str">
        <f t="shared" si="93"/>
        <v>Not Found</v>
      </c>
      <c r="AK323" t="str">
        <f t="shared" si="94"/>
        <v>Not Found</v>
      </c>
    </row>
    <row r="324" spans="1:37" x14ac:dyDescent="0.35">
      <c r="A324" t="s">
        <v>340</v>
      </c>
      <c r="B324" t="s">
        <v>453</v>
      </c>
      <c r="C324" t="s">
        <v>944</v>
      </c>
      <c r="D324" t="str">
        <f t="shared" si="95"/>
        <v>Jordan Ross</v>
      </c>
      <c r="E324" t="str">
        <f t="shared" si="96"/>
        <v>Jordan</v>
      </c>
      <c r="F324" t="str">
        <f t="shared" si="97"/>
        <v>Ross</v>
      </c>
      <c r="G324" t="s">
        <v>1027</v>
      </c>
      <c r="H324" t="str">
        <f t="shared" si="98"/>
        <v>Data Analyst</v>
      </c>
      <c r="I324" t="s">
        <v>1031</v>
      </c>
      <c r="J324" t="str">
        <f t="shared" si="99"/>
        <v>Technology</v>
      </c>
      <c r="K324" t="s">
        <v>1039</v>
      </c>
      <c r="L324" t="str">
        <f t="shared" si="100"/>
        <v>South East</v>
      </c>
      <c r="M324" t="s">
        <v>1044</v>
      </c>
      <c r="N324" t="s">
        <v>1048</v>
      </c>
      <c r="O324" t="str">
        <f t="shared" si="101"/>
        <v>Referral</v>
      </c>
      <c r="P324" t="s">
        <v>1335</v>
      </c>
      <c r="Q324" s="9">
        <f t="shared" si="85"/>
        <v>45722</v>
      </c>
      <c r="S324" s="9" t="str">
        <f t="shared" si="86"/>
        <v/>
      </c>
      <c r="U324" s="9" t="str">
        <f t="shared" si="87"/>
        <v/>
      </c>
      <c r="W324" s="9" t="str">
        <f t="shared" si="88"/>
        <v/>
      </c>
      <c r="X324" t="s">
        <v>1619</v>
      </c>
      <c r="Y324" s="15">
        <v>48279</v>
      </c>
      <c r="AA324" t="s">
        <v>1622</v>
      </c>
      <c r="AB324" t="s">
        <v>1626</v>
      </c>
      <c r="AC324" s="17">
        <v>2.6</v>
      </c>
      <c r="AF324" t="str">
        <f t="shared" si="89"/>
        <v>06/03/2025</v>
      </c>
      <c r="AG324" t="str">
        <f t="shared" si="90"/>
        <v/>
      </c>
      <c r="AH324" t="str">
        <f t="shared" si="91"/>
        <v/>
      </c>
      <c r="AI324" t="str">
        <f t="shared" si="92"/>
        <v/>
      </c>
      <c r="AJ324" t="str">
        <f t="shared" si="93"/>
        <v>Not Found</v>
      </c>
      <c r="AK324" t="str">
        <f t="shared" si="94"/>
        <v>Not Found</v>
      </c>
    </row>
    <row r="325" spans="1:37" x14ac:dyDescent="0.35">
      <c r="A325" t="s">
        <v>341</v>
      </c>
      <c r="B325" t="s">
        <v>544</v>
      </c>
      <c r="C325" t="s">
        <v>945</v>
      </c>
      <c r="D325" t="str">
        <f t="shared" si="95"/>
        <v>David Walker</v>
      </c>
      <c r="E325" t="str">
        <f t="shared" si="96"/>
        <v>David</v>
      </c>
      <c r="F325" t="str">
        <f t="shared" si="97"/>
        <v>Walker</v>
      </c>
      <c r="G325" t="s">
        <v>1023</v>
      </c>
      <c r="H325" t="str">
        <f t="shared" si="98"/>
        <v>HR Analyst</v>
      </c>
      <c r="I325" t="s">
        <v>1030</v>
      </c>
      <c r="J325" t="str">
        <f t="shared" si="99"/>
        <v>Finance</v>
      </c>
      <c r="K325" t="s">
        <v>1040</v>
      </c>
      <c r="L325" t="str">
        <f t="shared" si="100"/>
        <v>North West</v>
      </c>
      <c r="M325" t="s">
        <v>1043</v>
      </c>
      <c r="N325" t="s">
        <v>1050</v>
      </c>
      <c r="O325" t="str">
        <f t="shared" si="101"/>
        <v>Reed</v>
      </c>
      <c r="P325" t="s">
        <v>1336</v>
      </c>
      <c r="Q325" s="9">
        <f t="shared" si="85"/>
        <v>45389</v>
      </c>
      <c r="R325" t="s">
        <v>1475</v>
      </c>
      <c r="S325" s="9">
        <f t="shared" si="86"/>
        <v>45403</v>
      </c>
      <c r="U325" s="9" t="str">
        <f t="shared" si="87"/>
        <v/>
      </c>
      <c r="W325" s="9" t="str">
        <f t="shared" si="88"/>
        <v/>
      </c>
      <c r="X325" t="s">
        <v>1615</v>
      </c>
      <c r="Y325" s="15">
        <v>40759</v>
      </c>
      <c r="AA325" t="s">
        <v>1624</v>
      </c>
      <c r="AB325" t="s">
        <v>1627</v>
      </c>
      <c r="AC325" s="17">
        <v>2.7</v>
      </c>
      <c r="AF325" t="str">
        <f t="shared" si="89"/>
        <v>2024/04/07</v>
      </c>
      <c r="AG325" t="str">
        <f t="shared" si="90"/>
        <v>04-21-2024</v>
      </c>
      <c r="AH325" t="str">
        <f t="shared" si="91"/>
        <v/>
      </c>
      <c r="AI325" t="str">
        <f t="shared" si="92"/>
        <v/>
      </c>
      <c r="AJ325" t="str">
        <f t="shared" si="93"/>
        <v>Not Found</v>
      </c>
      <c r="AK325" t="str">
        <f t="shared" si="94"/>
        <v>Not Found</v>
      </c>
    </row>
    <row r="326" spans="1:37" x14ac:dyDescent="0.35">
      <c r="A326" t="s">
        <v>342</v>
      </c>
      <c r="B326" t="s">
        <v>609</v>
      </c>
      <c r="C326" t="s">
        <v>946</v>
      </c>
      <c r="D326" t="str">
        <f t="shared" si="95"/>
        <v>Tony O'Neill</v>
      </c>
      <c r="E326" t="str">
        <f t="shared" si="96"/>
        <v>Tony</v>
      </c>
      <c r="F326" t="str">
        <f t="shared" si="97"/>
        <v>O'Neill</v>
      </c>
      <c r="G326" t="s">
        <v>1027</v>
      </c>
      <c r="H326" t="str">
        <f t="shared" si="98"/>
        <v>Data Analyst</v>
      </c>
      <c r="I326" t="s">
        <v>1032</v>
      </c>
      <c r="J326" t="str">
        <f t="shared" si="99"/>
        <v>Operations</v>
      </c>
      <c r="K326" t="s">
        <v>1036</v>
      </c>
      <c r="L326" t="str">
        <f t="shared" si="100"/>
        <v>London</v>
      </c>
      <c r="M326" t="s">
        <v>1041</v>
      </c>
      <c r="N326" t="s">
        <v>1047</v>
      </c>
      <c r="O326" t="str">
        <f t="shared" si="101"/>
        <v>Linkedln</v>
      </c>
      <c r="P326" t="s">
        <v>1337</v>
      </c>
      <c r="Q326" s="9">
        <f t="shared" si="85"/>
        <v>45510</v>
      </c>
      <c r="S326" s="9" t="str">
        <f t="shared" si="86"/>
        <v/>
      </c>
      <c r="U326" s="9" t="str">
        <f t="shared" si="87"/>
        <v/>
      </c>
      <c r="W326" s="9" t="str">
        <f t="shared" si="88"/>
        <v/>
      </c>
      <c r="X326" t="s">
        <v>1619</v>
      </c>
      <c r="Y326" s="15">
        <v>46853</v>
      </c>
      <c r="AA326" t="s">
        <v>1623</v>
      </c>
      <c r="AB326" t="s">
        <v>1626</v>
      </c>
      <c r="AC326" s="17">
        <v>3.9</v>
      </c>
      <c r="AF326" t="str">
        <f t="shared" si="89"/>
        <v>06/08/2024</v>
      </c>
      <c r="AG326" t="str">
        <f t="shared" si="90"/>
        <v/>
      </c>
      <c r="AH326" t="str">
        <f t="shared" si="91"/>
        <v/>
      </c>
      <c r="AI326" t="str">
        <f t="shared" si="92"/>
        <v/>
      </c>
      <c r="AJ326" t="str">
        <f t="shared" si="93"/>
        <v>Not Found</v>
      </c>
      <c r="AK326" t="str">
        <f t="shared" si="94"/>
        <v>Not Found</v>
      </c>
    </row>
    <row r="327" spans="1:37" x14ac:dyDescent="0.35">
      <c r="A327" t="s">
        <v>343</v>
      </c>
      <c r="B327" t="s">
        <v>449</v>
      </c>
      <c r="C327" t="s">
        <v>947</v>
      </c>
      <c r="D327" t="str">
        <f t="shared" si="95"/>
        <v>Matthew Harris</v>
      </c>
      <c r="E327" t="str">
        <f t="shared" si="96"/>
        <v>Matthew</v>
      </c>
      <c r="F327" t="str">
        <f t="shared" si="97"/>
        <v>Harris</v>
      </c>
      <c r="G327" t="s">
        <v>1024</v>
      </c>
      <c r="H327" t="str">
        <f t="shared" si="98"/>
        <v>Business Analyst</v>
      </c>
      <c r="I327" t="s">
        <v>1029</v>
      </c>
      <c r="J327" t="str">
        <f t="shared" si="99"/>
        <v>Commercial</v>
      </c>
      <c r="K327" t="s">
        <v>1039</v>
      </c>
      <c r="L327" t="str">
        <f t="shared" si="100"/>
        <v>South East</v>
      </c>
      <c r="M327" t="s">
        <v>1041</v>
      </c>
      <c r="N327" t="s">
        <v>1049</v>
      </c>
      <c r="O327" t="str">
        <f t="shared" si="101"/>
        <v>Indeed</v>
      </c>
      <c r="P327" t="s">
        <v>1338</v>
      </c>
      <c r="Q327" s="9">
        <f t="shared" si="85"/>
        <v>45582</v>
      </c>
      <c r="S327" s="9" t="str">
        <f t="shared" si="86"/>
        <v/>
      </c>
      <c r="U327" s="9" t="str">
        <f t="shared" si="87"/>
        <v/>
      </c>
      <c r="W327" s="9" t="str">
        <f t="shared" si="88"/>
        <v/>
      </c>
      <c r="X327" t="s">
        <v>1617</v>
      </c>
      <c r="Y327" s="15">
        <v>33442</v>
      </c>
      <c r="AA327" t="s">
        <v>1622</v>
      </c>
      <c r="AB327" t="s">
        <v>1626</v>
      </c>
      <c r="AC327" s="17">
        <v>4.9000000000000004</v>
      </c>
      <c r="AF327" t="str">
        <f t="shared" si="89"/>
        <v>17/10/2024</v>
      </c>
      <c r="AG327" t="str">
        <f t="shared" si="90"/>
        <v/>
      </c>
      <c r="AH327" t="str">
        <f t="shared" si="91"/>
        <v/>
      </c>
      <c r="AI327" t="str">
        <f t="shared" si="92"/>
        <v/>
      </c>
      <c r="AJ327" t="str">
        <f t="shared" si="93"/>
        <v>Not Found</v>
      </c>
      <c r="AK327" t="str">
        <f t="shared" si="94"/>
        <v>Not Found</v>
      </c>
    </row>
    <row r="328" spans="1:37" x14ac:dyDescent="0.35">
      <c r="A328" t="s">
        <v>344</v>
      </c>
      <c r="B328" t="s">
        <v>610</v>
      </c>
      <c r="C328" t="s">
        <v>948</v>
      </c>
      <c r="D328" t="str">
        <f t="shared" si="95"/>
        <v>Irene Read</v>
      </c>
      <c r="E328" t="str">
        <f t="shared" si="96"/>
        <v>Irene</v>
      </c>
      <c r="F328" t="str">
        <f t="shared" si="97"/>
        <v>Read</v>
      </c>
      <c r="G328" t="s">
        <v>1024</v>
      </c>
      <c r="H328" t="str">
        <f t="shared" si="98"/>
        <v>Business Analyst</v>
      </c>
      <c r="I328" t="s">
        <v>1028</v>
      </c>
      <c r="J328" t="str">
        <f t="shared" si="99"/>
        <v>HR</v>
      </c>
      <c r="K328" t="s">
        <v>1036</v>
      </c>
      <c r="L328" t="str">
        <f t="shared" si="100"/>
        <v>London</v>
      </c>
      <c r="M328" t="s">
        <v>1044</v>
      </c>
      <c r="N328" t="s">
        <v>1052</v>
      </c>
      <c r="O328" t="str">
        <f t="shared" si="101"/>
        <v>Linkedln</v>
      </c>
      <c r="P328" t="s">
        <v>1158</v>
      </c>
      <c r="Q328" s="9">
        <f t="shared" si="85"/>
        <v>45623</v>
      </c>
      <c r="S328" s="9" t="str">
        <f t="shared" si="86"/>
        <v/>
      </c>
      <c r="U328" s="9" t="str">
        <f t="shared" si="87"/>
        <v/>
      </c>
      <c r="W328" s="9" t="str">
        <f t="shared" si="88"/>
        <v/>
      </c>
      <c r="X328" t="s">
        <v>1616</v>
      </c>
      <c r="Y328" s="15">
        <v>45063</v>
      </c>
      <c r="AA328" t="s">
        <v>1625</v>
      </c>
      <c r="AB328" t="s">
        <v>1628</v>
      </c>
      <c r="AC328" s="17">
        <v>2.4</v>
      </c>
      <c r="AF328" t="str">
        <f t="shared" si="89"/>
        <v>11-27-2024</v>
      </c>
      <c r="AG328" t="str">
        <f t="shared" si="90"/>
        <v/>
      </c>
      <c r="AH328" t="str">
        <f t="shared" si="91"/>
        <v/>
      </c>
      <c r="AI328" t="str">
        <f t="shared" si="92"/>
        <v/>
      </c>
      <c r="AJ328" t="str">
        <f t="shared" si="93"/>
        <v>Not Found</v>
      </c>
      <c r="AK328" t="str">
        <f t="shared" si="94"/>
        <v>Not Found</v>
      </c>
    </row>
    <row r="329" spans="1:37" x14ac:dyDescent="0.35">
      <c r="A329" t="s">
        <v>345</v>
      </c>
      <c r="B329" t="s">
        <v>508</v>
      </c>
      <c r="C329" t="s">
        <v>949</v>
      </c>
      <c r="D329" t="str">
        <f t="shared" si="95"/>
        <v>Ellie Law Perry</v>
      </c>
      <c r="E329" t="str">
        <f t="shared" si="96"/>
        <v>Ellie</v>
      </c>
      <c r="F329" t="str">
        <f t="shared" si="97"/>
        <v>Perry</v>
      </c>
      <c r="G329" t="s">
        <v>1022</v>
      </c>
      <c r="H329" t="str">
        <f t="shared" si="98"/>
        <v>Reporting Analyst</v>
      </c>
      <c r="I329" t="s">
        <v>1028</v>
      </c>
      <c r="J329" t="str">
        <f t="shared" si="99"/>
        <v>HR</v>
      </c>
      <c r="K329" t="s">
        <v>1038</v>
      </c>
      <c r="L329" t="str">
        <f t="shared" si="100"/>
        <v>East Midlands</v>
      </c>
      <c r="M329" t="s">
        <v>1043</v>
      </c>
      <c r="N329" t="s">
        <v>1046</v>
      </c>
      <c r="O329" t="str">
        <f t="shared" si="101"/>
        <v>Linkedln</v>
      </c>
      <c r="P329" t="s">
        <v>1339</v>
      </c>
      <c r="Q329" s="9">
        <f t="shared" si="85"/>
        <v>45558</v>
      </c>
      <c r="R329" t="s">
        <v>1496</v>
      </c>
      <c r="S329" s="9">
        <f t="shared" si="86"/>
        <v>45588</v>
      </c>
      <c r="U329" s="9" t="str">
        <f t="shared" si="87"/>
        <v/>
      </c>
      <c r="W329" s="9" t="str">
        <f t="shared" si="88"/>
        <v/>
      </c>
      <c r="X329" t="s">
        <v>1615</v>
      </c>
      <c r="Y329" s="15">
        <v>32951</v>
      </c>
      <c r="AA329" t="s">
        <v>1625</v>
      </c>
      <c r="AB329" t="s">
        <v>1626</v>
      </c>
      <c r="AC329" s="17">
        <v>2.7</v>
      </c>
      <c r="AF329" t="str">
        <f t="shared" si="89"/>
        <v>2024/09/23</v>
      </c>
      <c r="AG329" t="str">
        <f t="shared" si="90"/>
        <v>23/10/2024</v>
      </c>
      <c r="AH329" t="str">
        <f t="shared" si="91"/>
        <v/>
      </c>
      <c r="AI329" t="str">
        <f t="shared" si="92"/>
        <v/>
      </c>
      <c r="AJ329" t="str">
        <f t="shared" si="93"/>
        <v>Not Found</v>
      </c>
      <c r="AK329" t="str">
        <f t="shared" si="94"/>
        <v>Not Found</v>
      </c>
    </row>
    <row r="330" spans="1:37" x14ac:dyDescent="0.35">
      <c r="A330" t="s">
        <v>346</v>
      </c>
      <c r="B330" t="s">
        <v>536</v>
      </c>
      <c r="C330" t="s">
        <v>950</v>
      </c>
      <c r="D330" t="str">
        <f t="shared" si="95"/>
        <v>Christian Rowley</v>
      </c>
      <c r="E330" t="str">
        <f t="shared" si="96"/>
        <v>Christian</v>
      </c>
      <c r="F330" t="str">
        <f t="shared" si="97"/>
        <v>Rowley</v>
      </c>
      <c r="G330" t="s">
        <v>1027</v>
      </c>
      <c r="H330" t="str">
        <f t="shared" si="98"/>
        <v>Data Analyst</v>
      </c>
      <c r="I330" t="s">
        <v>1031</v>
      </c>
      <c r="J330" t="str">
        <f t="shared" si="99"/>
        <v>Technology</v>
      </c>
      <c r="K330" t="s">
        <v>1035</v>
      </c>
      <c r="L330" t="str">
        <f t="shared" si="100"/>
        <v>Yorkshire</v>
      </c>
      <c r="M330" t="s">
        <v>1042</v>
      </c>
      <c r="N330" t="s">
        <v>1049</v>
      </c>
      <c r="O330" t="str">
        <f t="shared" si="101"/>
        <v>Indeed</v>
      </c>
      <c r="P330" t="s">
        <v>1340</v>
      </c>
      <c r="Q330" s="9">
        <f t="shared" si="85"/>
        <v>45464</v>
      </c>
      <c r="R330" t="s">
        <v>1083</v>
      </c>
      <c r="S330" s="9">
        <f t="shared" si="86"/>
        <v>45473</v>
      </c>
      <c r="T330" t="s">
        <v>1570</v>
      </c>
      <c r="U330" s="9">
        <f t="shared" si="87"/>
        <v>45491</v>
      </c>
      <c r="V330" t="s">
        <v>1609</v>
      </c>
      <c r="W330" s="9">
        <f t="shared" si="88"/>
        <v>45538</v>
      </c>
      <c r="X330" t="s">
        <v>1620</v>
      </c>
      <c r="Y330" s="15">
        <v>29411</v>
      </c>
      <c r="Z330" s="15">
        <v>30101</v>
      </c>
      <c r="AA330" t="s">
        <v>1625</v>
      </c>
      <c r="AB330" t="s">
        <v>1627</v>
      </c>
      <c r="AC330" s="17">
        <v>3.3</v>
      </c>
      <c r="AF330" t="str">
        <f t="shared" si="89"/>
        <v>2024/06/21</v>
      </c>
      <c r="AG330" t="str">
        <f t="shared" si="90"/>
        <v>2024/06/30</v>
      </c>
      <c r="AH330" t="str">
        <f t="shared" si="91"/>
        <v>07-18-2024</v>
      </c>
      <c r="AI330" t="str">
        <f t="shared" si="92"/>
        <v>09-03-2024</v>
      </c>
      <c r="AJ330" t="str">
        <f t="shared" si="93"/>
        <v>Not Found</v>
      </c>
      <c r="AK330" t="str">
        <f t="shared" si="94"/>
        <v>Not Found</v>
      </c>
    </row>
    <row r="331" spans="1:37" x14ac:dyDescent="0.35">
      <c r="A331" t="s">
        <v>347</v>
      </c>
      <c r="B331" t="s">
        <v>432</v>
      </c>
      <c r="C331" t="s">
        <v>951</v>
      </c>
      <c r="D331" t="str">
        <f t="shared" si="95"/>
        <v>Lauren Green</v>
      </c>
      <c r="E331" t="str">
        <f t="shared" si="96"/>
        <v>Lauren</v>
      </c>
      <c r="F331" t="str">
        <f t="shared" si="97"/>
        <v>Green</v>
      </c>
      <c r="G331" t="s">
        <v>1026</v>
      </c>
      <c r="H331" t="str">
        <f t="shared" si="98"/>
        <v>BI Analyst</v>
      </c>
      <c r="I331" t="s">
        <v>1032</v>
      </c>
      <c r="J331" t="str">
        <f t="shared" si="99"/>
        <v>Operations</v>
      </c>
      <c r="K331" t="s">
        <v>1037</v>
      </c>
      <c r="L331" t="str">
        <f t="shared" si="100"/>
        <v>East Midlands</v>
      </c>
      <c r="M331" t="s">
        <v>1045</v>
      </c>
      <c r="N331" t="s">
        <v>1048</v>
      </c>
      <c r="O331" t="str">
        <f t="shared" si="101"/>
        <v>Referral</v>
      </c>
      <c r="P331" t="s">
        <v>1341</v>
      </c>
      <c r="Q331" s="9">
        <f t="shared" si="85"/>
        <v>45761</v>
      </c>
      <c r="R331" t="s">
        <v>1497</v>
      </c>
      <c r="S331" s="9">
        <f t="shared" si="86"/>
        <v>45767</v>
      </c>
      <c r="T331" t="s">
        <v>1571</v>
      </c>
      <c r="U331" s="9">
        <f t="shared" si="87"/>
        <v>45800</v>
      </c>
      <c r="W331" s="9" t="str">
        <f t="shared" si="88"/>
        <v/>
      </c>
      <c r="X331" t="s">
        <v>1618</v>
      </c>
      <c r="Y331" s="15">
        <v>39377</v>
      </c>
      <c r="Z331" s="15">
        <v>41798</v>
      </c>
      <c r="AA331" t="s">
        <v>1621</v>
      </c>
      <c r="AB331" t="s">
        <v>1628</v>
      </c>
      <c r="AC331" s="17">
        <v>3.9</v>
      </c>
      <c r="AF331" t="str">
        <f t="shared" si="89"/>
        <v>2025/04/14</v>
      </c>
      <c r="AG331" t="str">
        <f t="shared" si="90"/>
        <v>2025/04/20</v>
      </c>
      <c r="AH331" t="str">
        <f t="shared" si="91"/>
        <v>2025/05/23</v>
      </c>
      <c r="AI331" t="str">
        <f t="shared" si="92"/>
        <v/>
      </c>
      <c r="AJ331" t="str">
        <f t="shared" si="93"/>
        <v>Not Found</v>
      </c>
      <c r="AK331" t="str">
        <f t="shared" si="94"/>
        <v>Not Found</v>
      </c>
    </row>
    <row r="332" spans="1:37" x14ac:dyDescent="0.35">
      <c r="A332" t="s">
        <v>348</v>
      </c>
      <c r="B332" t="s">
        <v>611</v>
      </c>
      <c r="C332" t="s">
        <v>952</v>
      </c>
      <c r="D332" t="str">
        <f t="shared" si="95"/>
        <v>Sophie Foster</v>
      </c>
      <c r="E332" t="str">
        <f t="shared" si="96"/>
        <v>Sophie</v>
      </c>
      <c r="F332" t="str">
        <f t="shared" si="97"/>
        <v>Foster</v>
      </c>
      <c r="G332" t="s">
        <v>1022</v>
      </c>
      <c r="H332" t="str">
        <f t="shared" si="98"/>
        <v>Reporting Analyst</v>
      </c>
      <c r="I332" t="s">
        <v>1028</v>
      </c>
      <c r="J332" t="str">
        <f t="shared" si="99"/>
        <v>HR</v>
      </c>
      <c r="K332" t="s">
        <v>1040</v>
      </c>
      <c r="L332" t="str">
        <f t="shared" si="100"/>
        <v>North West</v>
      </c>
      <c r="M332" t="s">
        <v>1043</v>
      </c>
      <c r="N332" t="s">
        <v>1051</v>
      </c>
      <c r="O332" t="str">
        <f t="shared" si="101"/>
        <v>CV Library</v>
      </c>
      <c r="P332" t="s">
        <v>1342</v>
      </c>
      <c r="Q332" s="9">
        <f t="shared" si="85"/>
        <v>45378</v>
      </c>
      <c r="S332" s="9" t="str">
        <f t="shared" si="86"/>
        <v/>
      </c>
      <c r="U332" s="9" t="str">
        <f t="shared" si="87"/>
        <v/>
      </c>
      <c r="W332" s="9" t="str">
        <f t="shared" si="88"/>
        <v/>
      </c>
      <c r="X332" t="s">
        <v>1616</v>
      </c>
      <c r="Y332" s="15">
        <v>50815</v>
      </c>
      <c r="AA332" t="s">
        <v>1625</v>
      </c>
      <c r="AB332" t="s">
        <v>1628</v>
      </c>
      <c r="AC332" s="17">
        <v>3.8</v>
      </c>
      <c r="AF332" t="str">
        <f t="shared" si="89"/>
        <v>03-27-2024</v>
      </c>
      <c r="AG332" t="str">
        <f t="shared" si="90"/>
        <v/>
      </c>
      <c r="AH332" t="str">
        <f t="shared" si="91"/>
        <v/>
      </c>
      <c r="AI332" t="str">
        <f t="shared" si="92"/>
        <v/>
      </c>
      <c r="AJ332" t="str">
        <f t="shared" si="93"/>
        <v>Not Found</v>
      </c>
      <c r="AK332" t="str">
        <f t="shared" si="94"/>
        <v>Not Found</v>
      </c>
    </row>
    <row r="333" spans="1:37" x14ac:dyDescent="0.35">
      <c r="A333" t="s">
        <v>349</v>
      </c>
      <c r="B333" t="s">
        <v>537</v>
      </c>
      <c r="C333" t="s">
        <v>953</v>
      </c>
      <c r="D333" t="str">
        <f t="shared" si="95"/>
        <v>Denise Graham</v>
      </c>
      <c r="E333" t="str">
        <f t="shared" si="96"/>
        <v>Denise</v>
      </c>
      <c r="F333" t="str">
        <f t="shared" si="97"/>
        <v>Graham</v>
      </c>
      <c r="G333" t="s">
        <v>1025</v>
      </c>
      <c r="H333" t="str">
        <f t="shared" si="98"/>
        <v>Finance Analyst</v>
      </c>
      <c r="I333" t="s">
        <v>1030</v>
      </c>
      <c r="J333" t="str">
        <f t="shared" si="99"/>
        <v>Finance</v>
      </c>
      <c r="K333" t="s">
        <v>1035</v>
      </c>
      <c r="L333" t="str">
        <f t="shared" si="100"/>
        <v>Yorkshire</v>
      </c>
      <c r="M333" t="s">
        <v>1045</v>
      </c>
      <c r="N333" t="s">
        <v>1047</v>
      </c>
      <c r="O333" t="str">
        <f t="shared" si="101"/>
        <v>Linkedln</v>
      </c>
      <c r="P333" t="s">
        <v>1343</v>
      </c>
      <c r="Q333" s="9">
        <f t="shared" si="85"/>
        <v>45545</v>
      </c>
      <c r="R333" t="s">
        <v>1498</v>
      </c>
      <c r="S333" s="9">
        <f t="shared" si="86"/>
        <v>45560</v>
      </c>
      <c r="T333" t="s">
        <v>1572</v>
      </c>
      <c r="U333" s="9">
        <f t="shared" si="87"/>
        <v>45563</v>
      </c>
      <c r="V333" t="s">
        <v>1610</v>
      </c>
      <c r="W333" s="9">
        <f t="shared" si="88"/>
        <v>45608</v>
      </c>
      <c r="X333" t="s">
        <v>1620</v>
      </c>
      <c r="Y333" s="15">
        <v>49474</v>
      </c>
      <c r="Z333" s="15">
        <v>51883</v>
      </c>
      <c r="AA333" t="s">
        <v>1621</v>
      </c>
      <c r="AB333" t="s">
        <v>1627</v>
      </c>
      <c r="AF333" t="str">
        <f t="shared" si="89"/>
        <v>2024/09/10</v>
      </c>
      <c r="AG333" t="str">
        <f t="shared" si="90"/>
        <v>09-25-2024</v>
      </c>
      <c r="AH333" t="str">
        <f t="shared" si="91"/>
        <v>28/09/2024</v>
      </c>
      <c r="AI333" t="str">
        <f t="shared" si="92"/>
        <v>11-12-2024</v>
      </c>
      <c r="AJ333" t="str">
        <f t="shared" si="93"/>
        <v>Not Found</v>
      </c>
      <c r="AK333" t="str">
        <f t="shared" si="94"/>
        <v>Not Found</v>
      </c>
    </row>
    <row r="334" spans="1:37" x14ac:dyDescent="0.35">
      <c r="A334" t="s">
        <v>350</v>
      </c>
      <c r="B334" t="s">
        <v>535</v>
      </c>
      <c r="C334" t="s">
        <v>954</v>
      </c>
      <c r="D334" t="str">
        <f t="shared" si="95"/>
        <v>Dominic Mason</v>
      </c>
      <c r="E334" t="str">
        <f t="shared" si="96"/>
        <v>Dominic</v>
      </c>
      <c r="F334" t="str">
        <f t="shared" si="97"/>
        <v>Mason</v>
      </c>
      <c r="G334" t="s">
        <v>1023</v>
      </c>
      <c r="H334" t="str">
        <f t="shared" si="98"/>
        <v>HR Analyst</v>
      </c>
      <c r="I334" t="s">
        <v>1028</v>
      </c>
      <c r="J334" t="str">
        <f t="shared" si="99"/>
        <v>HR</v>
      </c>
      <c r="K334" t="s">
        <v>1033</v>
      </c>
      <c r="L334" t="str">
        <f t="shared" si="100"/>
        <v>Midlands</v>
      </c>
      <c r="M334" t="s">
        <v>1041</v>
      </c>
      <c r="N334" t="s">
        <v>1047</v>
      </c>
      <c r="O334" t="str">
        <f t="shared" si="101"/>
        <v>Linkedln</v>
      </c>
      <c r="P334" t="s">
        <v>1344</v>
      </c>
      <c r="Q334" s="9">
        <f t="shared" si="85"/>
        <v>45310</v>
      </c>
      <c r="S334" s="9" t="str">
        <f t="shared" si="86"/>
        <v/>
      </c>
      <c r="U334" s="9" t="str">
        <f t="shared" si="87"/>
        <v/>
      </c>
      <c r="W334" s="9" t="str">
        <f t="shared" si="88"/>
        <v/>
      </c>
      <c r="X334" t="s">
        <v>1616</v>
      </c>
      <c r="Y334" s="15">
        <v>38087</v>
      </c>
      <c r="AA334" t="s">
        <v>1624</v>
      </c>
      <c r="AB334" t="s">
        <v>1627</v>
      </c>
      <c r="AC334" s="17">
        <v>3.2</v>
      </c>
      <c r="AF334" t="str">
        <f t="shared" si="89"/>
        <v>19/01/2024</v>
      </c>
      <c r="AG334" t="str">
        <f t="shared" si="90"/>
        <v/>
      </c>
      <c r="AH334" t="str">
        <f t="shared" si="91"/>
        <v/>
      </c>
      <c r="AI334" t="str">
        <f t="shared" si="92"/>
        <v/>
      </c>
      <c r="AJ334" t="str">
        <f t="shared" si="93"/>
        <v>Not Found</v>
      </c>
      <c r="AK334" t="str">
        <f t="shared" si="94"/>
        <v>Not Found</v>
      </c>
    </row>
    <row r="335" spans="1:37" x14ac:dyDescent="0.35">
      <c r="A335" t="s">
        <v>351</v>
      </c>
      <c r="B335" t="s">
        <v>476</v>
      </c>
      <c r="C335" t="s">
        <v>955</v>
      </c>
      <c r="D335" t="str">
        <f t="shared" si="95"/>
        <v>Annette Williams</v>
      </c>
      <c r="E335" t="str">
        <f t="shared" si="96"/>
        <v>Annette</v>
      </c>
      <c r="F335" t="str">
        <f t="shared" si="97"/>
        <v>Williams</v>
      </c>
      <c r="G335" t="s">
        <v>1026</v>
      </c>
      <c r="H335" t="str">
        <f t="shared" si="98"/>
        <v>BI Analyst</v>
      </c>
      <c r="I335" t="s">
        <v>1028</v>
      </c>
      <c r="J335" t="str">
        <f t="shared" si="99"/>
        <v>HR</v>
      </c>
      <c r="K335" t="s">
        <v>1037</v>
      </c>
      <c r="L335" t="str">
        <f t="shared" si="100"/>
        <v>East Midlands</v>
      </c>
      <c r="M335" t="s">
        <v>1043</v>
      </c>
      <c r="N335" t="s">
        <v>1046</v>
      </c>
      <c r="O335" t="str">
        <f t="shared" si="101"/>
        <v>Linkedln</v>
      </c>
      <c r="P335" t="s">
        <v>1206</v>
      </c>
      <c r="Q335" s="9">
        <f t="shared" si="85"/>
        <v>45772</v>
      </c>
      <c r="S335" s="9" t="str">
        <f t="shared" si="86"/>
        <v/>
      </c>
      <c r="U335" s="9" t="str">
        <f t="shared" si="87"/>
        <v/>
      </c>
      <c r="W335" s="9" t="str">
        <f t="shared" si="88"/>
        <v/>
      </c>
      <c r="X335" t="s">
        <v>1619</v>
      </c>
      <c r="Y335" s="15">
        <v>47937</v>
      </c>
      <c r="AA335" t="s">
        <v>1624</v>
      </c>
      <c r="AB335" t="s">
        <v>1627</v>
      </c>
      <c r="AC335" s="17">
        <v>3.7</v>
      </c>
      <c r="AF335" t="str">
        <f t="shared" si="89"/>
        <v>25/04/2025</v>
      </c>
      <c r="AG335" t="str">
        <f t="shared" si="90"/>
        <v/>
      </c>
      <c r="AH335" t="str">
        <f t="shared" si="91"/>
        <v/>
      </c>
      <c r="AI335" t="str">
        <f t="shared" si="92"/>
        <v/>
      </c>
      <c r="AJ335" t="str">
        <f t="shared" si="93"/>
        <v>Not Found</v>
      </c>
      <c r="AK335" t="str">
        <f t="shared" si="94"/>
        <v>Not Found</v>
      </c>
    </row>
    <row r="336" spans="1:37" x14ac:dyDescent="0.35">
      <c r="A336" t="s">
        <v>352</v>
      </c>
      <c r="B336" t="s">
        <v>580</v>
      </c>
      <c r="C336" t="s">
        <v>956</v>
      </c>
      <c r="D336" t="str">
        <f t="shared" si="95"/>
        <v>Lesley Ali</v>
      </c>
      <c r="E336" t="str">
        <f t="shared" si="96"/>
        <v>Lesley</v>
      </c>
      <c r="F336" t="str">
        <f t="shared" si="97"/>
        <v>Ali</v>
      </c>
      <c r="G336" t="s">
        <v>1022</v>
      </c>
      <c r="H336" t="str">
        <f t="shared" si="98"/>
        <v>Reporting Analyst</v>
      </c>
      <c r="I336" t="s">
        <v>1031</v>
      </c>
      <c r="J336" t="str">
        <f t="shared" si="99"/>
        <v>Technology</v>
      </c>
      <c r="K336" t="s">
        <v>1039</v>
      </c>
      <c r="L336" t="str">
        <f t="shared" si="100"/>
        <v>South East</v>
      </c>
      <c r="M336" t="s">
        <v>1044</v>
      </c>
      <c r="N336" t="s">
        <v>1048</v>
      </c>
      <c r="O336" t="str">
        <f t="shared" si="101"/>
        <v>Referral</v>
      </c>
      <c r="P336" t="s">
        <v>1345</v>
      </c>
      <c r="Q336" s="9">
        <f t="shared" si="85"/>
        <v>45694</v>
      </c>
      <c r="R336" t="s">
        <v>1142</v>
      </c>
      <c r="S336" s="9">
        <f t="shared" si="86"/>
        <v>45716</v>
      </c>
      <c r="T336" t="s">
        <v>1150</v>
      </c>
      <c r="U336" s="9">
        <f t="shared" si="87"/>
        <v>45709</v>
      </c>
      <c r="V336" t="s">
        <v>1437</v>
      </c>
      <c r="W336" s="9">
        <f t="shared" si="88"/>
        <v>45751</v>
      </c>
      <c r="X336" t="s">
        <v>1620</v>
      </c>
      <c r="Y336" s="15">
        <v>29079</v>
      </c>
      <c r="Z336" s="15">
        <v>28407</v>
      </c>
      <c r="AA336" t="s">
        <v>1624</v>
      </c>
      <c r="AB336" t="s">
        <v>1628</v>
      </c>
      <c r="AC336" s="17">
        <v>3.7</v>
      </c>
      <c r="AF336" t="str">
        <f t="shared" si="89"/>
        <v>2025/02/06</v>
      </c>
      <c r="AG336" t="str">
        <f t="shared" si="90"/>
        <v>2025/02/28</v>
      </c>
      <c r="AH336" t="str">
        <f t="shared" si="91"/>
        <v>02-21-2025</v>
      </c>
      <c r="AI336" t="str">
        <f t="shared" si="92"/>
        <v>04/04/2025</v>
      </c>
      <c r="AJ336" t="str">
        <f t="shared" si="93"/>
        <v>Not Found</v>
      </c>
      <c r="AK336" t="str">
        <f t="shared" si="94"/>
        <v>Not Found</v>
      </c>
    </row>
    <row r="337" spans="1:37" x14ac:dyDescent="0.35">
      <c r="A337" t="s">
        <v>353</v>
      </c>
      <c r="B337" t="s">
        <v>467</v>
      </c>
      <c r="C337" t="s">
        <v>957</v>
      </c>
      <c r="D337" t="str">
        <f t="shared" si="95"/>
        <v>Annette Jordan</v>
      </c>
      <c r="E337" t="str">
        <f t="shared" si="96"/>
        <v>Annette</v>
      </c>
      <c r="F337" t="str">
        <f t="shared" si="97"/>
        <v>Jordan</v>
      </c>
      <c r="G337" t="s">
        <v>1022</v>
      </c>
      <c r="H337" t="str">
        <f t="shared" si="98"/>
        <v>Reporting Analyst</v>
      </c>
      <c r="I337" t="s">
        <v>1032</v>
      </c>
      <c r="J337" t="str">
        <f t="shared" si="99"/>
        <v>Operations</v>
      </c>
      <c r="K337" t="s">
        <v>1040</v>
      </c>
      <c r="L337" t="str">
        <f t="shared" si="100"/>
        <v>North West</v>
      </c>
      <c r="M337" t="s">
        <v>1045</v>
      </c>
      <c r="N337" t="s">
        <v>1046</v>
      </c>
      <c r="O337" t="str">
        <f t="shared" si="101"/>
        <v>Linkedln</v>
      </c>
      <c r="P337" t="s">
        <v>1325</v>
      </c>
      <c r="Q337" s="9">
        <f t="shared" si="85"/>
        <v>45756</v>
      </c>
      <c r="S337" s="9" t="str">
        <f t="shared" si="86"/>
        <v/>
      </c>
      <c r="U337" s="9" t="str">
        <f t="shared" si="87"/>
        <v/>
      </c>
      <c r="W337" s="9" t="str">
        <f t="shared" si="88"/>
        <v/>
      </c>
      <c r="X337" t="s">
        <v>1616</v>
      </c>
      <c r="Y337" s="15">
        <v>48019</v>
      </c>
      <c r="AA337" t="s">
        <v>1622</v>
      </c>
      <c r="AB337" t="s">
        <v>1628</v>
      </c>
      <c r="AC337" s="17">
        <v>5</v>
      </c>
      <c r="AF337" t="str">
        <f t="shared" si="89"/>
        <v>2025/04/09</v>
      </c>
      <c r="AG337" t="str">
        <f t="shared" si="90"/>
        <v/>
      </c>
      <c r="AH337" t="str">
        <f t="shared" si="91"/>
        <v/>
      </c>
      <c r="AI337" t="str">
        <f t="shared" si="92"/>
        <v/>
      </c>
      <c r="AJ337" t="str">
        <f t="shared" si="93"/>
        <v>Not Found</v>
      </c>
      <c r="AK337" t="str">
        <f t="shared" si="94"/>
        <v>Not Found</v>
      </c>
    </row>
    <row r="338" spans="1:37" x14ac:dyDescent="0.35">
      <c r="A338" t="s">
        <v>354</v>
      </c>
      <c r="B338" t="s">
        <v>460</v>
      </c>
      <c r="C338" t="s">
        <v>958</v>
      </c>
      <c r="D338" t="str">
        <f t="shared" si="95"/>
        <v>Kimberley Patel</v>
      </c>
      <c r="E338" t="str">
        <f t="shared" si="96"/>
        <v>Kimberley</v>
      </c>
      <c r="F338" t="str">
        <f t="shared" si="97"/>
        <v>Patel</v>
      </c>
      <c r="G338" t="s">
        <v>1022</v>
      </c>
      <c r="H338" t="str">
        <f t="shared" si="98"/>
        <v>Reporting Analyst</v>
      </c>
      <c r="I338" t="s">
        <v>1032</v>
      </c>
      <c r="J338" t="str">
        <f t="shared" si="99"/>
        <v>Operations</v>
      </c>
      <c r="K338" t="s">
        <v>1034</v>
      </c>
      <c r="L338" t="str">
        <f t="shared" si="100"/>
        <v>Scotland</v>
      </c>
      <c r="M338" t="s">
        <v>1045</v>
      </c>
      <c r="N338" t="s">
        <v>1048</v>
      </c>
      <c r="O338" t="str">
        <f t="shared" si="101"/>
        <v>Referral</v>
      </c>
      <c r="P338" t="s">
        <v>1346</v>
      </c>
      <c r="Q338" s="9">
        <f t="shared" si="85"/>
        <v>45614</v>
      </c>
      <c r="R338" t="s">
        <v>1499</v>
      </c>
      <c r="S338" s="9">
        <f t="shared" si="86"/>
        <v>45636</v>
      </c>
      <c r="U338" s="9" t="str">
        <f t="shared" si="87"/>
        <v/>
      </c>
      <c r="W338" s="9" t="str">
        <f t="shared" si="88"/>
        <v/>
      </c>
      <c r="X338" t="s">
        <v>1615</v>
      </c>
      <c r="Y338" s="15">
        <v>38058</v>
      </c>
      <c r="AA338" t="s">
        <v>1624</v>
      </c>
      <c r="AB338" t="s">
        <v>1627</v>
      </c>
      <c r="AC338" s="17">
        <v>2.2999999999999998</v>
      </c>
      <c r="AF338" t="str">
        <f t="shared" si="89"/>
        <v>11-18-2024</v>
      </c>
      <c r="AG338" t="str">
        <f t="shared" si="90"/>
        <v>10/12/2024</v>
      </c>
      <c r="AH338" t="str">
        <f t="shared" si="91"/>
        <v/>
      </c>
      <c r="AI338" t="str">
        <f t="shared" si="92"/>
        <v/>
      </c>
      <c r="AJ338" t="str">
        <f t="shared" si="93"/>
        <v>Not Found</v>
      </c>
      <c r="AK338" t="str">
        <f t="shared" si="94"/>
        <v>Not Found</v>
      </c>
    </row>
    <row r="339" spans="1:37" x14ac:dyDescent="0.35">
      <c r="A339" t="s">
        <v>355</v>
      </c>
      <c r="B339" t="s">
        <v>612</v>
      </c>
      <c r="C339" t="s">
        <v>959</v>
      </c>
      <c r="D339" t="str">
        <f t="shared" si="95"/>
        <v>Lewis Kelly</v>
      </c>
      <c r="E339" t="str">
        <f t="shared" si="96"/>
        <v>Lewis</v>
      </c>
      <c r="F339" t="str">
        <f t="shared" si="97"/>
        <v>Kelly</v>
      </c>
      <c r="G339" t="s">
        <v>1024</v>
      </c>
      <c r="H339" t="str">
        <f t="shared" si="98"/>
        <v>Business Analyst</v>
      </c>
      <c r="I339" t="s">
        <v>1032</v>
      </c>
      <c r="J339" t="str">
        <f t="shared" si="99"/>
        <v>Operations</v>
      </c>
      <c r="K339" t="s">
        <v>1040</v>
      </c>
      <c r="L339" t="str">
        <f t="shared" si="100"/>
        <v>North West</v>
      </c>
      <c r="M339" t="s">
        <v>1043</v>
      </c>
      <c r="N339" t="s">
        <v>1048</v>
      </c>
      <c r="O339" t="str">
        <f t="shared" si="101"/>
        <v>Referral</v>
      </c>
      <c r="P339" t="s">
        <v>1347</v>
      </c>
      <c r="Q339" s="9">
        <f t="shared" si="85"/>
        <v>45677</v>
      </c>
      <c r="S339" s="9" t="str">
        <f t="shared" si="86"/>
        <v/>
      </c>
      <c r="U339" s="9" t="str">
        <f t="shared" si="87"/>
        <v/>
      </c>
      <c r="W339" s="9" t="str">
        <f t="shared" si="88"/>
        <v/>
      </c>
      <c r="X339" t="s">
        <v>1617</v>
      </c>
      <c r="Y339" s="15">
        <v>47606</v>
      </c>
      <c r="AA339" t="s">
        <v>1621</v>
      </c>
      <c r="AB339" t="s">
        <v>1627</v>
      </c>
      <c r="AC339" s="17">
        <v>3.2</v>
      </c>
      <c r="AF339" t="str">
        <f t="shared" si="89"/>
        <v>01-20-2025</v>
      </c>
      <c r="AG339" t="str">
        <f t="shared" si="90"/>
        <v/>
      </c>
      <c r="AH339" t="str">
        <f t="shared" si="91"/>
        <v/>
      </c>
      <c r="AI339" t="str">
        <f t="shared" si="92"/>
        <v/>
      </c>
      <c r="AJ339" t="str">
        <f t="shared" si="93"/>
        <v>Not Found</v>
      </c>
      <c r="AK339" t="str">
        <f t="shared" si="94"/>
        <v>Not Found</v>
      </c>
    </row>
    <row r="340" spans="1:37" x14ac:dyDescent="0.35">
      <c r="A340" t="s">
        <v>356</v>
      </c>
      <c r="B340" t="s">
        <v>490</v>
      </c>
      <c r="C340" t="s">
        <v>960</v>
      </c>
      <c r="D340" t="str">
        <f t="shared" si="95"/>
        <v>Eileen Shepherd</v>
      </c>
      <c r="E340" t="str">
        <f t="shared" si="96"/>
        <v>Eileen</v>
      </c>
      <c r="F340" t="str">
        <f t="shared" si="97"/>
        <v>Shepherd</v>
      </c>
      <c r="G340" t="s">
        <v>1023</v>
      </c>
      <c r="H340" t="str">
        <f t="shared" si="98"/>
        <v>HR Analyst</v>
      </c>
      <c r="I340" t="s">
        <v>1029</v>
      </c>
      <c r="J340" t="str">
        <f t="shared" si="99"/>
        <v>Commercial</v>
      </c>
      <c r="K340" t="s">
        <v>1038</v>
      </c>
      <c r="L340" t="str">
        <f t="shared" si="100"/>
        <v>East Midlands</v>
      </c>
      <c r="M340" t="s">
        <v>1042</v>
      </c>
      <c r="N340" t="s">
        <v>1049</v>
      </c>
      <c r="O340" t="str">
        <f t="shared" si="101"/>
        <v>Indeed</v>
      </c>
      <c r="P340" t="s">
        <v>1348</v>
      </c>
      <c r="Q340" s="9">
        <f t="shared" si="85"/>
        <v>45298</v>
      </c>
      <c r="S340" s="9" t="str">
        <f t="shared" si="86"/>
        <v/>
      </c>
      <c r="U340" s="9" t="str">
        <f t="shared" si="87"/>
        <v/>
      </c>
      <c r="W340" s="9" t="str">
        <f t="shared" si="88"/>
        <v/>
      </c>
      <c r="X340" t="s">
        <v>1616</v>
      </c>
      <c r="Y340" s="15">
        <v>49929</v>
      </c>
      <c r="AA340" t="s">
        <v>1621</v>
      </c>
      <c r="AB340" t="s">
        <v>1627</v>
      </c>
      <c r="AC340" s="17">
        <v>3.2</v>
      </c>
      <c r="AF340" t="str">
        <f t="shared" si="89"/>
        <v>01-07-2024</v>
      </c>
      <c r="AG340" t="str">
        <f t="shared" si="90"/>
        <v/>
      </c>
      <c r="AH340" t="str">
        <f t="shared" si="91"/>
        <v/>
      </c>
      <c r="AI340" t="str">
        <f t="shared" si="92"/>
        <v/>
      </c>
      <c r="AJ340" t="str">
        <f t="shared" si="93"/>
        <v>Not Found</v>
      </c>
      <c r="AK340" t="str">
        <f t="shared" si="94"/>
        <v>Not Found</v>
      </c>
    </row>
    <row r="341" spans="1:37" x14ac:dyDescent="0.35">
      <c r="A341" t="s">
        <v>357</v>
      </c>
      <c r="B341" t="s">
        <v>613</v>
      </c>
      <c r="C341" t="s">
        <v>961</v>
      </c>
      <c r="D341" t="str">
        <f t="shared" si="95"/>
        <v>Tony Willis</v>
      </c>
      <c r="E341" t="str">
        <f t="shared" si="96"/>
        <v>Tony</v>
      </c>
      <c r="F341" t="str">
        <f t="shared" si="97"/>
        <v>Willis</v>
      </c>
      <c r="G341" t="s">
        <v>1026</v>
      </c>
      <c r="H341" t="str">
        <f t="shared" si="98"/>
        <v>BI Analyst</v>
      </c>
      <c r="I341" t="s">
        <v>1030</v>
      </c>
      <c r="J341" t="str">
        <f t="shared" si="99"/>
        <v>Finance</v>
      </c>
      <c r="K341" t="s">
        <v>1034</v>
      </c>
      <c r="L341" t="str">
        <f t="shared" si="100"/>
        <v>Scotland</v>
      </c>
      <c r="M341" t="s">
        <v>1042</v>
      </c>
      <c r="N341" t="s">
        <v>1048</v>
      </c>
      <c r="O341" t="str">
        <f t="shared" si="101"/>
        <v>Referral</v>
      </c>
      <c r="P341" t="s">
        <v>1141</v>
      </c>
      <c r="Q341" s="9">
        <f t="shared" si="85"/>
        <v>45372</v>
      </c>
      <c r="R341" t="s">
        <v>1164</v>
      </c>
      <c r="S341" s="9">
        <f t="shared" si="86"/>
        <v>45383</v>
      </c>
      <c r="U341" s="9" t="str">
        <f t="shared" si="87"/>
        <v/>
      </c>
      <c r="W341" s="9" t="str">
        <f t="shared" si="88"/>
        <v/>
      </c>
      <c r="X341" t="s">
        <v>1615</v>
      </c>
      <c r="Y341" s="15">
        <v>46043</v>
      </c>
      <c r="AA341" t="s">
        <v>1625</v>
      </c>
      <c r="AB341" t="s">
        <v>1626</v>
      </c>
      <c r="AF341" t="str">
        <f t="shared" si="89"/>
        <v>2024/03/21</v>
      </c>
      <c r="AG341" t="str">
        <f t="shared" si="90"/>
        <v>01/04/2024</v>
      </c>
      <c r="AH341" t="str">
        <f t="shared" si="91"/>
        <v/>
      </c>
      <c r="AI341" t="str">
        <f t="shared" si="92"/>
        <v/>
      </c>
      <c r="AJ341" t="str">
        <f t="shared" si="93"/>
        <v>Not Found</v>
      </c>
      <c r="AK341" t="str">
        <f t="shared" si="94"/>
        <v>Not Found</v>
      </c>
    </row>
    <row r="342" spans="1:37" x14ac:dyDescent="0.35">
      <c r="A342" t="s">
        <v>358</v>
      </c>
      <c r="B342" t="s">
        <v>614</v>
      </c>
      <c r="C342" t="s">
        <v>962</v>
      </c>
      <c r="D342" t="str">
        <f t="shared" si="95"/>
        <v>Margaret Smith</v>
      </c>
      <c r="E342" t="str">
        <f t="shared" si="96"/>
        <v>Margaret</v>
      </c>
      <c r="F342" t="str">
        <f t="shared" si="97"/>
        <v>Smith</v>
      </c>
      <c r="G342" t="s">
        <v>1027</v>
      </c>
      <c r="H342" t="str">
        <f t="shared" si="98"/>
        <v>Data Analyst</v>
      </c>
      <c r="I342" t="s">
        <v>1031</v>
      </c>
      <c r="J342" t="str">
        <f t="shared" si="99"/>
        <v>Technology</v>
      </c>
      <c r="K342" t="s">
        <v>1039</v>
      </c>
      <c r="L342" t="str">
        <f t="shared" si="100"/>
        <v>South East</v>
      </c>
      <c r="M342" t="s">
        <v>1041</v>
      </c>
      <c r="N342" t="s">
        <v>1047</v>
      </c>
      <c r="O342" t="str">
        <f t="shared" si="101"/>
        <v>Linkedln</v>
      </c>
      <c r="P342" t="s">
        <v>1349</v>
      </c>
      <c r="Q342" s="9">
        <f t="shared" si="85"/>
        <v>45780</v>
      </c>
      <c r="R342" t="s">
        <v>1500</v>
      </c>
      <c r="S342" s="9">
        <f t="shared" si="86"/>
        <v>45807</v>
      </c>
      <c r="U342" s="9" t="str">
        <f t="shared" si="87"/>
        <v/>
      </c>
      <c r="W342" s="9" t="str">
        <f t="shared" si="88"/>
        <v/>
      </c>
      <c r="X342" t="s">
        <v>1615</v>
      </c>
      <c r="Y342" s="15">
        <v>29646</v>
      </c>
      <c r="AA342" t="s">
        <v>1624</v>
      </c>
      <c r="AB342" t="s">
        <v>1627</v>
      </c>
      <c r="AC342" s="17">
        <v>3.5</v>
      </c>
      <c r="AF342" t="str">
        <f t="shared" si="89"/>
        <v>2025/05/03</v>
      </c>
      <c r="AG342" t="str">
        <f t="shared" si="90"/>
        <v>05-30-2025</v>
      </c>
      <c r="AH342" t="str">
        <f t="shared" si="91"/>
        <v/>
      </c>
      <c r="AI342" t="str">
        <f t="shared" si="92"/>
        <v/>
      </c>
      <c r="AJ342" t="str">
        <f t="shared" si="93"/>
        <v>Not Found</v>
      </c>
      <c r="AK342" t="str">
        <f t="shared" si="94"/>
        <v>Not Found</v>
      </c>
    </row>
    <row r="343" spans="1:37" x14ac:dyDescent="0.35">
      <c r="A343" t="s">
        <v>359</v>
      </c>
      <c r="B343" t="s">
        <v>582</v>
      </c>
      <c r="C343" t="s">
        <v>963</v>
      </c>
      <c r="D343" t="str">
        <f t="shared" si="95"/>
        <v>Lynn Hill</v>
      </c>
      <c r="E343" t="str">
        <f t="shared" si="96"/>
        <v>Lynn</v>
      </c>
      <c r="F343" t="str">
        <f t="shared" si="97"/>
        <v>Hill</v>
      </c>
      <c r="G343" t="s">
        <v>1026</v>
      </c>
      <c r="H343" t="str">
        <f t="shared" si="98"/>
        <v>BI Analyst</v>
      </c>
      <c r="I343" t="s">
        <v>1031</v>
      </c>
      <c r="J343" t="str">
        <f t="shared" si="99"/>
        <v>Technology</v>
      </c>
      <c r="K343" t="s">
        <v>1034</v>
      </c>
      <c r="L343" t="str">
        <f t="shared" si="100"/>
        <v>Scotland</v>
      </c>
      <c r="M343" t="s">
        <v>1042</v>
      </c>
      <c r="N343" t="s">
        <v>1049</v>
      </c>
      <c r="O343" t="str">
        <f t="shared" si="101"/>
        <v>Indeed</v>
      </c>
      <c r="P343" t="s">
        <v>1350</v>
      </c>
      <c r="Q343" s="9">
        <f t="shared" si="85"/>
        <v>45471</v>
      </c>
      <c r="S343" s="9" t="str">
        <f t="shared" si="86"/>
        <v/>
      </c>
      <c r="U343" s="9" t="str">
        <f t="shared" si="87"/>
        <v/>
      </c>
      <c r="W343" s="9" t="str">
        <f t="shared" si="88"/>
        <v/>
      </c>
      <c r="X343" t="s">
        <v>1619</v>
      </c>
      <c r="Y343" s="15">
        <v>30109</v>
      </c>
      <c r="AA343" t="s">
        <v>1621</v>
      </c>
      <c r="AB343" t="s">
        <v>1627</v>
      </c>
      <c r="AC343" s="17">
        <v>3</v>
      </c>
      <c r="AF343" t="str">
        <f t="shared" si="89"/>
        <v>06-28-2024</v>
      </c>
      <c r="AG343" t="str">
        <f t="shared" si="90"/>
        <v/>
      </c>
      <c r="AH343" t="str">
        <f t="shared" si="91"/>
        <v/>
      </c>
      <c r="AI343" t="str">
        <f t="shared" si="92"/>
        <v/>
      </c>
      <c r="AJ343" t="str">
        <f t="shared" si="93"/>
        <v>Not Found</v>
      </c>
      <c r="AK343" t="str">
        <f t="shared" si="94"/>
        <v>Not Found</v>
      </c>
    </row>
    <row r="344" spans="1:37" x14ac:dyDescent="0.35">
      <c r="A344" t="s">
        <v>360</v>
      </c>
      <c r="B344" t="s">
        <v>577</v>
      </c>
      <c r="C344" t="s">
        <v>964</v>
      </c>
      <c r="D344" t="str">
        <f t="shared" si="95"/>
        <v>Michelle Evans</v>
      </c>
      <c r="E344" t="str">
        <f t="shared" si="96"/>
        <v>Michelle</v>
      </c>
      <c r="F344" t="str">
        <f t="shared" si="97"/>
        <v>Evans</v>
      </c>
      <c r="G344" t="s">
        <v>1023</v>
      </c>
      <c r="H344" t="str">
        <f t="shared" si="98"/>
        <v>HR Analyst</v>
      </c>
      <c r="I344" t="s">
        <v>1031</v>
      </c>
      <c r="J344" t="str">
        <f t="shared" si="99"/>
        <v>Technology</v>
      </c>
      <c r="K344" t="s">
        <v>1038</v>
      </c>
      <c r="L344" t="str">
        <f t="shared" si="100"/>
        <v>East Midlands</v>
      </c>
      <c r="M344" t="s">
        <v>1045</v>
      </c>
      <c r="N344" t="s">
        <v>1051</v>
      </c>
      <c r="O344" t="str">
        <f t="shared" si="101"/>
        <v>CV Library</v>
      </c>
      <c r="P344" t="s">
        <v>1184</v>
      </c>
      <c r="Q344" s="9">
        <f t="shared" si="85"/>
        <v>45455</v>
      </c>
      <c r="R344" t="s">
        <v>1081</v>
      </c>
      <c r="S344" s="9">
        <f t="shared" si="86"/>
        <v>45465</v>
      </c>
      <c r="U344" s="9" t="str">
        <f t="shared" si="87"/>
        <v/>
      </c>
      <c r="W344" s="9" t="str">
        <f t="shared" si="88"/>
        <v/>
      </c>
      <c r="X344" t="s">
        <v>1615</v>
      </c>
      <c r="Y344" s="15">
        <v>42672</v>
      </c>
      <c r="AA344" t="s">
        <v>1621</v>
      </c>
      <c r="AB344" t="s">
        <v>1628</v>
      </c>
      <c r="AC344" s="17">
        <v>4.5</v>
      </c>
      <c r="AF344" t="str">
        <f t="shared" si="89"/>
        <v>06-12-2024</v>
      </c>
      <c r="AG344" t="str">
        <f t="shared" si="90"/>
        <v>2024/06/22</v>
      </c>
      <c r="AH344" t="str">
        <f t="shared" si="91"/>
        <v/>
      </c>
      <c r="AI344" t="str">
        <f t="shared" si="92"/>
        <v/>
      </c>
      <c r="AJ344" t="str">
        <f t="shared" si="93"/>
        <v>Not Found</v>
      </c>
      <c r="AK344" t="str">
        <f t="shared" si="94"/>
        <v>Not Found</v>
      </c>
    </row>
    <row r="345" spans="1:37" x14ac:dyDescent="0.35">
      <c r="A345" t="s">
        <v>361</v>
      </c>
      <c r="B345" t="s">
        <v>615</v>
      </c>
      <c r="C345" t="s">
        <v>965</v>
      </c>
      <c r="D345" t="str">
        <f t="shared" si="95"/>
        <v>Brenda Russell Baker</v>
      </c>
      <c r="E345" t="str">
        <f t="shared" si="96"/>
        <v>Brenda</v>
      </c>
      <c r="F345" t="str">
        <f t="shared" si="97"/>
        <v>Baker</v>
      </c>
      <c r="G345" t="s">
        <v>1024</v>
      </c>
      <c r="H345" t="str">
        <f t="shared" si="98"/>
        <v>Business Analyst</v>
      </c>
      <c r="I345" t="s">
        <v>1031</v>
      </c>
      <c r="J345" t="str">
        <f t="shared" si="99"/>
        <v>Technology</v>
      </c>
      <c r="K345" t="s">
        <v>1034</v>
      </c>
      <c r="L345" t="str">
        <f t="shared" si="100"/>
        <v>Scotland</v>
      </c>
      <c r="M345" t="s">
        <v>1042</v>
      </c>
      <c r="N345" t="s">
        <v>1051</v>
      </c>
      <c r="O345" t="str">
        <f t="shared" si="101"/>
        <v>CV Library</v>
      </c>
      <c r="P345" t="s">
        <v>1086</v>
      </c>
      <c r="Q345" s="9">
        <f t="shared" si="85"/>
        <v>45354</v>
      </c>
      <c r="S345" s="9" t="str">
        <f t="shared" si="86"/>
        <v/>
      </c>
      <c r="U345" s="9" t="str">
        <f t="shared" si="87"/>
        <v/>
      </c>
      <c r="W345" s="9" t="str">
        <f t="shared" si="88"/>
        <v/>
      </c>
      <c r="X345" t="s">
        <v>1619</v>
      </c>
      <c r="Y345" s="15">
        <v>35345</v>
      </c>
      <c r="AA345" t="s">
        <v>1625</v>
      </c>
      <c r="AB345" t="s">
        <v>1628</v>
      </c>
      <c r="AC345" s="17">
        <v>2.9</v>
      </c>
      <c r="AF345" t="str">
        <f t="shared" si="89"/>
        <v>03-03-2024</v>
      </c>
      <c r="AG345" t="str">
        <f t="shared" si="90"/>
        <v/>
      </c>
      <c r="AH345" t="str">
        <f t="shared" si="91"/>
        <v/>
      </c>
      <c r="AI345" t="str">
        <f t="shared" si="92"/>
        <v/>
      </c>
      <c r="AJ345" t="str">
        <f t="shared" si="93"/>
        <v>Not Found</v>
      </c>
      <c r="AK345" t="str">
        <f t="shared" si="94"/>
        <v>Not Found</v>
      </c>
    </row>
    <row r="346" spans="1:37" x14ac:dyDescent="0.35">
      <c r="A346" t="s">
        <v>362</v>
      </c>
      <c r="B346" t="s">
        <v>422</v>
      </c>
      <c r="C346" t="s">
        <v>966</v>
      </c>
      <c r="D346" t="str">
        <f t="shared" si="95"/>
        <v>Andrew Lee</v>
      </c>
      <c r="E346" t="str">
        <f t="shared" si="96"/>
        <v>Andrew</v>
      </c>
      <c r="F346" t="str">
        <f t="shared" si="97"/>
        <v>Lee</v>
      </c>
      <c r="G346" t="s">
        <v>1027</v>
      </c>
      <c r="H346" t="str">
        <f t="shared" si="98"/>
        <v>Data Analyst</v>
      </c>
      <c r="I346" t="s">
        <v>1032</v>
      </c>
      <c r="J346" t="str">
        <f t="shared" si="99"/>
        <v>Operations</v>
      </c>
      <c r="K346" t="s">
        <v>1033</v>
      </c>
      <c r="L346" t="str">
        <f t="shared" si="100"/>
        <v>Midlands</v>
      </c>
      <c r="M346" t="s">
        <v>1041</v>
      </c>
      <c r="N346" t="s">
        <v>1052</v>
      </c>
      <c r="O346" t="str">
        <f t="shared" si="101"/>
        <v>Linkedln</v>
      </c>
      <c r="P346" t="s">
        <v>1351</v>
      </c>
      <c r="Q346" s="9">
        <f t="shared" si="85"/>
        <v>45789</v>
      </c>
      <c r="S346" s="9" t="str">
        <f t="shared" si="86"/>
        <v/>
      </c>
      <c r="U346" s="9" t="str">
        <f t="shared" si="87"/>
        <v/>
      </c>
      <c r="W346" s="9" t="str">
        <f t="shared" si="88"/>
        <v/>
      </c>
      <c r="X346" t="s">
        <v>1619</v>
      </c>
      <c r="Y346" s="15">
        <v>28023</v>
      </c>
      <c r="AA346" t="s">
        <v>1622</v>
      </c>
      <c r="AB346" t="s">
        <v>1627</v>
      </c>
      <c r="AC346" s="17">
        <v>3.5</v>
      </c>
      <c r="AF346" t="str">
        <f t="shared" si="89"/>
        <v>12/05/2025</v>
      </c>
      <c r="AG346" t="str">
        <f t="shared" si="90"/>
        <v/>
      </c>
      <c r="AH346" t="str">
        <f t="shared" si="91"/>
        <v/>
      </c>
      <c r="AI346" t="str">
        <f t="shared" si="92"/>
        <v/>
      </c>
      <c r="AJ346" t="str">
        <f t="shared" si="93"/>
        <v>Not Found</v>
      </c>
      <c r="AK346" t="str">
        <f t="shared" si="94"/>
        <v>Not Found</v>
      </c>
    </row>
    <row r="347" spans="1:37" x14ac:dyDescent="0.35">
      <c r="A347" t="s">
        <v>363</v>
      </c>
      <c r="B347" t="s">
        <v>557</v>
      </c>
      <c r="C347" t="s">
        <v>967</v>
      </c>
      <c r="D347" t="str">
        <f t="shared" si="95"/>
        <v>Lauren Gray</v>
      </c>
      <c r="E347" t="str">
        <f t="shared" si="96"/>
        <v>Lauren</v>
      </c>
      <c r="F347" t="str">
        <f t="shared" si="97"/>
        <v>Gray</v>
      </c>
      <c r="G347" t="s">
        <v>1026</v>
      </c>
      <c r="H347" t="str">
        <f t="shared" si="98"/>
        <v>BI Analyst</v>
      </c>
      <c r="I347" t="s">
        <v>1032</v>
      </c>
      <c r="J347" t="str">
        <f t="shared" si="99"/>
        <v>Operations</v>
      </c>
      <c r="K347" t="s">
        <v>1034</v>
      </c>
      <c r="L347" t="str">
        <f t="shared" si="100"/>
        <v>Scotland</v>
      </c>
      <c r="M347" t="s">
        <v>1045</v>
      </c>
      <c r="N347" t="s">
        <v>1047</v>
      </c>
      <c r="O347" t="str">
        <f t="shared" si="101"/>
        <v>Linkedln</v>
      </c>
      <c r="P347" t="s">
        <v>1352</v>
      </c>
      <c r="Q347" s="9">
        <f t="shared" si="85"/>
        <v>45607</v>
      </c>
      <c r="R347" t="s">
        <v>1501</v>
      </c>
      <c r="S347" s="9">
        <f t="shared" si="86"/>
        <v>45636</v>
      </c>
      <c r="T347" t="s">
        <v>1573</v>
      </c>
      <c r="U347" s="9">
        <f t="shared" si="87"/>
        <v>45652</v>
      </c>
      <c r="W347" s="9" t="str">
        <f t="shared" si="88"/>
        <v/>
      </c>
      <c r="X347" t="s">
        <v>1618</v>
      </c>
      <c r="Y347" s="15">
        <v>45470</v>
      </c>
      <c r="Z347" s="15">
        <v>48498</v>
      </c>
      <c r="AA347" t="s">
        <v>1623</v>
      </c>
      <c r="AB347" t="s">
        <v>1628</v>
      </c>
      <c r="AC347" s="17">
        <v>4.3</v>
      </c>
      <c r="AF347" t="str">
        <f t="shared" si="89"/>
        <v>11-11-2024</v>
      </c>
      <c r="AG347" t="str">
        <f t="shared" si="90"/>
        <v>2024/12/10</v>
      </c>
      <c r="AH347" t="str">
        <f t="shared" si="91"/>
        <v>26/12/2024</v>
      </c>
      <c r="AI347" t="str">
        <f t="shared" si="92"/>
        <v/>
      </c>
      <c r="AJ347" t="str">
        <f t="shared" si="93"/>
        <v>Not Found</v>
      </c>
      <c r="AK347" t="str">
        <f t="shared" si="94"/>
        <v>Not Found</v>
      </c>
    </row>
    <row r="348" spans="1:37" x14ac:dyDescent="0.35">
      <c r="A348" t="s">
        <v>364</v>
      </c>
      <c r="B348" t="s">
        <v>514</v>
      </c>
      <c r="C348" t="s">
        <v>968</v>
      </c>
      <c r="D348" t="str">
        <f t="shared" si="95"/>
        <v>Kyle Patel Fisher</v>
      </c>
      <c r="E348" t="str">
        <f t="shared" si="96"/>
        <v>Kyle</v>
      </c>
      <c r="F348" t="str">
        <f t="shared" si="97"/>
        <v>Fisher</v>
      </c>
      <c r="G348" t="s">
        <v>1023</v>
      </c>
      <c r="H348" t="str">
        <f t="shared" si="98"/>
        <v>HR Analyst</v>
      </c>
      <c r="I348" t="s">
        <v>1030</v>
      </c>
      <c r="J348" t="str">
        <f t="shared" si="99"/>
        <v>Finance</v>
      </c>
      <c r="K348" t="s">
        <v>1033</v>
      </c>
      <c r="L348" t="str">
        <f t="shared" si="100"/>
        <v>Midlands</v>
      </c>
      <c r="M348" t="s">
        <v>1043</v>
      </c>
      <c r="N348" t="s">
        <v>1052</v>
      </c>
      <c r="O348" t="str">
        <f t="shared" si="101"/>
        <v>Linkedln</v>
      </c>
      <c r="P348" t="s">
        <v>1353</v>
      </c>
      <c r="Q348" s="9">
        <f t="shared" si="85"/>
        <v>45526</v>
      </c>
      <c r="R348" t="s">
        <v>1071</v>
      </c>
      <c r="S348" s="9">
        <f t="shared" si="86"/>
        <v>45545</v>
      </c>
      <c r="T348" t="s">
        <v>1574</v>
      </c>
      <c r="U348" s="9">
        <f t="shared" si="87"/>
        <v>45561</v>
      </c>
      <c r="V348" t="s">
        <v>1611</v>
      </c>
      <c r="W348" s="9">
        <f t="shared" si="88"/>
        <v>45597</v>
      </c>
      <c r="X348" t="s">
        <v>1620</v>
      </c>
      <c r="Y348" s="15">
        <v>34339</v>
      </c>
      <c r="Z348" s="15">
        <v>34253</v>
      </c>
      <c r="AA348" t="s">
        <v>1624</v>
      </c>
      <c r="AB348" t="s">
        <v>1627</v>
      </c>
      <c r="AC348" s="17">
        <v>2.2000000000000002</v>
      </c>
      <c r="AF348" t="str">
        <f t="shared" si="89"/>
        <v>08-22-2024</v>
      </c>
      <c r="AG348" t="str">
        <f t="shared" si="90"/>
        <v>10/09/2024</v>
      </c>
      <c r="AH348" t="str">
        <f t="shared" si="91"/>
        <v>26/09/2024</v>
      </c>
      <c r="AI348" t="str">
        <f t="shared" si="92"/>
        <v>11-01-2024</v>
      </c>
      <c r="AJ348" t="str">
        <f t="shared" si="93"/>
        <v>Not Found</v>
      </c>
      <c r="AK348" t="str">
        <f t="shared" si="94"/>
        <v>Not Found</v>
      </c>
    </row>
    <row r="349" spans="1:37" x14ac:dyDescent="0.35">
      <c r="A349" t="s">
        <v>365</v>
      </c>
      <c r="B349" t="s">
        <v>451</v>
      </c>
      <c r="C349" t="s">
        <v>969</v>
      </c>
      <c r="D349" t="str">
        <f t="shared" si="95"/>
        <v>Rosie John</v>
      </c>
      <c r="E349" t="str">
        <f t="shared" si="96"/>
        <v>Rosie</v>
      </c>
      <c r="F349" t="str">
        <f t="shared" si="97"/>
        <v>John</v>
      </c>
      <c r="G349" t="s">
        <v>1026</v>
      </c>
      <c r="H349" t="str">
        <f t="shared" si="98"/>
        <v>BI Analyst</v>
      </c>
      <c r="I349" t="s">
        <v>1030</v>
      </c>
      <c r="J349" t="str">
        <f t="shared" si="99"/>
        <v>Finance</v>
      </c>
      <c r="K349" t="s">
        <v>1038</v>
      </c>
      <c r="L349" t="str">
        <f t="shared" si="100"/>
        <v>East Midlands</v>
      </c>
      <c r="M349" t="s">
        <v>1043</v>
      </c>
      <c r="N349" t="s">
        <v>1052</v>
      </c>
      <c r="O349" t="str">
        <f t="shared" si="101"/>
        <v>Linkedln</v>
      </c>
      <c r="P349" t="s">
        <v>1354</v>
      </c>
      <c r="Q349" s="9">
        <f t="shared" si="85"/>
        <v>45479</v>
      </c>
      <c r="R349" t="s">
        <v>1286</v>
      </c>
      <c r="S349" s="9">
        <f t="shared" si="86"/>
        <v>45495</v>
      </c>
      <c r="T349" t="s">
        <v>1575</v>
      </c>
      <c r="U349" s="9">
        <f t="shared" si="87"/>
        <v>45516</v>
      </c>
      <c r="W349" s="9" t="str">
        <f t="shared" si="88"/>
        <v/>
      </c>
      <c r="X349" t="s">
        <v>1618</v>
      </c>
      <c r="Y349" s="15">
        <v>42484</v>
      </c>
      <c r="Z349" s="15">
        <v>40835</v>
      </c>
      <c r="AA349" t="s">
        <v>1625</v>
      </c>
      <c r="AB349" t="s">
        <v>1627</v>
      </c>
      <c r="AC349" s="17">
        <v>2.6</v>
      </c>
      <c r="AF349" t="str">
        <f t="shared" si="89"/>
        <v>07-06-2024</v>
      </c>
      <c r="AG349" t="str">
        <f t="shared" si="90"/>
        <v>2024/07/22</v>
      </c>
      <c r="AH349" t="str">
        <f t="shared" si="91"/>
        <v>08-12-2024</v>
      </c>
      <c r="AI349" t="str">
        <f t="shared" si="92"/>
        <v/>
      </c>
      <c r="AJ349" t="str">
        <f t="shared" si="93"/>
        <v>Not Found</v>
      </c>
      <c r="AK349" t="str">
        <f t="shared" si="94"/>
        <v>Not Found</v>
      </c>
    </row>
    <row r="350" spans="1:37" x14ac:dyDescent="0.35">
      <c r="A350" t="s">
        <v>366</v>
      </c>
      <c r="B350" t="s">
        <v>508</v>
      </c>
      <c r="C350" t="s">
        <v>970</v>
      </c>
      <c r="D350" t="str">
        <f t="shared" si="95"/>
        <v>Duncan Morris</v>
      </c>
      <c r="E350" t="str">
        <f t="shared" si="96"/>
        <v>Duncan</v>
      </c>
      <c r="F350" t="str">
        <f t="shared" si="97"/>
        <v>Morris</v>
      </c>
      <c r="G350" t="s">
        <v>1024</v>
      </c>
      <c r="H350" t="str">
        <f t="shared" si="98"/>
        <v>Business Analyst</v>
      </c>
      <c r="I350" t="s">
        <v>1032</v>
      </c>
      <c r="J350" t="str">
        <f t="shared" si="99"/>
        <v>Operations</v>
      </c>
      <c r="K350" t="s">
        <v>1037</v>
      </c>
      <c r="L350" t="str">
        <f t="shared" si="100"/>
        <v>East Midlands</v>
      </c>
      <c r="M350" t="s">
        <v>1042</v>
      </c>
      <c r="N350" t="s">
        <v>1046</v>
      </c>
      <c r="O350" t="str">
        <f t="shared" si="101"/>
        <v>Linkedln</v>
      </c>
      <c r="P350" t="s">
        <v>1355</v>
      </c>
      <c r="Q350" s="9">
        <f t="shared" si="85"/>
        <v>45465</v>
      </c>
      <c r="R350" t="s">
        <v>1393</v>
      </c>
      <c r="S350" s="9">
        <f t="shared" si="86"/>
        <v>45475</v>
      </c>
      <c r="U350" s="9" t="str">
        <f t="shared" si="87"/>
        <v/>
      </c>
      <c r="W350" s="9" t="str">
        <f t="shared" si="88"/>
        <v/>
      </c>
      <c r="X350" t="s">
        <v>1615</v>
      </c>
      <c r="Y350" s="15">
        <v>44962</v>
      </c>
      <c r="AA350" t="s">
        <v>1621</v>
      </c>
      <c r="AB350" t="s">
        <v>1626</v>
      </c>
      <c r="AC350" s="17">
        <v>2.6</v>
      </c>
      <c r="AF350" t="str">
        <f t="shared" si="89"/>
        <v>22/06/2024</v>
      </c>
      <c r="AG350" t="str">
        <f t="shared" si="90"/>
        <v>2024/07/02</v>
      </c>
      <c r="AH350" t="str">
        <f t="shared" si="91"/>
        <v/>
      </c>
      <c r="AI350" t="str">
        <f t="shared" si="92"/>
        <v/>
      </c>
      <c r="AJ350" t="str">
        <f t="shared" si="93"/>
        <v>Not Found</v>
      </c>
      <c r="AK350" t="str">
        <f t="shared" si="94"/>
        <v>Not Found</v>
      </c>
    </row>
    <row r="351" spans="1:37" x14ac:dyDescent="0.35">
      <c r="A351" t="s">
        <v>367</v>
      </c>
      <c r="B351" t="s">
        <v>616</v>
      </c>
      <c r="C351" t="s">
        <v>971</v>
      </c>
      <c r="D351" t="str">
        <f t="shared" si="95"/>
        <v>Linda Wilson</v>
      </c>
      <c r="E351" t="str">
        <f t="shared" si="96"/>
        <v>Linda</v>
      </c>
      <c r="F351" t="str">
        <f t="shared" si="97"/>
        <v>Wilson</v>
      </c>
      <c r="G351" t="s">
        <v>1026</v>
      </c>
      <c r="H351" t="str">
        <f t="shared" si="98"/>
        <v>BI Analyst</v>
      </c>
      <c r="I351" t="s">
        <v>1032</v>
      </c>
      <c r="J351" t="str">
        <f t="shared" si="99"/>
        <v>Operations</v>
      </c>
      <c r="K351" t="s">
        <v>1037</v>
      </c>
      <c r="L351" t="str">
        <f t="shared" si="100"/>
        <v>East Midlands</v>
      </c>
      <c r="M351" t="s">
        <v>1043</v>
      </c>
      <c r="N351" t="s">
        <v>1052</v>
      </c>
      <c r="O351" t="str">
        <f t="shared" si="101"/>
        <v>Linkedln</v>
      </c>
      <c r="P351" t="s">
        <v>1353</v>
      </c>
      <c r="Q351" s="9">
        <f t="shared" si="85"/>
        <v>45526</v>
      </c>
      <c r="S351" s="9" t="str">
        <f t="shared" si="86"/>
        <v/>
      </c>
      <c r="U351" s="9" t="str">
        <f t="shared" si="87"/>
        <v/>
      </c>
      <c r="W351" s="9" t="str">
        <f t="shared" si="88"/>
        <v/>
      </c>
      <c r="X351" t="s">
        <v>1617</v>
      </c>
      <c r="Y351" s="15">
        <v>49755</v>
      </c>
      <c r="AA351" t="s">
        <v>1622</v>
      </c>
      <c r="AB351" t="s">
        <v>1628</v>
      </c>
      <c r="AC351" s="17">
        <v>3.8</v>
      </c>
      <c r="AF351" t="str">
        <f t="shared" si="89"/>
        <v>08-22-2024</v>
      </c>
      <c r="AG351" t="str">
        <f t="shared" si="90"/>
        <v/>
      </c>
      <c r="AH351" t="str">
        <f t="shared" si="91"/>
        <v/>
      </c>
      <c r="AI351" t="str">
        <f t="shared" si="92"/>
        <v/>
      </c>
      <c r="AJ351" t="str">
        <f t="shared" si="93"/>
        <v>Not Found</v>
      </c>
      <c r="AK351" t="str">
        <f t="shared" si="94"/>
        <v>Not Found</v>
      </c>
    </row>
    <row r="352" spans="1:37" x14ac:dyDescent="0.35">
      <c r="A352" t="s">
        <v>368</v>
      </c>
      <c r="B352" t="s">
        <v>582</v>
      </c>
      <c r="C352" t="s">
        <v>972</v>
      </c>
      <c r="D352" t="str">
        <f t="shared" si="95"/>
        <v>Leslie Brooks Burrows</v>
      </c>
      <c r="E352" t="str">
        <f t="shared" si="96"/>
        <v>Leslie</v>
      </c>
      <c r="F352" t="str">
        <f t="shared" si="97"/>
        <v>Burrows</v>
      </c>
      <c r="G352" t="s">
        <v>1026</v>
      </c>
      <c r="H352" t="str">
        <f t="shared" si="98"/>
        <v>BI Analyst</v>
      </c>
      <c r="I352" t="s">
        <v>1029</v>
      </c>
      <c r="J352" t="str">
        <f t="shared" si="99"/>
        <v>Commercial</v>
      </c>
      <c r="K352" t="s">
        <v>1033</v>
      </c>
      <c r="L352" t="str">
        <f t="shared" si="100"/>
        <v>Midlands</v>
      </c>
      <c r="M352" t="s">
        <v>1041</v>
      </c>
      <c r="N352" t="s">
        <v>1048</v>
      </c>
      <c r="O352" t="str">
        <f t="shared" si="101"/>
        <v>Referral</v>
      </c>
      <c r="P352" t="s">
        <v>1356</v>
      </c>
      <c r="Q352" s="9">
        <f t="shared" si="85"/>
        <v>45711</v>
      </c>
      <c r="S352" s="9" t="str">
        <f t="shared" si="86"/>
        <v/>
      </c>
      <c r="U352" s="9" t="str">
        <f t="shared" si="87"/>
        <v/>
      </c>
      <c r="W352" s="9" t="str">
        <f t="shared" si="88"/>
        <v/>
      </c>
      <c r="X352" t="s">
        <v>1616</v>
      </c>
      <c r="Y352" s="15">
        <v>45314</v>
      </c>
      <c r="AA352" t="s">
        <v>1625</v>
      </c>
      <c r="AB352" t="s">
        <v>1627</v>
      </c>
      <c r="AC352" s="17">
        <v>2.5</v>
      </c>
      <c r="AF352" t="str">
        <f t="shared" si="89"/>
        <v>23/02/2025</v>
      </c>
      <c r="AG352" t="str">
        <f t="shared" si="90"/>
        <v/>
      </c>
      <c r="AH352" t="str">
        <f t="shared" si="91"/>
        <v/>
      </c>
      <c r="AI352" t="str">
        <f t="shared" si="92"/>
        <v/>
      </c>
      <c r="AJ352" t="str">
        <f t="shared" si="93"/>
        <v>Not Found</v>
      </c>
      <c r="AK352" t="str">
        <f t="shared" si="94"/>
        <v>Not Found</v>
      </c>
    </row>
    <row r="353" spans="1:37" x14ac:dyDescent="0.35">
      <c r="A353" t="s">
        <v>369</v>
      </c>
      <c r="B353" t="s">
        <v>570</v>
      </c>
      <c r="C353" t="s">
        <v>973</v>
      </c>
      <c r="D353" t="str">
        <f t="shared" si="95"/>
        <v>Grace Hill</v>
      </c>
      <c r="E353" t="str">
        <f t="shared" si="96"/>
        <v>Grace</v>
      </c>
      <c r="F353" t="str">
        <f t="shared" si="97"/>
        <v>Hill</v>
      </c>
      <c r="G353" t="s">
        <v>1022</v>
      </c>
      <c r="H353" t="str">
        <f t="shared" si="98"/>
        <v>Reporting Analyst</v>
      </c>
      <c r="I353" t="s">
        <v>1032</v>
      </c>
      <c r="J353" t="str">
        <f t="shared" si="99"/>
        <v>Operations</v>
      </c>
      <c r="K353" t="s">
        <v>1037</v>
      </c>
      <c r="L353" t="str">
        <f t="shared" si="100"/>
        <v>East Midlands</v>
      </c>
      <c r="M353" t="s">
        <v>1045</v>
      </c>
      <c r="N353" t="s">
        <v>1051</v>
      </c>
      <c r="O353" t="str">
        <f t="shared" si="101"/>
        <v>CV Library</v>
      </c>
      <c r="P353" t="s">
        <v>1142</v>
      </c>
      <c r="Q353" s="9">
        <f t="shared" si="85"/>
        <v>45716</v>
      </c>
      <c r="S353" s="9" t="str">
        <f t="shared" si="86"/>
        <v/>
      </c>
      <c r="U353" s="9" t="str">
        <f t="shared" si="87"/>
        <v/>
      </c>
      <c r="W353" s="9" t="str">
        <f t="shared" si="88"/>
        <v/>
      </c>
      <c r="X353" t="s">
        <v>1616</v>
      </c>
      <c r="Y353" s="15">
        <v>36630</v>
      </c>
      <c r="AA353" t="s">
        <v>1625</v>
      </c>
      <c r="AB353" t="s">
        <v>1626</v>
      </c>
      <c r="AC353" s="17">
        <v>3.5</v>
      </c>
      <c r="AF353" t="str">
        <f t="shared" si="89"/>
        <v>2025/02/28</v>
      </c>
      <c r="AG353" t="str">
        <f t="shared" si="90"/>
        <v/>
      </c>
      <c r="AH353" t="str">
        <f t="shared" si="91"/>
        <v/>
      </c>
      <c r="AI353" t="str">
        <f t="shared" si="92"/>
        <v/>
      </c>
      <c r="AJ353" t="str">
        <f t="shared" si="93"/>
        <v>Not Found</v>
      </c>
      <c r="AK353" t="str">
        <f t="shared" si="94"/>
        <v>Not Found</v>
      </c>
    </row>
    <row r="354" spans="1:37" x14ac:dyDescent="0.35">
      <c r="A354" t="s">
        <v>370</v>
      </c>
      <c r="B354" t="s">
        <v>470</v>
      </c>
      <c r="C354" t="s">
        <v>974</v>
      </c>
      <c r="D354" t="str">
        <f t="shared" si="95"/>
        <v>Gemma Collins</v>
      </c>
      <c r="E354" t="str">
        <f t="shared" si="96"/>
        <v>Gemma</v>
      </c>
      <c r="F354" t="str">
        <f t="shared" si="97"/>
        <v>Collins</v>
      </c>
      <c r="G354" t="s">
        <v>1022</v>
      </c>
      <c r="H354" t="str">
        <f t="shared" si="98"/>
        <v>Reporting Analyst</v>
      </c>
      <c r="I354" t="s">
        <v>1028</v>
      </c>
      <c r="J354" t="str">
        <f t="shared" si="99"/>
        <v>HR</v>
      </c>
      <c r="K354" t="s">
        <v>1037</v>
      </c>
      <c r="L354" t="str">
        <f t="shared" si="100"/>
        <v>East Midlands</v>
      </c>
      <c r="M354" t="s">
        <v>1041</v>
      </c>
      <c r="N354" t="s">
        <v>1047</v>
      </c>
      <c r="O354" t="str">
        <f t="shared" si="101"/>
        <v>Linkedln</v>
      </c>
      <c r="P354" t="s">
        <v>1357</v>
      </c>
      <c r="Q354" s="9">
        <f t="shared" si="85"/>
        <v>45718</v>
      </c>
      <c r="S354" s="9" t="str">
        <f t="shared" si="86"/>
        <v/>
      </c>
      <c r="U354" s="9" t="str">
        <f t="shared" si="87"/>
        <v/>
      </c>
      <c r="W354" s="9" t="str">
        <f t="shared" si="88"/>
        <v/>
      </c>
      <c r="X354" t="s">
        <v>1619</v>
      </c>
      <c r="Y354" s="15">
        <v>38487</v>
      </c>
      <c r="AA354" t="s">
        <v>1621</v>
      </c>
      <c r="AB354" t="s">
        <v>1628</v>
      </c>
      <c r="AC354" s="17">
        <v>4.3</v>
      </c>
      <c r="AF354" t="str">
        <f t="shared" si="89"/>
        <v>2025/03/02</v>
      </c>
      <c r="AG354" t="str">
        <f t="shared" si="90"/>
        <v/>
      </c>
      <c r="AH354" t="str">
        <f t="shared" si="91"/>
        <v/>
      </c>
      <c r="AI354" t="str">
        <f t="shared" si="92"/>
        <v/>
      </c>
      <c r="AJ354" t="str">
        <f t="shared" si="93"/>
        <v>Not Found</v>
      </c>
      <c r="AK354" t="str">
        <f t="shared" si="94"/>
        <v>Not Found</v>
      </c>
    </row>
    <row r="355" spans="1:37" x14ac:dyDescent="0.35">
      <c r="A355" t="s">
        <v>371</v>
      </c>
      <c r="B355" t="s">
        <v>584</v>
      </c>
      <c r="C355" t="s">
        <v>975</v>
      </c>
      <c r="D355" t="str">
        <f t="shared" si="95"/>
        <v>Ian Norman</v>
      </c>
      <c r="E355" t="str">
        <f t="shared" si="96"/>
        <v>Ian</v>
      </c>
      <c r="F355" t="str">
        <f t="shared" si="97"/>
        <v>Norman</v>
      </c>
      <c r="G355" t="s">
        <v>1025</v>
      </c>
      <c r="H355" t="str">
        <f t="shared" si="98"/>
        <v>Finance Analyst</v>
      </c>
      <c r="I355" t="s">
        <v>1031</v>
      </c>
      <c r="J355" t="str">
        <f t="shared" si="99"/>
        <v>Technology</v>
      </c>
      <c r="K355" t="s">
        <v>1040</v>
      </c>
      <c r="L355" t="str">
        <f t="shared" si="100"/>
        <v>North West</v>
      </c>
      <c r="M355" t="s">
        <v>1041</v>
      </c>
      <c r="N355" t="s">
        <v>1049</v>
      </c>
      <c r="O355" t="str">
        <f t="shared" si="101"/>
        <v>Indeed</v>
      </c>
      <c r="P355" t="s">
        <v>1358</v>
      </c>
      <c r="Q355" s="9">
        <f t="shared" si="85"/>
        <v>45637</v>
      </c>
      <c r="R355" t="s">
        <v>1502</v>
      </c>
      <c r="S355" s="9">
        <f t="shared" si="86"/>
        <v>45655</v>
      </c>
      <c r="U355" s="9" t="str">
        <f t="shared" si="87"/>
        <v/>
      </c>
      <c r="W355" s="9" t="str">
        <f t="shared" si="88"/>
        <v/>
      </c>
      <c r="X355" t="s">
        <v>1615</v>
      </c>
      <c r="Y355" s="15">
        <v>34222</v>
      </c>
      <c r="AA355" t="s">
        <v>1622</v>
      </c>
      <c r="AB355" t="s">
        <v>1626</v>
      </c>
      <c r="AC355" s="17">
        <v>3.7</v>
      </c>
      <c r="AF355" t="str">
        <f t="shared" si="89"/>
        <v>2024/12/11</v>
      </c>
      <c r="AG355" t="str">
        <f t="shared" si="90"/>
        <v>2024/12/29</v>
      </c>
      <c r="AH355" t="str">
        <f t="shared" si="91"/>
        <v/>
      </c>
      <c r="AI355" t="str">
        <f t="shared" si="92"/>
        <v/>
      </c>
      <c r="AJ355" t="str">
        <f t="shared" si="93"/>
        <v>Not Found</v>
      </c>
      <c r="AK355" t="str">
        <f t="shared" si="94"/>
        <v>Not Found</v>
      </c>
    </row>
    <row r="356" spans="1:37" x14ac:dyDescent="0.35">
      <c r="A356" t="s">
        <v>372</v>
      </c>
      <c r="B356" t="s">
        <v>514</v>
      </c>
      <c r="C356" t="s">
        <v>976</v>
      </c>
      <c r="D356" t="str">
        <f t="shared" si="95"/>
        <v>Samuel Reynolds</v>
      </c>
      <c r="E356" t="str">
        <f t="shared" si="96"/>
        <v>Samuel</v>
      </c>
      <c r="F356" t="str">
        <f t="shared" si="97"/>
        <v>Reynolds</v>
      </c>
      <c r="G356" t="s">
        <v>1025</v>
      </c>
      <c r="H356" t="str">
        <f t="shared" si="98"/>
        <v>Finance Analyst</v>
      </c>
      <c r="I356" t="s">
        <v>1028</v>
      </c>
      <c r="J356" t="str">
        <f t="shared" si="99"/>
        <v>HR</v>
      </c>
      <c r="K356" t="s">
        <v>1039</v>
      </c>
      <c r="L356" t="str">
        <f t="shared" si="100"/>
        <v>South East</v>
      </c>
      <c r="M356" t="s">
        <v>1044</v>
      </c>
      <c r="N356" t="s">
        <v>1052</v>
      </c>
      <c r="O356" t="str">
        <f t="shared" si="101"/>
        <v>Linkedln</v>
      </c>
      <c r="P356" t="s">
        <v>1359</v>
      </c>
      <c r="Q356" s="9">
        <f t="shared" si="85"/>
        <v>45364</v>
      </c>
      <c r="R356" t="s">
        <v>1503</v>
      </c>
      <c r="S356" s="9">
        <f t="shared" si="86"/>
        <v>45393</v>
      </c>
      <c r="U356" s="9" t="str">
        <f t="shared" si="87"/>
        <v/>
      </c>
      <c r="W356" s="9" t="str">
        <f t="shared" si="88"/>
        <v/>
      </c>
      <c r="X356" t="s">
        <v>1615</v>
      </c>
      <c r="Y356" s="15">
        <v>47075</v>
      </c>
      <c r="AA356" t="s">
        <v>1621</v>
      </c>
      <c r="AB356" t="s">
        <v>1628</v>
      </c>
      <c r="AC356" s="17">
        <v>4.0999999999999996</v>
      </c>
      <c r="AF356" t="str">
        <f t="shared" si="89"/>
        <v>2024/03/13</v>
      </c>
      <c r="AG356" t="str">
        <f t="shared" si="90"/>
        <v>2024/04/11</v>
      </c>
      <c r="AH356" t="str">
        <f t="shared" si="91"/>
        <v/>
      </c>
      <c r="AI356" t="str">
        <f t="shared" si="92"/>
        <v/>
      </c>
      <c r="AJ356" t="str">
        <f t="shared" si="93"/>
        <v>Not Found</v>
      </c>
      <c r="AK356" t="str">
        <f t="shared" si="94"/>
        <v>Not Found</v>
      </c>
    </row>
    <row r="357" spans="1:37" x14ac:dyDescent="0.35">
      <c r="A357" t="s">
        <v>373</v>
      </c>
      <c r="B357" t="s">
        <v>617</v>
      </c>
      <c r="C357" t="s">
        <v>977</v>
      </c>
      <c r="D357" t="str">
        <f t="shared" si="95"/>
        <v>Anna Smith</v>
      </c>
      <c r="E357" t="str">
        <f t="shared" si="96"/>
        <v>Anna</v>
      </c>
      <c r="F357" t="str">
        <f t="shared" si="97"/>
        <v>Smith</v>
      </c>
      <c r="G357" t="s">
        <v>1023</v>
      </c>
      <c r="H357" t="str">
        <f t="shared" si="98"/>
        <v>HR Analyst</v>
      </c>
      <c r="I357" t="s">
        <v>1032</v>
      </c>
      <c r="J357" t="str">
        <f t="shared" si="99"/>
        <v>Operations</v>
      </c>
      <c r="K357" t="s">
        <v>1039</v>
      </c>
      <c r="L357" t="str">
        <f t="shared" si="100"/>
        <v>South East</v>
      </c>
      <c r="M357" t="s">
        <v>1044</v>
      </c>
      <c r="N357" t="s">
        <v>1049</v>
      </c>
      <c r="O357" t="str">
        <f t="shared" si="101"/>
        <v>Indeed</v>
      </c>
      <c r="P357" t="s">
        <v>1360</v>
      </c>
      <c r="Q357" s="9">
        <f t="shared" si="85"/>
        <v>45748</v>
      </c>
      <c r="R357" t="s">
        <v>1504</v>
      </c>
      <c r="S357" s="9">
        <f t="shared" si="86"/>
        <v>45778</v>
      </c>
      <c r="T357" t="s">
        <v>1175</v>
      </c>
      <c r="U357" s="9">
        <f t="shared" si="87"/>
        <v>45771</v>
      </c>
      <c r="V357" t="s">
        <v>1612</v>
      </c>
      <c r="W357" s="9">
        <f t="shared" si="88"/>
        <v>45780</v>
      </c>
      <c r="X357" t="s">
        <v>1620</v>
      </c>
      <c r="Y357" s="15">
        <v>43197</v>
      </c>
      <c r="Z357" s="15">
        <v>45464</v>
      </c>
      <c r="AA357" t="s">
        <v>1624</v>
      </c>
      <c r="AB357" t="s">
        <v>1628</v>
      </c>
      <c r="AC357" s="17">
        <v>3.6</v>
      </c>
      <c r="AF357" t="str">
        <f t="shared" si="89"/>
        <v>04-01-2025</v>
      </c>
      <c r="AG357" t="str">
        <f t="shared" si="90"/>
        <v>05-01-2025</v>
      </c>
      <c r="AH357" t="str">
        <f t="shared" si="91"/>
        <v>04-24-2025</v>
      </c>
      <c r="AI357" t="str">
        <f t="shared" si="92"/>
        <v>03/05/2025</v>
      </c>
      <c r="AJ357" t="str">
        <f t="shared" si="93"/>
        <v>Not Found</v>
      </c>
      <c r="AK357" t="str">
        <f t="shared" si="94"/>
        <v>Not Found</v>
      </c>
    </row>
    <row r="358" spans="1:37" x14ac:dyDescent="0.35">
      <c r="A358" t="s">
        <v>374</v>
      </c>
      <c r="B358" t="s">
        <v>463</v>
      </c>
      <c r="C358" t="s">
        <v>978</v>
      </c>
      <c r="D358" t="str">
        <f t="shared" si="95"/>
        <v>Darren Lloyd</v>
      </c>
      <c r="E358" t="str">
        <f t="shared" si="96"/>
        <v>Darren</v>
      </c>
      <c r="F358" t="str">
        <f t="shared" si="97"/>
        <v>Lloyd</v>
      </c>
      <c r="G358" t="s">
        <v>1026</v>
      </c>
      <c r="H358" t="str">
        <f t="shared" si="98"/>
        <v>BI Analyst</v>
      </c>
      <c r="I358" t="s">
        <v>1032</v>
      </c>
      <c r="J358" t="str">
        <f t="shared" si="99"/>
        <v>Operations</v>
      </c>
      <c r="K358" t="s">
        <v>1039</v>
      </c>
      <c r="L358" t="str">
        <f t="shared" si="100"/>
        <v>South East</v>
      </c>
      <c r="M358" t="s">
        <v>1043</v>
      </c>
      <c r="N358" t="s">
        <v>1047</v>
      </c>
      <c r="O358" t="str">
        <f t="shared" si="101"/>
        <v>Linkedln</v>
      </c>
      <c r="P358" t="s">
        <v>1163</v>
      </c>
      <c r="Q358" s="9">
        <f t="shared" si="85"/>
        <v>45741</v>
      </c>
      <c r="S358" s="9" t="str">
        <f t="shared" si="86"/>
        <v/>
      </c>
      <c r="U358" s="9" t="str">
        <f t="shared" si="87"/>
        <v/>
      </c>
      <c r="W358" s="9" t="str">
        <f t="shared" si="88"/>
        <v/>
      </c>
      <c r="X358" t="s">
        <v>1619</v>
      </c>
      <c r="Y358" s="15">
        <v>37366</v>
      </c>
      <c r="AA358" t="s">
        <v>1624</v>
      </c>
      <c r="AB358" t="s">
        <v>1627</v>
      </c>
      <c r="AC358" s="17">
        <v>3</v>
      </c>
      <c r="AF358" t="str">
        <f t="shared" si="89"/>
        <v>03-25-2025</v>
      </c>
      <c r="AG358" t="str">
        <f t="shared" si="90"/>
        <v/>
      </c>
      <c r="AH358" t="str">
        <f t="shared" si="91"/>
        <v/>
      </c>
      <c r="AI358" t="str">
        <f t="shared" si="92"/>
        <v/>
      </c>
      <c r="AJ358" t="str">
        <f t="shared" si="93"/>
        <v>Not Found</v>
      </c>
      <c r="AK358" t="str">
        <f t="shared" si="94"/>
        <v>Not Found</v>
      </c>
    </row>
    <row r="359" spans="1:37" x14ac:dyDescent="0.35">
      <c r="A359" t="s">
        <v>375</v>
      </c>
      <c r="B359" t="s">
        <v>531</v>
      </c>
      <c r="C359" t="s">
        <v>979</v>
      </c>
      <c r="D359" t="str">
        <f t="shared" si="95"/>
        <v>Mary Mason</v>
      </c>
      <c r="E359" t="str">
        <f t="shared" si="96"/>
        <v>Mary</v>
      </c>
      <c r="F359" t="str">
        <f t="shared" si="97"/>
        <v>Mason</v>
      </c>
      <c r="G359" t="s">
        <v>1025</v>
      </c>
      <c r="H359" t="str">
        <f t="shared" si="98"/>
        <v>Finance Analyst</v>
      </c>
      <c r="I359" t="s">
        <v>1030</v>
      </c>
      <c r="J359" t="str">
        <f t="shared" si="99"/>
        <v>Finance</v>
      </c>
      <c r="K359" t="s">
        <v>1035</v>
      </c>
      <c r="L359" t="str">
        <f t="shared" si="100"/>
        <v>Yorkshire</v>
      </c>
      <c r="M359" t="s">
        <v>1041</v>
      </c>
      <c r="N359" t="s">
        <v>1049</v>
      </c>
      <c r="O359" t="str">
        <f t="shared" si="101"/>
        <v>Indeed</v>
      </c>
      <c r="P359" t="s">
        <v>1361</v>
      </c>
      <c r="Q359" s="9">
        <f t="shared" si="85"/>
        <v>45687</v>
      </c>
      <c r="R359" t="s">
        <v>1301</v>
      </c>
      <c r="S359" s="9">
        <f t="shared" si="86"/>
        <v>45701</v>
      </c>
      <c r="U359" s="9" t="str">
        <f t="shared" si="87"/>
        <v/>
      </c>
      <c r="W359" s="9" t="str">
        <f t="shared" si="88"/>
        <v/>
      </c>
      <c r="X359" t="s">
        <v>1615</v>
      </c>
      <c r="Y359" s="15">
        <v>31420</v>
      </c>
      <c r="AA359" t="s">
        <v>1623</v>
      </c>
      <c r="AB359" t="s">
        <v>1628</v>
      </c>
      <c r="AC359" s="17">
        <v>3.5</v>
      </c>
      <c r="AF359" t="str">
        <f t="shared" si="89"/>
        <v>30/01/2025</v>
      </c>
      <c r="AG359" t="str">
        <f t="shared" si="90"/>
        <v>02-13-2025</v>
      </c>
      <c r="AH359" t="str">
        <f t="shared" si="91"/>
        <v/>
      </c>
      <c r="AI359" t="str">
        <f t="shared" si="92"/>
        <v/>
      </c>
      <c r="AJ359" t="str">
        <f t="shared" si="93"/>
        <v>Not Found</v>
      </c>
      <c r="AK359" t="str">
        <f t="shared" si="94"/>
        <v>Not Found</v>
      </c>
    </row>
    <row r="360" spans="1:37" x14ac:dyDescent="0.35">
      <c r="A360" t="s">
        <v>376</v>
      </c>
      <c r="B360" t="s">
        <v>618</v>
      </c>
      <c r="C360" t="s">
        <v>980</v>
      </c>
      <c r="D360" t="str">
        <f t="shared" si="95"/>
        <v>Jane Fox Quinn</v>
      </c>
      <c r="E360" t="str">
        <f t="shared" si="96"/>
        <v>Jane</v>
      </c>
      <c r="F360" t="str">
        <f t="shared" si="97"/>
        <v>Quinn</v>
      </c>
      <c r="G360" t="s">
        <v>1023</v>
      </c>
      <c r="H360" t="str">
        <f t="shared" si="98"/>
        <v>HR Analyst</v>
      </c>
      <c r="I360" t="s">
        <v>1031</v>
      </c>
      <c r="J360" t="str">
        <f t="shared" si="99"/>
        <v>Technology</v>
      </c>
      <c r="K360" t="s">
        <v>1035</v>
      </c>
      <c r="L360" t="str">
        <f t="shared" si="100"/>
        <v>Yorkshire</v>
      </c>
      <c r="M360" t="s">
        <v>1041</v>
      </c>
      <c r="N360" t="s">
        <v>1047</v>
      </c>
      <c r="O360" t="str">
        <f t="shared" si="101"/>
        <v>Linkedln</v>
      </c>
      <c r="P360" t="s">
        <v>1362</v>
      </c>
      <c r="Q360" s="9">
        <f t="shared" si="85"/>
        <v>45492</v>
      </c>
      <c r="R360" t="s">
        <v>1505</v>
      </c>
      <c r="S360" s="9">
        <f t="shared" si="86"/>
        <v>45511</v>
      </c>
      <c r="U360" s="9" t="str">
        <f t="shared" si="87"/>
        <v/>
      </c>
      <c r="W360" s="9" t="str">
        <f t="shared" si="88"/>
        <v/>
      </c>
      <c r="X360" t="s">
        <v>1615</v>
      </c>
      <c r="Y360" s="15">
        <v>38348</v>
      </c>
      <c r="AA360" t="s">
        <v>1622</v>
      </c>
      <c r="AB360" t="s">
        <v>1628</v>
      </c>
      <c r="AC360" s="17">
        <v>4.7</v>
      </c>
      <c r="AF360" t="str">
        <f t="shared" si="89"/>
        <v>2024/07/19</v>
      </c>
      <c r="AG360" t="str">
        <f t="shared" si="90"/>
        <v>08-07-2024</v>
      </c>
      <c r="AH360" t="str">
        <f t="shared" si="91"/>
        <v/>
      </c>
      <c r="AI360" t="str">
        <f t="shared" si="92"/>
        <v/>
      </c>
      <c r="AJ360" t="str">
        <f t="shared" si="93"/>
        <v>Not Found</v>
      </c>
      <c r="AK360" t="str">
        <f t="shared" si="94"/>
        <v>Not Found</v>
      </c>
    </row>
    <row r="361" spans="1:37" x14ac:dyDescent="0.35">
      <c r="A361" t="s">
        <v>377</v>
      </c>
      <c r="B361" t="s">
        <v>611</v>
      </c>
      <c r="C361" t="s">
        <v>981</v>
      </c>
      <c r="D361" t="str">
        <f t="shared" si="95"/>
        <v>Lynne Harris</v>
      </c>
      <c r="E361" t="str">
        <f t="shared" si="96"/>
        <v>Lynne</v>
      </c>
      <c r="F361" t="str">
        <f t="shared" si="97"/>
        <v>Harris</v>
      </c>
      <c r="G361" t="s">
        <v>1023</v>
      </c>
      <c r="H361" t="str">
        <f t="shared" si="98"/>
        <v>HR Analyst</v>
      </c>
      <c r="I361" t="s">
        <v>1031</v>
      </c>
      <c r="J361" t="str">
        <f t="shared" si="99"/>
        <v>Technology</v>
      </c>
      <c r="K361" t="s">
        <v>1033</v>
      </c>
      <c r="L361" t="str">
        <f t="shared" si="100"/>
        <v>Midlands</v>
      </c>
      <c r="M361" t="s">
        <v>1044</v>
      </c>
      <c r="N361" t="s">
        <v>1050</v>
      </c>
      <c r="O361" t="str">
        <f t="shared" si="101"/>
        <v>Reed</v>
      </c>
      <c r="P361" t="s">
        <v>1258</v>
      </c>
      <c r="Q361" s="9">
        <f t="shared" si="85"/>
        <v>45773</v>
      </c>
      <c r="S361" s="9" t="str">
        <f t="shared" si="86"/>
        <v/>
      </c>
      <c r="U361" s="9" t="str">
        <f t="shared" si="87"/>
        <v/>
      </c>
      <c r="W361" s="9" t="str">
        <f t="shared" si="88"/>
        <v/>
      </c>
      <c r="X361" t="s">
        <v>1619</v>
      </c>
      <c r="Y361" s="15">
        <v>38245</v>
      </c>
      <c r="AA361" t="s">
        <v>1625</v>
      </c>
      <c r="AB361" t="s">
        <v>1626</v>
      </c>
      <c r="AC361" s="17">
        <v>2.9</v>
      </c>
      <c r="AF361" t="str">
        <f t="shared" si="89"/>
        <v>2025/04/26</v>
      </c>
      <c r="AG361" t="str">
        <f t="shared" si="90"/>
        <v/>
      </c>
      <c r="AH361" t="str">
        <f t="shared" si="91"/>
        <v/>
      </c>
      <c r="AI361" t="str">
        <f t="shared" si="92"/>
        <v/>
      </c>
      <c r="AJ361" t="str">
        <f t="shared" si="93"/>
        <v>Not Found</v>
      </c>
      <c r="AK361" t="str">
        <f t="shared" si="94"/>
        <v>Not Found</v>
      </c>
    </row>
    <row r="362" spans="1:37" x14ac:dyDescent="0.35">
      <c r="A362" t="s">
        <v>378</v>
      </c>
      <c r="B362" t="s">
        <v>487</v>
      </c>
      <c r="C362" t="s">
        <v>982</v>
      </c>
      <c r="D362" t="str">
        <f t="shared" si="95"/>
        <v>Bernard Weston</v>
      </c>
      <c r="E362" t="str">
        <f t="shared" si="96"/>
        <v>Bernard</v>
      </c>
      <c r="F362" t="str">
        <f t="shared" si="97"/>
        <v>Weston</v>
      </c>
      <c r="G362" t="s">
        <v>1024</v>
      </c>
      <c r="H362" t="str">
        <f t="shared" si="98"/>
        <v>Business Analyst</v>
      </c>
      <c r="I362" t="s">
        <v>1030</v>
      </c>
      <c r="J362" t="str">
        <f t="shared" si="99"/>
        <v>Finance</v>
      </c>
      <c r="K362" t="s">
        <v>1034</v>
      </c>
      <c r="L362" t="str">
        <f t="shared" si="100"/>
        <v>Scotland</v>
      </c>
      <c r="M362" t="s">
        <v>1044</v>
      </c>
      <c r="N362" t="s">
        <v>1052</v>
      </c>
      <c r="O362" t="str">
        <f t="shared" si="101"/>
        <v>Linkedln</v>
      </c>
      <c r="P362" t="s">
        <v>1363</v>
      </c>
      <c r="Q362" s="9">
        <f t="shared" si="85"/>
        <v>45593</v>
      </c>
      <c r="R362" t="s">
        <v>1506</v>
      </c>
      <c r="S362" s="9">
        <f t="shared" si="86"/>
        <v>45622</v>
      </c>
      <c r="T362" t="s">
        <v>1576</v>
      </c>
      <c r="U362" s="9">
        <f t="shared" si="87"/>
        <v>45635</v>
      </c>
      <c r="W362" s="9" t="str">
        <f t="shared" si="88"/>
        <v/>
      </c>
      <c r="X362" t="s">
        <v>1618</v>
      </c>
      <c r="Y362" s="15">
        <v>33643</v>
      </c>
      <c r="Z362" s="15">
        <v>37376</v>
      </c>
      <c r="AA362" t="s">
        <v>1622</v>
      </c>
      <c r="AB362" t="s">
        <v>1628</v>
      </c>
      <c r="AC362" s="17">
        <v>2.2999999999999998</v>
      </c>
      <c r="AF362" t="str">
        <f t="shared" si="89"/>
        <v>2024/10/28</v>
      </c>
      <c r="AG362" t="str">
        <f t="shared" si="90"/>
        <v>26/11/2024</v>
      </c>
      <c r="AH362" t="str">
        <f t="shared" si="91"/>
        <v>09/12/2024</v>
      </c>
      <c r="AI362" t="str">
        <f t="shared" si="92"/>
        <v/>
      </c>
      <c r="AJ362" t="str">
        <f t="shared" si="93"/>
        <v>Not Found</v>
      </c>
      <c r="AK362" t="str">
        <f t="shared" si="94"/>
        <v>Not Found</v>
      </c>
    </row>
    <row r="363" spans="1:37" x14ac:dyDescent="0.35">
      <c r="A363" t="s">
        <v>379</v>
      </c>
      <c r="B363" t="s">
        <v>437</v>
      </c>
      <c r="C363" t="s">
        <v>983</v>
      </c>
      <c r="D363" t="str">
        <f t="shared" si="95"/>
        <v>Janice Robinson</v>
      </c>
      <c r="E363" t="str">
        <f t="shared" si="96"/>
        <v>Janice</v>
      </c>
      <c r="F363" t="str">
        <f t="shared" si="97"/>
        <v>Robinson</v>
      </c>
      <c r="G363" t="s">
        <v>1023</v>
      </c>
      <c r="H363" t="str">
        <f t="shared" si="98"/>
        <v>HR Analyst</v>
      </c>
      <c r="I363" t="s">
        <v>1028</v>
      </c>
      <c r="J363" t="str">
        <f t="shared" si="99"/>
        <v>HR</v>
      </c>
      <c r="K363" t="s">
        <v>1040</v>
      </c>
      <c r="L363" t="str">
        <f t="shared" si="100"/>
        <v>North West</v>
      </c>
      <c r="M363" t="s">
        <v>1042</v>
      </c>
      <c r="N363" t="s">
        <v>1052</v>
      </c>
      <c r="O363" t="str">
        <f t="shared" si="101"/>
        <v>Linkedln</v>
      </c>
      <c r="P363" t="s">
        <v>1364</v>
      </c>
      <c r="Q363" s="9">
        <f t="shared" si="85"/>
        <v>45754</v>
      </c>
      <c r="S363" s="9" t="str">
        <f t="shared" si="86"/>
        <v/>
      </c>
      <c r="U363" s="9" t="str">
        <f t="shared" si="87"/>
        <v/>
      </c>
      <c r="W363" s="9" t="str">
        <f t="shared" si="88"/>
        <v/>
      </c>
      <c r="X363" t="s">
        <v>1619</v>
      </c>
      <c r="Y363" s="15">
        <v>50808</v>
      </c>
      <c r="AA363" t="s">
        <v>1622</v>
      </c>
      <c r="AB363" t="s">
        <v>1627</v>
      </c>
      <c r="AC363" s="17">
        <v>4.2</v>
      </c>
      <c r="AF363" t="str">
        <f t="shared" si="89"/>
        <v>07/04/2025</v>
      </c>
      <c r="AG363" t="str">
        <f t="shared" si="90"/>
        <v/>
      </c>
      <c r="AH363" t="str">
        <f t="shared" si="91"/>
        <v/>
      </c>
      <c r="AI363" t="str">
        <f t="shared" si="92"/>
        <v/>
      </c>
      <c r="AJ363" t="str">
        <f t="shared" si="93"/>
        <v>Not Found</v>
      </c>
      <c r="AK363" t="str">
        <f t="shared" si="94"/>
        <v>Not Found</v>
      </c>
    </row>
    <row r="364" spans="1:37" x14ac:dyDescent="0.35">
      <c r="A364" t="s">
        <v>380</v>
      </c>
      <c r="B364" t="s">
        <v>504</v>
      </c>
      <c r="C364" t="s">
        <v>984</v>
      </c>
      <c r="D364" t="str">
        <f t="shared" si="95"/>
        <v>Amanda Moore Knight</v>
      </c>
      <c r="E364" t="str">
        <f t="shared" si="96"/>
        <v>Amanda</v>
      </c>
      <c r="F364" t="str">
        <f t="shared" si="97"/>
        <v>Knight</v>
      </c>
      <c r="G364" t="s">
        <v>1025</v>
      </c>
      <c r="H364" t="str">
        <f t="shared" si="98"/>
        <v>Finance Analyst</v>
      </c>
      <c r="I364" t="s">
        <v>1031</v>
      </c>
      <c r="J364" t="str">
        <f t="shared" si="99"/>
        <v>Technology</v>
      </c>
      <c r="K364" t="s">
        <v>1036</v>
      </c>
      <c r="L364" t="str">
        <f t="shared" si="100"/>
        <v>London</v>
      </c>
      <c r="M364" t="s">
        <v>1044</v>
      </c>
      <c r="N364" t="s">
        <v>1048</v>
      </c>
      <c r="O364" t="str">
        <f t="shared" si="101"/>
        <v>Referral</v>
      </c>
      <c r="P364" t="s">
        <v>1365</v>
      </c>
      <c r="Q364" s="9">
        <f t="shared" si="85"/>
        <v>45311</v>
      </c>
      <c r="S364" s="9" t="str">
        <f t="shared" si="86"/>
        <v/>
      </c>
      <c r="U364" s="9" t="str">
        <f t="shared" si="87"/>
        <v/>
      </c>
      <c r="W364" s="9" t="str">
        <f t="shared" si="88"/>
        <v/>
      </c>
      <c r="X364" t="s">
        <v>1617</v>
      </c>
      <c r="Y364" s="15">
        <v>44698</v>
      </c>
      <c r="AA364" t="s">
        <v>1621</v>
      </c>
      <c r="AB364" t="s">
        <v>1626</v>
      </c>
      <c r="AF364" t="str">
        <f t="shared" si="89"/>
        <v>2024/01/20</v>
      </c>
      <c r="AG364" t="str">
        <f t="shared" si="90"/>
        <v/>
      </c>
      <c r="AH364" t="str">
        <f t="shared" si="91"/>
        <v/>
      </c>
      <c r="AI364" t="str">
        <f t="shared" si="92"/>
        <v/>
      </c>
      <c r="AJ364" t="str">
        <f t="shared" si="93"/>
        <v>Not Found</v>
      </c>
      <c r="AK364" t="str">
        <f t="shared" si="94"/>
        <v>Not Found</v>
      </c>
    </row>
    <row r="365" spans="1:37" x14ac:dyDescent="0.35">
      <c r="A365" t="s">
        <v>381</v>
      </c>
      <c r="B365" t="s">
        <v>525</v>
      </c>
      <c r="C365" t="s">
        <v>985</v>
      </c>
      <c r="D365" t="str">
        <f t="shared" si="95"/>
        <v>Ben Graham</v>
      </c>
      <c r="E365" t="str">
        <f t="shared" si="96"/>
        <v>Ben</v>
      </c>
      <c r="F365" t="str">
        <f t="shared" si="97"/>
        <v>Graham</v>
      </c>
      <c r="G365" t="s">
        <v>1025</v>
      </c>
      <c r="H365" t="str">
        <f t="shared" si="98"/>
        <v>Finance Analyst</v>
      </c>
      <c r="I365" t="s">
        <v>1032</v>
      </c>
      <c r="J365" t="str">
        <f t="shared" si="99"/>
        <v>Operations</v>
      </c>
      <c r="K365" t="s">
        <v>1033</v>
      </c>
      <c r="L365" t="str">
        <f t="shared" si="100"/>
        <v>Midlands</v>
      </c>
      <c r="M365" t="s">
        <v>1044</v>
      </c>
      <c r="N365" t="s">
        <v>1048</v>
      </c>
      <c r="O365" t="str">
        <f t="shared" si="101"/>
        <v>Referral</v>
      </c>
      <c r="P365" t="s">
        <v>1366</v>
      </c>
      <c r="Q365" s="9">
        <f t="shared" si="85"/>
        <v>45730</v>
      </c>
      <c r="R365" t="s">
        <v>1507</v>
      </c>
      <c r="S365" s="9">
        <f t="shared" si="86"/>
        <v>45739</v>
      </c>
      <c r="U365" s="9" t="str">
        <f t="shared" si="87"/>
        <v/>
      </c>
      <c r="W365" s="9" t="str">
        <f t="shared" si="88"/>
        <v/>
      </c>
      <c r="X365" t="s">
        <v>1615</v>
      </c>
      <c r="Y365" s="15">
        <v>40908</v>
      </c>
      <c r="AA365" t="s">
        <v>1623</v>
      </c>
      <c r="AB365" t="s">
        <v>1626</v>
      </c>
      <c r="AC365" s="17">
        <v>4.3</v>
      </c>
      <c r="AF365" t="str">
        <f t="shared" si="89"/>
        <v>14/03/2025</v>
      </c>
      <c r="AG365" t="str">
        <f t="shared" si="90"/>
        <v>23/03/2025</v>
      </c>
      <c r="AH365" t="str">
        <f t="shared" si="91"/>
        <v/>
      </c>
      <c r="AI365" t="str">
        <f t="shared" si="92"/>
        <v/>
      </c>
      <c r="AJ365" t="str">
        <f t="shared" si="93"/>
        <v>Not Found</v>
      </c>
      <c r="AK365" t="str">
        <f t="shared" si="94"/>
        <v>Not Found</v>
      </c>
    </row>
    <row r="366" spans="1:37" x14ac:dyDescent="0.35">
      <c r="A366" t="s">
        <v>382</v>
      </c>
      <c r="B366" t="s">
        <v>471</v>
      </c>
      <c r="C366" t="s">
        <v>986</v>
      </c>
      <c r="D366" t="str">
        <f t="shared" si="95"/>
        <v>Joanna Harrison</v>
      </c>
      <c r="E366" t="str">
        <f t="shared" si="96"/>
        <v>Joanna</v>
      </c>
      <c r="F366" t="str">
        <f t="shared" si="97"/>
        <v>Harrison</v>
      </c>
      <c r="G366" t="s">
        <v>1026</v>
      </c>
      <c r="H366" t="str">
        <f t="shared" si="98"/>
        <v>BI Analyst</v>
      </c>
      <c r="I366" t="s">
        <v>1032</v>
      </c>
      <c r="J366" t="str">
        <f t="shared" si="99"/>
        <v>Operations</v>
      </c>
      <c r="K366" t="s">
        <v>1039</v>
      </c>
      <c r="L366" t="str">
        <f t="shared" si="100"/>
        <v>South East</v>
      </c>
      <c r="M366" t="s">
        <v>1045</v>
      </c>
      <c r="N366" t="s">
        <v>1052</v>
      </c>
      <c r="O366" t="str">
        <f t="shared" si="101"/>
        <v>Linkedln</v>
      </c>
      <c r="P366" t="s">
        <v>1367</v>
      </c>
      <c r="Q366" s="9">
        <f t="shared" si="85"/>
        <v>45365</v>
      </c>
      <c r="S366" s="9" t="str">
        <f t="shared" si="86"/>
        <v/>
      </c>
      <c r="U366" s="9" t="str">
        <f t="shared" si="87"/>
        <v/>
      </c>
      <c r="W366" s="9" t="str">
        <f t="shared" si="88"/>
        <v/>
      </c>
      <c r="X366" t="s">
        <v>1619</v>
      </c>
      <c r="Y366" s="15">
        <v>33027</v>
      </c>
      <c r="AA366" t="s">
        <v>1622</v>
      </c>
      <c r="AB366" t="s">
        <v>1627</v>
      </c>
      <c r="AC366" s="17">
        <v>2.9</v>
      </c>
      <c r="AF366" t="str">
        <f t="shared" si="89"/>
        <v>2024/03/14</v>
      </c>
      <c r="AG366" t="str">
        <f t="shared" si="90"/>
        <v/>
      </c>
      <c r="AH366" t="str">
        <f t="shared" si="91"/>
        <v/>
      </c>
      <c r="AI366" t="str">
        <f t="shared" si="92"/>
        <v/>
      </c>
      <c r="AJ366" t="str">
        <f t="shared" si="93"/>
        <v>Not Found</v>
      </c>
      <c r="AK366" t="str">
        <f t="shared" si="94"/>
        <v>Not Found</v>
      </c>
    </row>
    <row r="367" spans="1:37" x14ac:dyDescent="0.35">
      <c r="A367" t="s">
        <v>383</v>
      </c>
      <c r="B367" t="s">
        <v>495</v>
      </c>
      <c r="C367" t="s">
        <v>987</v>
      </c>
      <c r="D367" t="str">
        <f t="shared" si="95"/>
        <v>Francesca Hodgson</v>
      </c>
      <c r="E367" t="str">
        <f t="shared" si="96"/>
        <v>Francesca</v>
      </c>
      <c r="F367" t="str">
        <f t="shared" si="97"/>
        <v>Hodgson</v>
      </c>
      <c r="G367" t="s">
        <v>1023</v>
      </c>
      <c r="H367" t="str">
        <f t="shared" si="98"/>
        <v>HR Analyst</v>
      </c>
      <c r="I367" t="s">
        <v>1028</v>
      </c>
      <c r="J367" t="str">
        <f t="shared" si="99"/>
        <v>HR</v>
      </c>
      <c r="K367" t="s">
        <v>1040</v>
      </c>
      <c r="L367" t="str">
        <f t="shared" si="100"/>
        <v>North West</v>
      </c>
      <c r="M367" t="s">
        <v>1045</v>
      </c>
      <c r="N367" t="s">
        <v>1048</v>
      </c>
      <c r="O367" t="str">
        <f t="shared" si="101"/>
        <v>Referral</v>
      </c>
      <c r="P367" t="s">
        <v>1368</v>
      </c>
      <c r="Q367" s="9">
        <f t="shared" si="85"/>
        <v>45315</v>
      </c>
      <c r="R367" t="s">
        <v>1477</v>
      </c>
      <c r="S367" s="9">
        <f t="shared" si="86"/>
        <v>45339</v>
      </c>
      <c r="U367" s="9" t="str">
        <f t="shared" si="87"/>
        <v/>
      </c>
      <c r="W367" s="9" t="str">
        <f t="shared" si="88"/>
        <v/>
      </c>
      <c r="X367" t="s">
        <v>1615</v>
      </c>
      <c r="Y367" s="15">
        <v>37706</v>
      </c>
      <c r="AA367" t="s">
        <v>1625</v>
      </c>
      <c r="AB367" t="s">
        <v>1628</v>
      </c>
      <c r="AC367" s="17">
        <v>3.4</v>
      </c>
      <c r="AF367" t="str">
        <f t="shared" si="89"/>
        <v>01-24-2024</v>
      </c>
      <c r="AG367" t="str">
        <f t="shared" si="90"/>
        <v>02-17-2024</v>
      </c>
      <c r="AH367" t="str">
        <f t="shared" si="91"/>
        <v/>
      </c>
      <c r="AI367" t="str">
        <f t="shared" si="92"/>
        <v/>
      </c>
      <c r="AJ367" t="str">
        <f t="shared" si="93"/>
        <v>Not Found</v>
      </c>
      <c r="AK367" t="str">
        <f t="shared" si="94"/>
        <v>Not Found</v>
      </c>
    </row>
    <row r="368" spans="1:37" x14ac:dyDescent="0.35">
      <c r="A368" t="s">
        <v>384</v>
      </c>
      <c r="B368" t="s">
        <v>470</v>
      </c>
      <c r="C368" t="s">
        <v>988</v>
      </c>
      <c r="D368" t="str">
        <f t="shared" si="95"/>
        <v>Deborah Rice</v>
      </c>
      <c r="E368" t="str">
        <f t="shared" si="96"/>
        <v>Deborah</v>
      </c>
      <c r="F368" t="str">
        <f t="shared" si="97"/>
        <v>Rice</v>
      </c>
      <c r="G368" t="s">
        <v>1023</v>
      </c>
      <c r="H368" t="str">
        <f t="shared" si="98"/>
        <v>HR Analyst</v>
      </c>
      <c r="I368" t="s">
        <v>1031</v>
      </c>
      <c r="J368" t="str">
        <f t="shared" si="99"/>
        <v>Technology</v>
      </c>
      <c r="K368" t="s">
        <v>1039</v>
      </c>
      <c r="L368" t="str">
        <f t="shared" si="100"/>
        <v>South East</v>
      </c>
      <c r="M368" t="s">
        <v>1042</v>
      </c>
      <c r="N368" t="s">
        <v>1047</v>
      </c>
      <c r="O368" t="str">
        <f t="shared" si="101"/>
        <v>Linkedln</v>
      </c>
      <c r="P368" t="s">
        <v>1369</v>
      </c>
      <c r="Q368" s="9">
        <f t="shared" si="85"/>
        <v>45782</v>
      </c>
      <c r="S368" s="9" t="str">
        <f t="shared" si="86"/>
        <v/>
      </c>
      <c r="U368" s="9" t="str">
        <f t="shared" si="87"/>
        <v/>
      </c>
      <c r="W368" s="9" t="str">
        <f t="shared" si="88"/>
        <v/>
      </c>
      <c r="X368" t="s">
        <v>1619</v>
      </c>
      <c r="Y368" s="15">
        <v>38124</v>
      </c>
      <c r="AA368" t="s">
        <v>1624</v>
      </c>
      <c r="AB368" t="s">
        <v>1626</v>
      </c>
      <c r="AC368" s="17">
        <v>3.9</v>
      </c>
      <c r="AF368" t="str">
        <f t="shared" si="89"/>
        <v>05-05-2025</v>
      </c>
      <c r="AG368" t="str">
        <f t="shared" si="90"/>
        <v/>
      </c>
      <c r="AH368" t="str">
        <f t="shared" si="91"/>
        <v/>
      </c>
      <c r="AI368" t="str">
        <f t="shared" si="92"/>
        <v/>
      </c>
      <c r="AJ368" t="str">
        <f t="shared" si="93"/>
        <v>Not Found</v>
      </c>
      <c r="AK368" t="str">
        <f t="shared" si="94"/>
        <v>Not Found</v>
      </c>
    </row>
    <row r="369" spans="1:37" x14ac:dyDescent="0.35">
      <c r="A369" t="s">
        <v>385</v>
      </c>
      <c r="B369" t="s">
        <v>572</v>
      </c>
      <c r="C369" t="s">
        <v>989</v>
      </c>
      <c r="D369" t="str">
        <f t="shared" si="95"/>
        <v>Albert Hanson Robinson</v>
      </c>
      <c r="E369" t="str">
        <f t="shared" si="96"/>
        <v>Albert</v>
      </c>
      <c r="F369" t="str">
        <f t="shared" si="97"/>
        <v>Robinson</v>
      </c>
      <c r="G369" t="s">
        <v>1025</v>
      </c>
      <c r="H369" t="str">
        <f t="shared" si="98"/>
        <v>Finance Analyst</v>
      </c>
      <c r="I369" t="s">
        <v>1030</v>
      </c>
      <c r="J369" t="str">
        <f t="shared" si="99"/>
        <v>Finance</v>
      </c>
      <c r="K369" t="s">
        <v>1033</v>
      </c>
      <c r="L369" t="str">
        <f t="shared" si="100"/>
        <v>Midlands</v>
      </c>
      <c r="M369" t="s">
        <v>1045</v>
      </c>
      <c r="N369" t="s">
        <v>1051</v>
      </c>
      <c r="O369" t="str">
        <f t="shared" si="101"/>
        <v>CV Library</v>
      </c>
      <c r="P369" t="s">
        <v>1370</v>
      </c>
      <c r="Q369" s="9">
        <f t="shared" si="85"/>
        <v>45684</v>
      </c>
      <c r="R369" t="s">
        <v>1508</v>
      </c>
      <c r="S369" s="9">
        <f t="shared" si="86"/>
        <v>45699</v>
      </c>
      <c r="T369" t="s">
        <v>1494</v>
      </c>
      <c r="U369" s="9">
        <f t="shared" si="87"/>
        <v>45720</v>
      </c>
      <c r="W369" s="9" t="str">
        <f t="shared" si="88"/>
        <v/>
      </c>
      <c r="X369" t="s">
        <v>1618</v>
      </c>
      <c r="Y369" s="15">
        <v>49760</v>
      </c>
      <c r="Z369" s="15">
        <v>48432</v>
      </c>
      <c r="AA369" t="s">
        <v>1622</v>
      </c>
      <c r="AB369" t="s">
        <v>1628</v>
      </c>
      <c r="AC369" s="17">
        <v>4.0999999999999996</v>
      </c>
      <c r="AF369" t="str">
        <f t="shared" si="89"/>
        <v>2025/01/27</v>
      </c>
      <c r="AG369" t="str">
        <f t="shared" si="90"/>
        <v>11/02/2025</v>
      </c>
      <c r="AH369" t="str">
        <f t="shared" si="91"/>
        <v>03-04-2025</v>
      </c>
      <c r="AI369" t="str">
        <f t="shared" si="92"/>
        <v/>
      </c>
      <c r="AJ369" t="str">
        <f t="shared" si="93"/>
        <v>Not Found</v>
      </c>
      <c r="AK369" t="str">
        <f t="shared" si="94"/>
        <v>Not Found</v>
      </c>
    </row>
    <row r="370" spans="1:37" x14ac:dyDescent="0.35">
      <c r="A370" t="s">
        <v>386</v>
      </c>
      <c r="B370" t="s">
        <v>619</v>
      </c>
      <c r="C370" t="s">
        <v>990</v>
      </c>
      <c r="D370" t="str">
        <f t="shared" si="95"/>
        <v>Nicola Wilson</v>
      </c>
      <c r="E370" t="str">
        <f t="shared" si="96"/>
        <v>Nicola</v>
      </c>
      <c r="F370" t="str">
        <f t="shared" si="97"/>
        <v>Wilson</v>
      </c>
      <c r="G370" t="s">
        <v>1027</v>
      </c>
      <c r="H370" t="str">
        <f t="shared" si="98"/>
        <v>Data Analyst</v>
      </c>
      <c r="I370" t="s">
        <v>1030</v>
      </c>
      <c r="J370" t="str">
        <f t="shared" si="99"/>
        <v>Finance</v>
      </c>
      <c r="K370" t="s">
        <v>1037</v>
      </c>
      <c r="L370" t="str">
        <f t="shared" si="100"/>
        <v>East Midlands</v>
      </c>
      <c r="M370" t="s">
        <v>1043</v>
      </c>
      <c r="N370" t="s">
        <v>1048</v>
      </c>
      <c r="O370" t="str">
        <f t="shared" si="101"/>
        <v>Referral</v>
      </c>
      <c r="P370" t="s">
        <v>1173</v>
      </c>
      <c r="Q370" s="9">
        <f t="shared" si="85"/>
        <v>45668</v>
      </c>
      <c r="S370" s="9" t="str">
        <f t="shared" si="86"/>
        <v/>
      </c>
      <c r="U370" s="9" t="str">
        <f t="shared" si="87"/>
        <v/>
      </c>
      <c r="W370" s="9" t="str">
        <f t="shared" si="88"/>
        <v/>
      </c>
      <c r="X370" t="s">
        <v>1617</v>
      </c>
      <c r="Y370" s="15">
        <v>49678</v>
      </c>
      <c r="AA370" t="s">
        <v>1622</v>
      </c>
      <c r="AB370" t="s">
        <v>1626</v>
      </c>
      <c r="AC370" s="17">
        <v>2.2999999999999998</v>
      </c>
      <c r="AF370" t="str">
        <f t="shared" si="89"/>
        <v>01-11-2025</v>
      </c>
      <c r="AG370" t="str">
        <f t="shared" si="90"/>
        <v/>
      </c>
      <c r="AH370" t="str">
        <f t="shared" si="91"/>
        <v/>
      </c>
      <c r="AI370" t="str">
        <f t="shared" si="92"/>
        <v/>
      </c>
      <c r="AJ370" t="str">
        <f t="shared" si="93"/>
        <v>Not Found</v>
      </c>
      <c r="AK370" t="str">
        <f t="shared" si="94"/>
        <v>Not Found</v>
      </c>
    </row>
    <row r="371" spans="1:37" x14ac:dyDescent="0.35">
      <c r="A371" t="s">
        <v>387</v>
      </c>
      <c r="B371" t="s">
        <v>457</v>
      </c>
      <c r="C371" t="s">
        <v>991</v>
      </c>
      <c r="D371" t="str">
        <f t="shared" si="95"/>
        <v>Jeffrey Wyatt</v>
      </c>
      <c r="E371" t="str">
        <f t="shared" si="96"/>
        <v>Jeffrey</v>
      </c>
      <c r="F371" t="str">
        <f t="shared" si="97"/>
        <v>Wyatt</v>
      </c>
      <c r="G371" t="s">
        <v>1025</v>
      </c>
      <c r="H371" t="str">
        <f t="shared" si="98"/>
        <v>Finance Analyst</v>
      </c>
      <c r="I371" t="s">
        <v>1029</v>
      </c>
      <c r="J371" t="str">
        <f t="shared" si="99"/>
        <v>Commercial</v>
      </c>
      <c r="K371" t="s">
        <v>1034</v>
      </c>
      <c r="L371" t="str">
        <f t="shared" si="100"/>
        <v>Scotland</v>
      </c>
      <c r="M371" t="s">
        <v>1042</v>
      </c>
      <c r="N371" t="s">
        <v>1051</v>
      </c>
      <c r="O371" t="str">
        <f t="shared" si="101"/>
        <v>CV Library</v>
      </c>
      <c r="P371" t="s">
        <v>1371</v>
      </c>
      <c r="Q371" s="9">
        <f t="shared" si="85"/>
        <v>45750</v>
      </c>
      <c r="S371" s="9" t="str">
        <f t="shared" si="86"/>
        <v/>
      </c>
      <c r="U371" s="9" t="str">
        <f t="shared" si="87"/>
        <v/>
      </c>
      <c r="W371" s="9" t="str">
        <f t="shared" si="88"/>
        <v/>
      </c>
      <c r="X371" t="s">
        <v>1616</v>
      </c>
      <c r="Y371" s="15">
        <v>39335</v>
      </c>
      <c r="AA371" t="s">
        <v>1621</v>
      </c>
      <c r="AB371" t="s">
        <v>1628</v>
      </c>
      <c r="AC371" s="17">
        <v>3</v>
      </c>
      <c r="AF371" t="str">
        <f t="shared" si="89"/>
        <v>03/04/2025</v>
      </c>
      <c r="AG371" t="str">
        <f t="shared" si="90"/>
        <v/>
      </c>
      <c r="AH371" t="str">
        <f t="shared" si="91"/>
        <v/>
      </c>
      <c r="AI371" t="str">
        <f t="shared" si="92"/>
        <v/>
      </c>
      <c r="AJ371" t="str">
        <f t="shared" si="93"/>
        <v>Not Found</v>
      </c>
      <c r="AK371" t="str">
        <f t="shared" si="94"/>
        <v>Not Found</v>
      </c>
    </row>
    <row r="372" spans="1:37" x14ac:dyDescent="0.35">
      <c r="A372" t="s">
        <v>388</v>
      </c>
      <c r="B372" t="s">
        <v>453</v>
      </c>
      <c r="C372" t="s">
        <v>992</v>
      </c>
      <c r="D372" t="str">
        <f t="shared" si="95"/>
        <v>Joshua Moore</v>
      </c>
      <c r="E372" t="str">
        <f t="shared" si="96"/>
        <v>Joshua</v>
      </c>
      <c r="F372" t="str">
        <f t="shared" si="97"/>
        <v>Moore</v>
      </c>
      <c r="G372" t="s">
        <v>1022</v>
      </c>
      <c r="H372" t="str">
        <f t="shared" si="98"/>
        <v>Reporting Analyst</v>
      </c>
      <c r="I372" t="s">
        <v>1028</v>
      </c>
      <c r="J372" t="str">
        <f t="shared" si="99"/>
        <v>HR</v>
      </c>
      <c r="K372" t="s">
        <v>1034</v>
      </c>
      <c r="L372" t="str">
        <f t="shared" si="100"/>
        <v>Scotland</v>
      </c>
      <c r="M372" t="s">
        <v>1043</v>
      </c>
      <c r="N372" t="s">
        <v>1050</v>
      </c>
      <c r="O372" t="str">
        <f t="shared" si="101"/>
        <v>Reed</v>
      </c>
      <c r="P372" t="s">
        <v>1315</v>
      </c>
      <c r="Q372" s="9">
        <f t="shared" si="85"/>
        <v>45308</v>
      </c>
      <c r="S372" s="9" t="str">
        <f t="shared" si="86"/>
        <v/>
      </c>
      <c r="U372" s="9" t="str">
        <f t="shared" si="87"/>
        <v/>
      </c>
      <c r="W372" s="9" t="str">
        <f t="shared" si="88"/>
        <v/>
      </c>
      <c r="X372" t="s">
        <v>1616</v>
      </c>
      <c r="Y372" s="15">
        <v>39558</v>
      </c>
      <c r="AA372" t="s">
        <v>1622</v>
      </c>
      <c r="AB372" t="s">
        <v>1628</v>
      </c>
      <c r="AC372" s="17">
        <v>3.2</v>
      </c>
      <c r="AF372" t="str">
        <f t="shared" si="89"/>
        <v>2024/01/17</v>
      </c>
      <c r="AG372" t="str">
        <f t="shared" si="90"/>
        <v/>
      </c>
      <c r="AH372" t="str">
        <f t="shared" si="91"/>
        <v/>
      </c>
      <c r="AI372" t="str">
        <f t="shared" si="92"/>
        <v/>
      </c>
      <c r="AJ372" t="str">
        <f t="shared" si="93"/>
        <v>Not Found</v>
      </c>
      <c r="AK372" t="str">
        <f t="shared" si="94"/>
        <v>Not Found</v>
      </c>
    </row>
    <row r="373" spans="1:37" x14ac:dyDescent="0.35">
      <c r="A373" t="s">
        <v>389</v>
      </c>
      <c r="B373" t="s">
        <v>528</v>
      </c>
      <c r="C373" t="s">
        <v>993</v>
      </c>
      <c r="D373" t="str">
        <f t="shared" si="95"/>
        <v>Sarah Palmer</v>
      </c>
      <c r="E373" t="str">
        <f t="shared" si="96"/>
        <v>Sarah</v>
      </c>
      <c r="F373" t="str">
        <f t="shared" si="97"/>
        <v>Palmer</v>
      </c>
      <c r="G373" t="s">
        <v>1023</v>
      </c>
      <c r="H373" t="str">
        <f t="shared" si="98"/>
        <v>HR Analyst</v>
      </c>
      <c r="I373" t="s">
        <v>1031</v>
      </c>
      <c r="J373" t="str">
        <f t="shared" si="99"/>
        <v>Technology</v>
      </c>
      <c r="K373" t="s">
        <v>1037</v>
      </c>
      <c r="L373" t="str">
        <f t="shared" si="100"/>
        <v>East Midlands</v>
      </c>
      <c r="M373" t="s">
        <v>1045</v>
      </c>
      <c r="N373" t="s">
        <v>1049</v>
      </c>
      <c r="O373" t="str">
        <f t="shared" si="101"/>
        <v>Indeed</v>
      </c>
      <c r="P373" t="s">
        <v>1372</v>
      </c>
      <c r="Q373" s="9">
        <f t="shared" si="85"/>
        <v>45552</v>
      </c>
      <c r="R373" t="s">
        <v>1509</v>
      </c>
      <c r="S373" s="9">
        <f t="shared" si="86"/>
        <v>45569</v>
      </c>
      <c r="U373" s="9" t="str">
        <f t="shared" si="87"/>
        <v/>
      </c>
      <c r="W373" s="9" t="str">
        <f t="shared" si="88"/>
        <v/>
      </c>
      <c r="X373" t="s">
        <v>1615</v>
      </c>
      <c r="Y373" s="15">
        <v>51076</v>
      </c>
      <c r="AA373" t="s">
        <v>1622</v>
      </c>
      <c r="AB373" t="s">
        <v>1627</v>
      </c>
      <c r="AC373" s="17">
        <v>3.2</v>
      </c>
      <c r="AF373" t="str">
        <f t="shared" si="89"/>
        <v>2024/09/17</v>
      </c>
      <c r="AG373" t="str">
        <f t="shared" si="90"/>
        <v>04/10/2024</v>
      </c>
      <c r="AH373" t="str">
        <f t="shared" si="91"/>
        <v/>
      </c>
      <c r="AI373" t="str">
        <f t="shared" si="92"/>
        <v/>
      </c>
      <c r="AJ373" t="str">
        <f t="shared" si="93"/>
        <v>Not Found</v>
      </c>
      <c r="AK373" t="str">
        <f t="shared" si="94"/>
        <v>Not Found</v>
      </c>
    </row>
    <row r="374" spans="1:37" x14ac:dyDescent="0.35">
      <c r="A374" t="s">
        <v>390</v>
      </c>
      <c r="B374" t="s">
        <v>465</v>
      </c>
      <c r="C374" t="s">
        <v>994</v>
      </c>
      <c r="D374" t="str">
        <f t="shared" si="95"/>
        <v>Amy Conway</v>
      </c>
      <c r="E374" t="str">
        <f t="shared" si="96"/>
        <v>Amy</v>
      </c>
      <c r="F374" t="str">
        <f t="shared" si="97"/>
        <v>Conway</v>
      </c>
      <c r="G374" t="s">
        <v>1024</v>
      </c>
      <c r="H374" t="str">
        <f t="shared" si="98"/>
        <v>Business Analyst</v>
      </c>
      <c r="I374" t="s">
        <v>1031</v>
      </c>
      <c r="J374" t="str">
        <f t="shared" si="99"/>
        <v>Technology</v>
      </c>
      <c r="K374" t="s">
        <v>1040</v>
      </c>
      <c r="L374" t="str">
        <f t="shared" si="100"/>
        <v>North West</v>
      </c>
      <c r="M374" t="s">
        <v>1045</v>
      </c>
      <c r="N374" t="s">
        <v>1050</v>
      </c>
      <c r="O374" t="str">
        <f t="shared" si="101"/>
        <v>Reed</v>
      </c>
      <c r="P374" t="s">
        <v>1373</v>
      </c>
      <c r="Q374" s="9">
        <f t="shared" si="85"/>
        <v>45680</v>
      </c>
      <c r="R374" t="s">
        <v>1510</v>
      </c>
      <c r="S374" s="9">
        <f t="shared" si="86"/>
        <v>45706</v>
      </c>
      <c r="U374" s="9" t="str">
        <f t="shared" si="87"/>
        <v/>
      </c>
      <c r="W374" s="9" t="str">
        <f t="shared" si="88"/>
        <v/>
      </c>
      <c r="X374" t="s">
        <v>1615</v>
      </c>
      <c r="Y374" s="15">
        <v>39249</v>
      </c>
      <c r="AA374" t="s">
        <v>1621</v>
      </c>
      <c r="AB374" t="s">
        <v>1626</v>
      </c>
      <c r="AC374" s="17">
        <v>3.1</v>
      </c>
      <c r="AF374" t="str">
        <f t="shared" si="89"/>
        <v>01-23-2025</v>
      </c>
      <c r="AG374" t="str">
        <f t="shared" si="90"/>
        <v>2025/02/18</v>
      </c>
      <c r="AH374" t="str">
        <f t="shared" si="91"/>
        <v/>
      </c>
      <c r="AI374" t="str">
        <f t="shared" si="92"/>
        <v/>
      </c>
      <c r="AJ374" t="str">
        <f t="shared" si="93"/>
        <v>Not Found</v>
      </c>
      <c r="AK374" t="str">
        <f t="shared" si="94"/>
        <v>Not Found</v>
      </c>
    </row>
    <row r="375" spans="1:37" x14ac:dyDescent="0.35">
      <c r="A375" t="s">
        <v>391</v>
      </c>
      <c r="B375" t="s">
        <v>576</v>
      </c>
      <c r="C375" t="s">
        <v>995</v>
      </c>
      <c r="D375" t="str">
        <f t="shared" si="95"/>
        <v>Trevor Hooper</v>
      </c>
      <c r="E375" t="str">
        <f t="shared" si="96"/>
        <v>Trevor</v>
      </c>
      <c r="F375" t="str">
        <f t="shared" si="97"/>
        <v>Hooper</v>
      </c>
      <c r="G375" t="s">
        <v>1025</v>
      </c>
      <c r="H375" t="str">
        <f t="shared" si="98"/>
        <v>Finance Analyst</v>
      </c>
      <c r="I375" t="s">
        <v>1028</v>
      </c>
      <c r="J375" t="str">
        <f t="shared" si="99"/>
        <v>HR</v>
      </c>
      <c r="K375" t="s">
        <v>1036</v>
      </c>
      <c r="L375" t="str">
        <f t="shared" si="100"/>
        <v>London</v>
      </c>
      <c r="M375" t="s">
        <v>1043</v>
      </c>
      <c r="N375" t="s">
        <v>1051</v>
      </c>
      <c r="O375" t="str">
        <f t="shared" si="101"/>
        <v>CV Library</v>
      </c>
      <c r="P375" t="s">
        <v>1374</v>
      </c>
      <c r="Q375" s="9">
        <f t="shared" si="85"/>
        <v>45405</v>
      </c>
      <c r="S375" s="9" t="str">
        <f t="shared" si="86"/>
        <v/>
      </c>
      <c r="U375" s="9" t="str">
        <f t="shared" si="87"/>
        <v/>
      </c>
      <c r="W375" s="9" t="str">
        <f t="shared" si="88"/>
        <v/>
      </c>
      <c r="X375" t="s">
        <v>1619</v>
      </c>
      <c r="Y375" s="15">
        <v>38760</v>
      </c>
      <c r="AA375" t="s">
        <v>1621</v>
      </c>
      <c r="AB375" t="s">
        <v>1627</v>
      </c>
      <c r="AC375" s="17">
        <v>4.7</v>
      </c>
      <c r="AF375" t="str">
        <f t="shared" si="89"/>
        <v>04-23-2024</v>
      </c>
      <c r="AG375" t="str">
        <f t="shared" si="90"/>
        <v/>
      </c>
      <c r="AH375" t="str">
        <f t="shared" si="91"/>
        <v/>
      </c>
      <c r="AI375" t="str">
        <f t="shared" si="92"/>
        <v/>
      </c>
      <c r="AJ375" t="str">
        <f t="shared" si="93"/>
        <v>Not Found</v>
      </c>
      <c r="AK375" t="str">
        <f t="shared" si="94"/>
        <v>Not Found</v>
      </c>
    </row>
    <row r="376" spans="1:37" x14ac:dyDescent="0.35">
      <c r="A376" t="s">
        <v>392</v>
      </c>
      <c r="B376" t="s">
        <v>555</v>
      </c>
      <c r="C376" t="s">
        <v>996</v>
      </c>
      <c r="D376" t="str">
        <f t="shared" si="95"/>
        <v>Reece Humphries</v>
      </c>
      <c r="E376" t="str">
        <f t="shared" si="96"/>
        <v>Reece</v>
      </c>
      <c r="F376" t="str">
        <f t="shared" si="97"/>
        <v>Humphries</v>
      </c>
      <c r="G376" t="s">
        <v>1022</v>
      </c>
      <c r="H376" t="str">
        <f t="shared" si="98"/>
        <v>Reporting Analyst</v>
      </c>
      <c r="I376" t="s">
        <v>1029</v>
      </c>
      <c r="J376" t="str">
        <f t="shared" si="99"/>
        <v>Commercial</v>
      </c>
      <c r="K376" t="s">
        <v>1034</v>
      </c>
      <c r="L376" t="str">
        <f t="shared" si="100"/>
        <v>Scotland</v>
      </c>
      <c r="M376" t="s">
        <v>1043</v>
      </c>
      <c r="N376" t="s">
        <v>1049</v>
      </c>
      <c r="O376" t="str">
        <f t="shared" si="101"/>
        <v>Indeed</v>
      </c>
      <c r="P376" t="s">
        <v>1357</v>
      </c>
      <c r="Q376" s="9">
        <f t="shared" si="85"/>
        <v>45718</v>
      </c>
      <c r="S376" s="9" t="str">
        <f t="shared" si="86"/>
        <v/>
      </c>
      <c r="U376" s="9" t="str">
        <f t="shared" si="87"/>
        <v/>
      </c>
      <c r="W376" s="9" t="str">
        <f t="shared" si="88"/>
        <v/>
      </c>
      <c r="X376" t="s">
        <v>1616</v>
      </c>
      <c r="Y376" s="15">
        <v>49934</v>
      </c>
      <c r="AA376" t="s">
        <v>1624</v>
      </c>
      <c r="AB376" t="s">
        <v>1628</v>
      </c>
      <c r="AC376" s="17">
        <v>3.9</v>
      </c>
      <c r="AF376" t="str">
        <f t="shared" si="89"/>
        <v>2025/03/02</v>
      </c>
      <c r="AG376" t="str">
        <f t="shared" si="90"/>
        <v/>
      </c>
      <c r="AH376" t="str">
        <f t="shared" si="91"/>
        <v/>
      </c>
      <c r="AI376" t="str">
        <f t="shared" si="92"/>
        <v/>
      </c>
      <c r="AJ376" t="str">
        <f t="shared" si="93"/>
        <v>Not Found</v>
      </c>
      <c r="AK376" t="str">
        <f t="shared" si="94"/>
        <v>Not Found</v>
      </c>
    </row>
    <row r="377" spans="1:37" x14ac:dyDescent="0.35">
      <c r="A377" t="s">
        <v>393</v>
      </c>
      <c r="B377" t="s">
        <v>481</v>
      </c>
      <c r="C377" t="s">
        <v>997</v>
      </c>
      <c r="D377" t="str">
        <f t="shared" si="95"/>
        <v>Alexandra Gill Boyle</v>
      </c>
      <c r="E377" t="str">
        <f t="shared" si="96"/>
        <v>Alexandra</v>
      </c>
      <c r="F377" t="str">
        <f t="shared" si="97"/>
        <v>Boyle</v>
      </c>
      <c r="G377" t="s">
        <v>1024</v>
      </c>
      <c r="H377" t="str">
        <f t="shared" si="98"/>
        <v>Business Analyst</v>
      </c>
      <c r="I377" t="s">
        <v>1031</v>
      </c>
      <c r="J377" t="str">
        <f t="shared" si="99"/>
        <v>Technology</v>
      </c>
      <c r="K377" t="s">
        <v>1037</v>
      </c>
      <c r="L377" t="str">
        <f t="shared" si="100"/>
        <v>East Midlands</v>
      </c>
      <c r="M377" t="s">
        <v>1043</v>
      </c>
      <c r="N377" t="s">
        <v>1047</v>
      </c>
      <c r="O377" t="str">
        <f t="shared" si="101"/>
        <v>Linkedln</v>
      </c>
      <c r="P377" t="s">
        <v>1375</v>
      </c>
      <c r="Q377" s="9">
        <f t="shared" si="85"/>
        <v>45420</v>
      </c>
      <c r="S377" s="9" t="str">
        <f t="shared" si="86"/>
        <v/>
      </c>
      <c r="U377" s="9" t="str">
        <f t="shared" si="87"/>
        <v/>
      </c>
      <c r="W377" s="9" t="str">
        <f t="shared" si="88"/>
        <v/>
      </c>
      <c r="X377" t="s">
        <v>1616</v>
      </c>
      <c r="Y377" s="15">
        <v>38101</v>
      </c>
      <c r="AA377" t="s">
        <v>1621</v>
      </c>
      <c r="AB377" t="s">
        <v>1626</v>
      </c>
      <c r="AC377" s="17">
        <v>4.7</v>
      </c>
      <c r="AF377" t="str">
        <f t="shared" si="89"/>
        <v>2024/05/08</v>
      </c>
      <c r="AG377" t="str">
        <f t="shared" si="90"/>
        <v/>
      </c>
      <c r="AH377" t="str">
        <f t="shared" si="91"/>
        <v/>
      </c>
      <c r="AI377" t="str">
        <f t="shared" si="92"/>
        <v/>
      </c>
      <c r="AJ377" t="str">
        <f t="shared" si="93"/>
        <v>Not Found</v>
      </c>
      <c r="AK377" t="str">
        <f t="shared" si="94"/>
        <v>Not Found</v>
      </c>
    </row>
    <row r="378" spans="1:37" x14ac:dyDescent="0.35">
      <c r="A378" t="s">
        <v>394</v>
      </c>
      <c r="B378" t="s">
        <v>531</v>
      </c>
      <c r="C378" t="s">
        <v>998</v>
      </c>
      <c r="D378" t="str">
        <f t="shared" si="95"/>
        <v>Kimberley Williams Stephens</v>
      </c>
      <c r="E378" t="str">
        <f t="shared" si="96"/>
        <v>Kimberley</v>
      </c>
      <c r="F378" t="str">
        <f t="shared" si="97"/>
        <v>Stephens</v>
      </c>
      <c r="G378" t="s">
        <v>1026</v>
      </c>
      <c r="H378" t="str">
        <f t="shared" si="98"/>
        <v>BI Analyst</v>
      </c>
      <c r="I378" t="s">
        <v>1031</v>
      </c>
      <c r="J378" t="str">
        <f t="shared" si="99"/>
        <v>Technology</v>
      </c>
      <c r="K378" t="s">
        <v>1033</v>
      </c>
      <c r="L378" t="str">
        <f t="shared" si="100"/>
        <v>Midlands</v>
      </c>
      <c r="M378" t="s">
        <v>1043</v>
      </c>
      <c r="N378" t="s">
        <v>1049</v>
      </c>
      <c r="O378" t="str">
        <f t="shared" si="101"/>
        <v>Indeed</v>
      </c>
      <c r="P378" t="s">
        <v>1376</v>
      </c>
      <c r="Q378" s="9">
        <f t="shared" si="85"/>
        <v>45613</v>
      </c>
      <c r="S378" s="9" t="str">
        <f t="shared" si="86"/>
        <v/>
      </c>
      <c r="U378" s="9" t="str">
        <f t="shared" si="87"/>
        <v/>
      </c>
      <c r="W378" s="9" t="str">
        <f t="shared" si="88"/>
        <v/>
      </c>
      <c r="X378" t="s">
        <v>1616</v>
      </c>
      <c r="Y378" s="15">
        <v>41825</v>
      </c>
      <c r="AA378" t="s">
        <v>1624</v>
      </c>
      <c r="AB378" t="s">
        <v>1628</v>
      </c>
      <c r="AC378" s="17">
        <v>4.0999999999999996</v>
      </c>
      <c r="AF378" t="str">
        <f t="shared" si="89"/>
        <v>17/11/2024</v>
      </c>
      <c r="AG378" t="str">
        <f t="shared" si="90"/>
        <v/>
      </c>
      <c r="AH378" t="str">
        <f t="shared" si="91"/>
        <v/>
      </c>
      <c r="AI378" t="str">
        <f t="shared" si="92"/>
        <v/>
      </c>
      <c r="AJ378" t="str">
        <f t="shared" si="93"/>
        <v>Not Found</v>
      </c>
      <c r="AK378" t="str">
        <f t="shared" si="94"/>
        <v>Not Found</v>
      </c>
    </row>
    <row r="379" spans="1:37" x14ac:dyDescent="0.35">
      <c r="A379" t="s">
        <v>395</v>
      </c>
      <c r="B379" t="s">
        <v>430</v>
      </c>
      <c r="C379" t="s">
        <v>999</v>
      </c>
      <c r="D379" t="str">
        <f t="shared" si="95"/>
        <v>Mathew Fisher</v>
      </c>
      <c r="E379" t="str">
        <f t="shared" si="96"/>
        <v>Mathew</v>
      </c>
      <c r="F379" t="str">
        <f t="shared" si="97"/>
        <v>Fisher</v>
      </c>
      <c r="G379" t="s">
        <v>1025</v>
      </c>
      <c r="H379" t="str">
        <f t="shared" si="98"/>
        <v>Finance Analyst</v>
      </c>
      <c r="I379" t="s">
        <v>1029</v>
      </c>
      <c r="J379" t="str">
        <f t="shared" si="99"/>
        <v>Commercial</v>
      </c>
      <c r="K379" t="s">
        <v>1039</v>
      </c>
      <c r="L379" t="str">
        <f t="shared" si="100"/>
        <v>South East</v>
      </c>
      <c r="M379" t="s">
        <v>1043</v>
      </c>
      <c r="N379" t="s">
        <v>1047</v>
      </c>
      <c r="O379" t="str">
        <f t="shared" si="101"/>
        <v>Linkedln</v>
      </c>
      <c r="P379" t="s">
        <v>1377</v>
      </c>
      <c r="Q379" s="9">
        <f t="shared" si="85"/>
        <v>45779</v>
      </c>
      <c r="R379" t="s">
        <v>1378</v>
      </c>
      <c r="S379" s="9">
        <f t="shared" si="86"/>
        <v>45791</v>
      </c>
      <c r="T379" t="s">
        <v>1577</v>
      </c>
      <c r="U379" s="9">
        <f t="shared" si="87"/>
        <v>45813</v>
      </c>
      <c r="W379" s="9" t="str">
        <f t="shared" si="88"/>
        <v/>
      </c>
      <c r="X379" t="s">
        <v>1618</v>
      </c>
      <c r="Y379" s="15">
        <v>39300</v>
      </c>
      <c r="Z379" s="15">
        <v>37750</v>
      </c>
      <c r="AA379" t="s">
        <v>1621</v>
      </c>
      <c r="AB379" t="s">
        <v>1626</v>
      </c>
      <c r="AC379" s="17">
        <v>4.3</v>
      </c>
      <c r="AF379" t="str">
        <f t="shared" si="89"/>
        <v>02/05/2025</v>
      </c>
      <c r="AG379" t="str">
        <f t="shared" si="90"/>
        <v>14/05/2025</v>
      </c>
      <c r="AH379" t="str">
        <f t="shared" si="91"/>
        <v>05/06/2025</v>
      </c>
      <c r="AI379" t="str">
        <f t="shared" si="92"/>
        <v/>
      </c>
      <c r="AJ379" t="str">
        <f t="shared" si="93"/>
        <v>Not Found</v>
      </c>
      <c r="AK379" t="str">
        <f t="shared" si="94"/>
        <v>Not Found</v>
      </c>
    </row>
    <row r="380" spans="1:37" x14ac:dyDescent="0.35">
      <c r="A380" t="s">
        <v>396</v>
      </c>
      <c r="B380" t="s">
        <v>476</v>
      </c>
      <c r="C380" t="s">
        <v>1000</v>
      </c>
      <c r="D380" t="str">
        <f t="shared" si="95"/>
        <v>Elliot Turner</v>
      </c>
      <c r="E380" t="str">
        <f t="shared" si="96"/>
        <v>Elliot</v>
      </c>
      <c r="F380" t="str">
        <f t="shared" si="97"/>
        <v>Turner</v>
      </c>
      <c r="G380" t="s">
        <v>1025</v>
      </c>
      <c r="H380" t="str">
        <f t="shared" si="98"/>
        <v>Finance Analyst</v>
      </c>
      <c r="I380" t="s">
        <v>1031</v>
      </c>
      <c r="J380" t="str">
        <f t="shared" si="99"/>
        <v>Technology</v>
      </c>
      <c r="K380" t="s">
        <v>1039</v>
      </c>
      <c r="L380" t="str">
        <f t="shared" si="100"/>
        <v>South East</v>
      </c>
      <c r="M380" t="s">
        <v>1044</v>
      </c>
      <c r="N380" t="s">
        <v>1048</v>
      </c>
      <c r="O380" t="str">
        <f t="shared" si="101"/>
        <v>Referral</v>
      </c>
      <c r="P380" t="s">
        <v>1378</v>
      </c>
      <c r="Q380" s="9">
        <f t="shared" si="85"/>
        <v>45791</v>
      </c>
      <c r="S380" s="9" t="str">
        <f t="shared" si="86"/>
        <v/>
      </c>
      <c r="U380" s="9" t="str">
        <f t="shared" si="87"/>
        <v/>
      </c>
      <c r="W380" s="9" t="str">
        <f t="shared" si="88"/>
        <v/>
      </c>
      <c r="X380" t="s">
        <v>1616</v>
      </c>
      <c r="Y380" s="15">
        <v>40589</v>
      </c>
      <c r="AA380" t="s">
        <v>1622</v>
      </c>
      <c r="AB380" t="s">
        <v>1628</v>
      </c>
      <c r="AC380" s="17">
        <v>3</v>
      </c>
      <c r="AF380" t="str">
        <f t="shared" si="89"/>
        <v>14/05/2025</v>
      </c>
      <c r="AG380" t="str">
        <f t="shared" si="90"/>
        <v/>
      </c>
      <c r="AH380" t="str">
        <f t="shared" si="91"/>
        <v/>
      </c>
      <c r="AI380" t="str">
        <f t="shared" si="92"/>
        <v/>
      </c>
      <c r="AJ380" t="str">
        <f t="shared" si="93"/>
        <v>Not Found</v>
      </c>
      <c r="AK380" t="str">
        <f t="shared" si="94"/>
        <v>Not Found</v>
      </c>
    </row>
    <row r="381" spans="1:37" x14ac:dyDescent="0.35">
      <c r="A381" t="s">
        <v>397</v>
      </c>
      <c r="B381" t="s">
        <v>528</v>
      </c>
      <c r="C381" t="s">
        <v>1001</v>
      </c>
      <c r="D381" t="str">
        <f t="shared" si="95"/>
        <v>Rachael Peters</v>
      </c>
      <c r="E381" t="str">
        <f t="shared" si="96"/>
        <v>Rachael</v>
      </c>
      <c r="F381" t="str">
        <f t="shared" si="97"/>
        <v>Peters</v>
      </c>
      <c r="G381" t="s">
        <v>1026</v>
      </c>
      <c r="H381" t="str">
        <f t="shared" si="98"/>
        <v>BI Analyst</v>
      </c>
      <c r="I381" t="s">
        <v>1031</v>
      </c>
      <c r="J381" t="str">
        <f t="shared" si="99"/>
        <v>Technology</v>
      </c>
      <c r="K381" t="s">
        <v>1039</v>
      </c>
      <c r="L381" t="str">
        <f t="shared" si="100"/>
        <v>South East</v>
      </c>
      <c r="M381" t="s">
        <v>1044</v>
      </c>
      <c r="N381" t="s">
        <v>1051</v>
      </c>
      <c r="O381" t="str">
        <f t="shared" si="101"/>
        <v>CV Library</v>
      </c>
      <c r="P381" t="s">
        <v>1379</v>
      </c>
      <c r="Q381" s="9">
        <f t="shared" si="85"/>
        <v>45517</v>
      </c>
      <c r="R381" t="s">
        <v>1511</v>
      </c>
      <c r="S381" s="9">
        <f t="shared" si="86"/>
        <v>45538</v>
      </c>
      <c r="T381" t="s">
        <v>1578</v>
      </c>
      <c r="U381" s="9">
        <f t="shared" si="87"/>
        <v>45550</v>
      </c>
      <c r="V381" t="s">
        <v>1160</v>
      </c>
      <c r="W381" s="9">
        <f t="shared" si="88"/>
        <v>45560</v>
      </c>
      <c r="X381" t="s">
        <v>1620</v>
      </c>
      <c r="Y381" s="15">
        <v>41693</v>
      </c>
      <c r="Z381" s="15">
        <v>39094</v>
      </c>
      <c r="AA381" t="s">
        <v>1621</v>
      </c>
      <c r="AB381" t="s">
        <v>1627</v>
      </c>
      <c r="AF381" t="str">
        <f t="shared" si="89"/>
        <v>13/08/2024</v>
      </c>
      <c r="AG381" t="str">
        <f t="shared" si="90"/>
        <v>2024/09/03</v>
      </c>
      <c r="AH381" t="str">
        <f t="shared" si="91"/>
        <v>15/09/2024</v>
      </c>
      <c r="AI381" t="str">
        <f t="shared" si="92"/>
        <v>2024/09/25</v>
      </c>
      <c r="AJ381" t="str">
        <f t="shared" si="93"/>
        <v>Not Found</v>
      </c>
      <c r="AK381" t="str">
        <f t="shared" si="94"/>
        <v>Not Found</v>
      </c>
    </row>
    <row r="382" spans="1:37" x14ac:dyDescent="0.35">
      <c r="A382" t="s">
        <v>398</v>
      </c>
      <c r="B382" t="s">
        <v>550</v>
      </c>
      <c r="C382" t="s">
        <v>1002</v>
      </c>
      <c r="D382" t="str">
        <f t="shared" si="95"/>
        <v>June Wilkinson</v>
      </c>
      <c r="E382" t="str">
        <f t="shared" si="96"/>
        <v>June</v>
      </c>
      <c r="F382" t="str">
        <f t="shared" si="97"/>
        <v>Wilkinson</v>
      </c>
      <c r="G382" t="s">
        <v>1024</v>
      </c>
      <c r="H382" t="str">
        <f t="shared" si="98"/>
        <v>Business Analyst</v>
      </c>
      <c r="I382" t="s">
        <v>1031</v>
      </c>
      <c r="J382" t="str">
        <f t="shared" si="99"/>
        <v>Technology</v>
      </c>
      <c r="K382" t="s">
        <v>1036</v>
      </c>
      <c r="L382" t="str">
        <f t="shared" si="100"/>
        <v>London</v>
      </c>
      <c r="M382" t="s">
        <v>1044</v>
      </c>
      <c r="N382" t="s">
        <v>1046</v>
      </c>
      <c r="O382" t="str">
        <f t="shared" si="101"/>
        <v>Linkedln</v>
      </c>
      <c r="P382" t="s">
        <v>1380</v>
      </c>
      <c r="Q382" s="9">
        <f t="shared" si="85"/>
        <v>45561</v>
      </c>
      <c r="R382" t="s">
        <v>1512</v>
      </c>
      <c r="S382" s="9">
        <f t="shared" si="86"/>
        <v>45590</v>
      </c>
      <c r="U382" s="9" t="str">
        <f t="shared" si="87"/>
        <v/>
      </c>
      <c r="W382" s="9" t="str">
        <f t="shared" si="88"/>
        <v/>
      </c>
      <c r="X382" t="s">
        <v>1615</v>
      </c>
      <c r="Y382" s="15">
        <v>42462</v>
      </c>
      <c r="AA382" t="s">
        <v>1623</v>
      </c>
      <c r="AB382" t="s">
        <v>1627</v>
      </c>
      <c r="AC382" s="17">
        <v>4.0999999999999996</v>
      </c>
      <c r="AF382" t="str">
        <f t="shared" si="89"/>
        <v>09-26-2024</v>
      </c>
      <c r="AG382" t="str">
        <f t="shared" si="90"/>
        <v>2024/10/25</v>
      </c>
      <c r="AH382" t="str">
        <f t="shared" si="91"/>
        <v/>
      </c>
      <c r="AI382" t="str">
        <f t="shared" si="92"/>
        <v/>
      </c>
      <c r="AJ382" t="str">
        <f t="shared" si="93"/>
        <v>Not Found</v>
      </c>
      <c r="AK382" t="str">
        <f t="shared" si="94"/>
        <v>Not Found</v>
      </c>
    </row>
    <row r="383" spans="1:37" x14ac:dyDescent="0.35">
      <c r="A383" t="s">
        <v>399</v>
      </c>
      <c r="B383" t="s">
        <v>449</v>
      </c>
      <c r="C383" t="s">
        <v>1003</v>
      </c>
      <c r="D383" t="str">
        <f t="shared" si="95"/>
        <v>Sally Davies</v>
      </c>
      <c r="E383" t="str">
        <f t="shared" si="96"/>
        <v>Sally</v>
      </c>
      <c r="F383" t="str">
        <f t="shared" si="97"/>
        <v>Davies</v>
      </c>
      <c r="G383" t="s">
        <v>1023</v>
      </c>
      <c r="H383" t="str">
        <f t="shared" si="98"/>
        <v>HR Analyst</v>
      </c>
      <c r="I383" t="s">
        <v>1031</v>
      </c>
      <c r="J383" t="str">
        <f t="shared" si="99"/>
        <v>Technology</v>
      </c>
      <c r="K383" t="s">
        <v>1034</v>
      </c>
      <c r="L383" t="str">
        <f t="shared" si="100"/>
        <v>Scotland</v>
      </c>
      <c r="M383" t="s">
        <v>1043</v>
      </c>
      <c r="N383" t="s">
        <v>1050</v>
      </c>
      <c r="O383" t="str">
        <f t="shared" si="101"/>
        <v>Reed</v>
      </c>
      <c r="P383" t="s">
        <v>1381</v>
      </c>
      <c r="Q383" s="9">
        <f t="shared" si="85"/>
        <v>45457</v>
      </c>
      <c r="S383" s="9" t="str">
        <f t="shared" si="86"/>
        <v/>
      </c>
      <c r="U383" s="9" t="str">
        <f t="shared" si="87"/>
        <v/>
      </c>
      <c r="W383" s="9" t="str">
        <f t="shared" si="88"/>
        <v/>
      </c>
      <c r="X383" t="s">
        <v>1617</v>
      </c>
      <c r="Y383" s="15">
        <v>43240</v>
      </c>
      <c r="AA383" t="s">
        <v>1624</v>
      </c>
      <c r="AB383" t="s">
        <v>1626</v>
      </c>
      <c r="AC383" s="17">
        <v>4.4000000000000004</v>
      </c>
      <c r="AF383" t="str">
        <f t="shared" si="89"/>
        <v>2024/06/14</v>
      </c>
      <c r="AG383" t="str">
        <f t="shared" si="90"/>
        <v/>
      </c>
      <c r="AH383" t="str">
        <f t="shared" si="91"/>
        <v/>
      </c>
      <c r="AI383" t="str">
        <f t="shared" si="92"/>
        <v/>
      </c>
      <c r="AJ383" t="str">
        <f t="shared" si="93"/>
        <v>Not Found</v>
      </c>
      <c r="AK383" t="str">
        <f t="shared" si="94"/>
        <v>Not Found</v>
      </c>
    </row>
    <row r="384" spans="1:37" x14ac:dyDescent="0.35">
      <c r="A384" t="s">
        <v>400</v>
      </c>
      <c r="B384" t="s">
        <v>513</v>
      </c>
      <c r="C384" t="s">
        <v>1004</v>
      </c>
      <c r="D384" t="str">
        <f t="shared" si="95"/>
        <v>Ricky Turner</v>
      </c>
      <c r="E384" t="str">
        <f t="shared" si="96"/>
        <v>Ricky</v>
      </c>
      <c r="F384" t="str">
        <f t="shared" si="97"/>
        <v>Turner</v>
      </c>
      <c r="G384" t="s">
        <v>1022</v>
      </c>
      <c r="H384" t="str">
        <f t="shared" si="98"/>
        <v>Reporting Analyst</v>
      </c>
      <c r="I384" t="s">
        <v>1029</v>
      </c>
      <c r="J384" t="str">
        <f t="shared" si="99"/>
        <v>Commercial</v>
      </c>
      <c r="K384" t="s">
        <v>1038</v>
      </c>
      <c r="L384" t="str">
        <f t="shared" si="100"/>
        <v>East Midlands</v>
      </c>
      <c r="M384" t="s">
        <v>1044</v>
      </c>
      <c r="N384" t="s">
        <v>1052</v>
      </c>
      <c r="O384" t="str">
        <f t="shared" si="101"/>
        <v>Linkedln</v>
      </c>
      <c r="P384" t="s">
        <v>1382</v>
      </c>
      <c r="Q384" s="9">
        <f t="shared" si="85"/>
        <v>45672</v>
      </c>
      <c r="R384" t="s">
        <v>1361</v>
      </c>
      <c r="S384" s="9">
        <f t="shared" si="86"/>
        <v>45687</v>
      </c>
      <c r="U384" s="9" t="str">
        <f t="shared" si="87"/>
        <v/>
      </c>
      <c r="W384" s="9" t="str">
        <f t="shared" si="88"/>
        <v/>
      </c>
      <c r="X384" t="s">
        <v>1615</v>
      </c>
      <c r="Y384" s="15">
        <v>38048</v>
      </c>
      <c r="AA384" t="s">
        <v>1622</v>
      </c>
      <c r="AB384" t="s">
        <v>1628</v>
      </c>
      <c r="AC384" s="17">
        <v>2.1</v>
      </c>
      <c r="AF384" t="str">
        <f t="shared" si="89"/>
        <v>01-15-2025</v>
      </c>
      <c r="AG384" t="str">
        <f t="shared" si="90"/>
        <v>30/01/2025</v>
      </c>
      <c r="AH384" t="str">
        <f t="shared" si="91"/>
        <v/>
      </c>
      <c r="AI384" t="str">
        <f t="shared" si="92"/>
        <v/>
      </c>
      <c r="AJ384" t="str">
        <f t="shared" si="93"/>
        <v>Not Found</v>
      </c>
      <c r="AK384" t="str">
        <f t="shared" si="94"/>
        <v>Not Found</v>
      </c>
    </row>
    <row r="385" spans="1:37" x14ac:dyDescent="0.35">
      <c r="A385" t="s">
        <v>401</v>
      </c>
      <c r="B385" t="s">
        <v>541</v>
      </c>
      <c r="C385" t="s">
        <v>1005</v>
      </c>
      <c r="D385" t="str">
        <f t="shared" si="95"/>
        <v>Adam Barnett</v>
      </c>
      <c r="E385" t="str">
        <f t="shared" si="96"/>
        <v>Adam</v>
      </c>
      <c r="F385" t="str">
        <f t="shared" si="97"/>
        <v>Barnett</v>
      </c>
      <c r="G385" t="s">
        <v>1027</v>
      </c>
      <c r="H385" t="str">
        <f t="shared" si="98"/>
        <v>Data Analyst</v>
      </c>
      <c r="I385" t="s">
        <v>1032</v>
      </c>
      <c r="J385" t="str">
        <f t="shared" si="99"/>
        <v>Operations</v>
      </c>
      <c r="K385" t="s">
        <v>1033</v>
      </c>
      <c r="L385" t="str">
        <f t="shared" si="100"/>
        <v>Midlands</v>
      </c>
      <c r="M385" t="s">
        <v>1042</v>
      </c>
      <c r="N385" t="s">
        <v>1050</v>
      </c>
      <c r="O385" t="str">
        <f t="shared" si="101"/>
        <v>Reed</v>
      </c>
      <c r="P385" t="s">
        <v>1383</v>
      </c>
      <c r="Q385" s="9">
        <f t="shared" si="85"/>
        <v>45615</v>
      </c>
      <c r="R385" t="s">
        <v>1513</v>
      </c>
      <c r="S385" s="9">
        <f t="shared" si="86"/>
        <v>45645</v>
      </c>
      <c r="T385" t="s">
        <v>1579</v>
      </c>
      <c r="U385" s="9">
        <f t="shared" si="87"/>
        <v>45641</v>
      </c>
      <c r="V385" t="s">
        <v>1613</v>
      </c>
      <c r="W385" s="9">
        <f t="shared" si="88"/>
        <v>45666</v>
      </c>
      <c r="X385" t="s">
        <v>1620</v>
      </c>
      <c r="Y385" s="15">
        <v>36086</v>
      </c>
      <c r="Z385" s="15">
        <v>36532</v>
      </c>
      <c r="AA385" t="s">
        <v>1622</v>
      </c>
      <c r="AB385" t="s">
        <v>1626</v>
      </c>
      <c r="AF385" t="str">
        <f t="shared" si="89"/>
        <v>2024/11/19</v>
      </c>
      <c r="AG385" t="str">
        <f t="shared" si="90"/>
        <v>12-19-2024</v>
      </c>
      <c r="AH385" t="str">
        <f t="shared" si="91"/>
        <v>12-15-2024</v>
      </c>
      <c r="AI385" t="str">
        <f t="shared" si="92"/>
        <v>09/01/2025</v>
      </c>
      <c r="AJ385" t="str">
        <f t="shared" si="93"/>
        <v>Not Found</v>
      </c>
      <c r="AK385" t="str">
        <f t="shared" si="94"/>
        <v>Not Found</v>
      </c>
    </row>
    <row r="386" spans="1:37" x14ac:dyDescent="0.35">
      <c r="A386" t="s">
        <v>402</v>
      </c>
      <c r="B386" t="s">
        <v>619</v>
      </c>
      <c r="C386" t="s">
        <v>1006</v>
      </c>
      <c r="D386" t="str">
        <f t="shared" si="95"/>
        <v>Douglas Nash</v>
      </c>
      <c r="E386" t="str">
        <f t="shared" si="96"/>
        <v>Douglas</v>
      </c>
      <c r="F386" t="str">
        <f t="shared" si="97"/>
        <v>Nash</v>
      </c>
      <c r="G386" t="s">
        <v>1024</v>
      </c>
      <c r="H386" t="str">
        <f t="shared" si="98"/>
        <v>Business Analyst</v>
      </c>
      <c r="I386" t="s">
        <v>1030</v>
      </c>
      <c r="J386" t="str">
        <f t="shared" si="99"/>
        <v>Finance</v>
      </c>
      <c r="K386" t="s">
        <v>1034</v>
      </c>
      <c r="L386" t="str">
        <f t="shared" si="100"/>
        <v>Scotland</v>
      </c>
      <c r="M386" t="s">
        <v>1041</v>
      </c>
      <c r="N386" t="s">
        <v>1051</v>
      </c>
      <c r="O386" t="str">
        <f t="shared" si="101"/>
        <v>CV Library</v>
      </c>
      <c r="P386" t="s">
        <v>1384</v>
      </c>
      <c r="Q386" s="9">
        <f t="shared" ref="Q386:Q401" si="102">IF(IFERROR(FIND("-",AF386),0)=3,DATE(RIGHT(AF386,4),LEFT(AF386,2),MID(AF386,4,2)), IF(IFERROR(FIND("/",AF386)=5,0), DATE(LEFT(AF386,4),MID(AF386,6,2),RIGHT(AF386,2)), DATE(RIGHT(AF386,4), MID(AF386,4,2), LEFT(AF386,2))))</f>
        <v>45316</v>
      </c>
      <c r="R386" t="s">
        <v>1514</v>
      </c>
      <c r="S386" s="9">
        <f t="shared" ref="S386:S401" si="103">IFERROR( IF(IFERROR(FIND("-",AG386),0)=3, DATE(RIGHT(AG386,4),LEFT(AG386,2),MID(AG386,4,2)),  IF(IFERROR(FIND("/",AG386)=5,0), DATE(LEFT(AG386,4),MID(AG386,6,2),RIGHT(AG386,2)), DATE(RIGHT(AG386,4), MID(AG386,4,2), LEFT(AG386,2)))),"")</f>
        <v>45332</v>
      </c>
      <c r="U386" s="9" t="str">
        <f t="shared" ref="U386:U401" si="104">IFERROR( IF(IFERROR(FIND("-",AH386),0)=3, DATE(RIGHT(AH386,4),LEFT(AH386,2),MID(AH386,4,2)),  IF(IFERROR(FIND("/",AH386)=5,0), DATE(LEFT(AH386,4),MID(AH386,6,2),RIGHT(AH386,2)), DATE(RIGHT(AH386,4), MID(AH386,4,2), LEFT(AH386,2)))),"")</f>
        <v/>
      </c>
      <c r="W386" s="9" t="str">
        <f t="shared" ref="W386:W401" si="105">IFERROR( IF(IFERROR(FIND("-",AI386),0)=3, DATE(RIGHT(AI386,4),LEFT(AI386,2),MID(AI386,4,2)),  IF(IFERROR(FIND("/",AI386)=5,0), DATE(LEFT(AI386,4),MID(AI386,6,2),RIGHT(AI386,2)), DATE(RIGHT(AI386,4), MID(AI386,4,2), LEFT(AI386,2)))),"")</f>
        <v/>
      </c>
      <c r="X386" t="s">
        <v>1615</v>
      </c>
      <c r="Y386" s="15">
        <v>45771</v>
      </c>
      <c r="AA386" t="s">
        <v>1621</v>
      </c>
      <c r="AB386" t="s">
        <v>1626</v>
      </c>
      <c r="AC386" s="17">
        <v>3.1</v>
      </c>
      <c r="AF386" t="str">
        <f t="shared" ref="AF386:AF401" si="106">IF(IFERROR(FIND("-",P386),0) = 5, SUBSTITUTE(P386,"-","/"), P386)</f>
        <v>2024/01/25</v>
      </c>
      <c r="AG386" t="str">
        <f t="shared" ref="AG386:AG401" si="107">IF(R386 = "", "", IF(IFERROR(FIND("-",R386),0) = 5, SUBSTITUTE(R386,"-","/"), R386))</f>
        <v>2024/02/10</v>
      </c>
      <c r="AH386" t="str">
        <f t="shared" ref="AH386:AH401" si="108">IF(T386 = "", "", IF(IFERROR(FIND("-",T386),0) = 5, SUBSTITUTE(T386,"-","/"), T386))</f>
        <v/>
      </c>
      <c r="AI386" t="str">
        <f t="shared" ref="AI386:AI401" si="109">IF(V386 = "", "", IF(IFERROR(FIND("-",V386),0) = 5, SUBSTITUTE(V386,"-","/"), V386))</f>
        <v/>
      </c>
      <c r="AJ386" t="str">
        <f t="shared" ref="AJ386:AJ401" si="110">IFERROR(FIND(" ",X386),"Not Found")</f>
        <v>Not Found</v>
      </c>
      <c r="AK386" t="str">
        <f t="shared" ref="AK386:AK401" si="111">IFERROR(FIND(" ",AA386), "Not Found")</f>
        <v>Not Found</v>
      </c>
    </row>
    <row r="387" spans="1:37" x14ac:dyDescent="0.35">
      <c r="A387" t="s">
        <v>403</v>
      </c>
      <c r="B387" t="s">
        <v>620</v>
      </c>
      <c r="C387" t="s">
        <v>1007</v>
      </c>
      <c r="D387" t="str">
        <f t="shared" ref="D387:D401" si="112">PROPER(TRIM(SUBSTITUTE(SUBSTITUTE(SUBSTITUTE(SUBSTITUTE(SUBSTITUTE(SUBSTITUTE(C387,"Mr "," "),"Dr "," "),"-"," "),"Miss "," "),"Mrs "," "),"Ms ", " ")))</f>
        <v>Roger Rowe</v>
      </c>
      <c r="E387" t="str">
        <f t="shared" ref="E387:E401" si="113">_xlfn.TEXTBEFORE(D387," ",1,,,)</f>
        <v>Roger</v>
      </c>
      <c r="F387" t="str">
        <f t="shared" ref="F387:F401" si="114">_xlfn.TEXTAFTER(D387," ",-1,,,)</f>
        <v>Rowe</v>
      </c>
      <c r="G387" t="s">
        <v>1025</v>
      </c>
      <c r="H387" t="str">
        <f t="shared" ref="H387:H401" si="115">TRIM(G387)</f>
        <v>Finance Analyst</v>
      </c>
      <c r="I387" t="s">
        <v>1028</v>
      </c>
      <c r="J387" t="str">
        <f t="shared" ref="J387:J401" si="116">TRIM(I387)</f>
        <v>HR</v>
      </c>
      <c r="K387" t="s">
        <v>1040</v>
      </c>
      <c r="L387" t="str">
        <f t="shared" ref="L387:L401" si="117">PROPER(TRIM(K387))</f>
        <v>North West</v>
      </c>
      <c r="M387" t="s">
        <v>1045</v>
      </c>
      <c r="N387" t="s">
        <v>1052</v>
      </c>
      <c r="O387" t="str">
        <f t="shared" ref="O387:O401" si="118">IF(OR(TRIM(N387) = "linkedin", TRIM(N387) = "LI"),"Linkedln",TRIM(N387))</f>
        <v>Linkedln</v>
      </c>
      <c r="P387" t="s">
        <v>1384</v>
      </c>
      <c r="Q387" s="9">
        <f t="shared" si="102"/>
        <v>45316</v>
      </c>
      <c r="S387" s="9" t="str">
        <f t="shared" si="103"/>
        <v/>
      </c>
      <c r="U387" s="9" t="str">
        <f t="shared" si="104"/>
        <v/>
      </c>
      <c r="W387" s="9" t="str">
        <f t="shared" si="105"/>
        <v/>
      </c>
      <c r="X387" t="s">
        <v>1619</v>
      </c>
      <c r="Y387" s="15">
        <v>44639</v>
      </c>
      <c r="AA387" t="s">
        <v>1623</v>
      </c>
      <c r="AB387" t="s">
        <v>1626</v>
      </c>
      <c r="AF387" t="str">
        <f t="shared" si="106"/>
        <v>2024/01/25</v>
      </c>
      <c r="AG387" t="str">
        <f t="shared" si="107"/>
        <v/>
      </c>
      <c r="AH387" t="str">
        <f t="shared" si="108"/>
        <v/>
      </c>
      <c r="AI387" t="str">
        <f t="shared" si="109"/>
        <v/>
      </c>
      <c r="AJ387" t="str">
        <f t="shared" si="110"/>
        <v>Not Found</v>
      </c>
      <c r="AK387" t="str">
        <f t="shared" si="111"/>
        <v>Not Found</v>
      </c>
    </row>
    <row r="388" spans="1:37" x14ac:dyDescent="0.35">
      <c r="A388" t="s">
        <v>404</v>
      </c>
      <c r="B388" t="s">
        <v>439</v>
      </c>
      <c r="C388" t="s">
        <v>1008</v>
      </c>
      <c r="D388" t="str">
        <f t="shared" si="112"/>
        <v>Geraldine Morley</v>
      </c>
      <c r="E388" t="str">
        <f t="shared" si="113"/>
        <v>Geraldine</v>
      </c>
      <c r="F388" t="str">
        <f t="shared" si="114"/>
        <v>Morley</v>
      </c>
      <c r="G388" t="s">
        <v>1024</v>
      </c>
      <c r="H388" t="str">
        <f t="shared" si="115"/>
        <v>Business Analyst</v>
      </c>
      <c r="I388" t="s">
        <v>1030</v>
      </c>
      <c r="J388" t="str">
        <f t="shared" si="116"/>
        <v>Finance</v>
      </c>
      <c r="K388" t="s">
        <v>1035</v>
      </c>
      <c r="L388" t="str">
        <f t="shared" si="117"/>
        <v>Yorkshire</v>
      </c>
      <c r="M388" t="s">
        <v>1043</v>
      </c>
      <c r="N388" t="s">
        <v>1050</v>
      </c>
      <c r="O388" t="str">
        <f t="shared" si="118"/>
        <v>Reed</v>
      </c>
      <c r="P388" t="s">
        <v>1283</v>
      </c>
      <c r="Q388" s="9">
        <f t="shared" si="102"/>
        <v>45575</v>
      </c>
      <c r="R388" t="s">
        <v>1515</v>
      </c>
      <c r="S388" s="9">
        <f t="shared" si="103"/>
        <v>45587</v>
      </c>
      <c r="T388" t="s">
        <v>1149</v>
      </c>
      <c r="U388" s="9">
        <f t="shared" si="104"/>
        <v>45614</v>
      </c>
      <c r="W388" s="9" t="str">
        <f t="shared" si="105"/>
        <v/>
      </c>
      <c r="X388" t="s">
        <v>1618</v>
      </c>
      <c r="Y388" s="15">
        <v>43007</v>
      </c>
      <c r="Z388" s="15">
        <v>45383</v>
      </c>
      <c r="AA388" t="s">
        <v>1621</v>
      </c>
      <c r="AB388" t="s">
        <v>1626</v>
      </c>
      <c r="AC388" s="17">
        <v>3.9</v>
      </c>
      <c r="AF388" t="str">
        <f t="shared" si="106"/>
        <v>2024/10/10</v>
      </c>
      <c r="AG388" t="str">
        <f t="shared" si="107"/>
        <v>22/10/2024</v>
      </c>
      <c r="AH388" t="str">
        <f t="shared" si="108"/>
        <v>2024/11/18</v>
      </c>
      <c r="AI388" t="str">
        <f t="shared" si="109"/>
        <v/>
      </c>
      <c r="AJ388" t="str">
        <f t="shared" si="110"/>
        <v>Not Found</v>
      </c>
      <c r="AK388" t="str">
        <f t="shared" si="111"/>
        <v>Not Found</v>
      </c>
    </row>
    <row r="389" spans="1:37" x14ac:dyDescent="0.35">
      <c r="A389" t="s">
        <v>405</v>
      </c>
      <c r="B389" t="s">
        <v>621</v>
      </c>
      <c r="C389" t="s">
        <v>1009</v>
      </c>
      <c r="D389" t="str">
        <f t="shared" si="112"/>
        <v>Kelly Sanderson Thomson</v>
      </c>
      <c r="E389" t="str">
        <f t="shared" si="113"/>
        <v>Kelly</v>
      </c>
      <c r="F389" t="str">
        <f t="shared" si="114"/>
        <v>Thomson</v>
      </c>
      <c r="G389" t="s">
        <v>1027</v>
      </c>
      <c r="H389" t="str">
        <f t="shared" si="115"/>
        <v>Data Analyst</v>
      </c>
      <c r="I389" t="s">
        <v>1028</v>
      </c>
      <c r="J389" t="str">
        <f t="shared" si="116"/>
        <v>HR</v>
      </c>
      <c r="K389" t="s">
        <v>1034</v>
      </c>
      <c r="L389" t="str">
        <f t="shared" si="117"/>
        <v>Scotland</v>
      </c>
      <c r="M389" t="s">
        <v>1045</v>
      </c>
      <c r="N389" t="s">
        <v>1051</v>
      </c>
      <c r="O389" t="str">
        <f t="shared" si="118"/>
        <v>CV Library</v>
      </c>
      <c r="P389" t="s">
        <v>1385</v>
      </c>
      <c r="Q389" s="9">
        <f t="shared" si="102"/>
        <v>45583</v>
      </c>
      <c r="R389" t="s">
        <v>1448</v>
      </c>
      <c r="S389" s="9">
        <f t="shared" si="103"/>
        <v>45612</v>
      </c>
      <c r="T389" t="s">
        <v>1135</v>
      </c>
      <c r="U389" s="9">
        <f t="shared" si="104"/>
        <v>45618</v>
      </c>
      <c r="V389" t="s">
        <v>1614</v>
      </c>
      <c r="W389" s="9">
        <f t="shared" si="105"/>
        <v>45658</v>
      </c>
      <c r="X389" t="s">
        <v>1620</v>
      </c>
      <c r="Y389" s="15">
        <v>31928</v>
      </c>
      <c r="Z389" s="15">
        <v>35549</v>
      </c>
      <c r="AA389" t="s">
        <v>1623</v>
      </c>
      <c r="AB389" t="s">
        <v>1626</v>
      </c>
      <c r="AC389" s="17">
        <v>3.2</v>
      </c>
      <c r="AF389" t="str">
        <f t="shared" si="106"/>
        <v>10-18-2024</v>
      </c>
      <c r="AG389" t="str">
        <f t="shared" si="107"/>
        <v>16/11/2024</v>
      </c>
      <c r="AH389" t="str">
        <f t="shared" si="108"/>
        <v>11-22-2024</v>
      </c>
      <c r="AI389" t="str">
        <f t="shared" si="109"/>
        <v>2025/01/01</v>
      </c>
      <c r="AJ389" t="str">
        <f t="shared" si="110"/>
        <v>Not Found</v>
      </c>
      <c r="AK389" t="str">
        <f t="shared" si="111"/>
        <v>Not Found</v>
      </c>
    </row>
    <row r="390" spans="1:37" x14ac:dyDescent="0.35">
      <c r="A390" t="s">
        <v>406</v>
      </c>
      <c r="B390" t="s">
        <v>549</v>
      </c>
      <c r="C390" t="s">
        <v>1010</v>
      </c>
      <c r="D390" t="str">
        <f t="shared" si="112"/>
        <v>Oliver Thomson</v>
      </c>
      <c r="E390" t="str">
        <f t="shared" si="113"/>
        <v>Oliver</v>
      </c>
      <c r="F390" t="str">
        <f t="shared" si="114"/>
        <v>Thomson</v>
      </c>
      <c r="G390" t="s">
        <v>1022</v>
      </c>
      <c r="H390" t="str">
        <f t="shared" si="115"/>
        <v>Reporting Analyst</v>
      </c>
      <c r="I390" t="s">
        <v>1032</v>
      </c>
      <c r="J390" t="str">
        <f t="shared" si="116"/>
        <v>Operations</v>
      </c>
      <c r="K390" t="s">
        <v>1037</v>
      </c>
      <c r="L390" t="str">
        <f t="shared" si="117"/>
        <v>East Midlands</v>
      </c>
      <c r="M390" t="s">
        <v>1044</v>
      </c>
      <c r="N390" t="s">
        <v>1047</v>
      </c>
      <c r="O390" t="str">
        <f t="shared" si="118"/>
        <v>Linkedln</v>
      </c>
      <c r="P390" t="s">
        <v>1386</v>
      </c>
      <c r="Q390" s="9">
        <f t="shared" si="102"/>
        <v>45716</v>
      </c>
      <c r="S390" s="9" t="str">
        <f t="shared" si="103"/>
        <v/>
      </c>
      <c r="U390" s="9" t="str">
        <f t="shared" si="104"/>
        <v/>
      </c>
      <c r="W390" s="9" t="str">
        <f t="shared" si="105"/>
        <v/>
      </c>
      <c r="X390" t="s">
        <v>1619</v>
      </c>
      <c r="Y390" s="15">
        <v>48244</v>
      </c>
      <c r="AA390" t="s">
        <v>1622</v>
      </c>
      <c r="AB390" t="s">
        <v>1626</v>
      </c>
      <c r="AC390" s="17">
        <v>4.7</v>
      </c>
      <c r="AF390" t="str">
        <f t="shared" si="106"/>
        <v>02-28-2025</v>
      </c>
      <c r="AG390" t="str">
        <f t="shared" si="107"/>
        <v/>
      </c>
      <c r="AH390" t="str">
        <f t="shared" si="108"/>
        <v/>
      </c>
      <c r="AI390" t="str">
        <f t="shared" si="109"/>
        <v/>
      </c>
      <c r="AJ390" t="str">
        <f t="shared" si="110"/>
        <v>Not Found</v>
      </c>
      <c r="AK390" t="str">
        <f t="shared" si="111"/>
        <v>Not Found</v>
      </c>
    </row>
    <row r="391" spans="1:37" x14ac:dyDescent="0.35">
      <c r="A391" t="s">
        <v>407</v>
      </c>
      <c r="B391" t="s">
        <v>593</v>
      </c>
      <c r="C391" t="s">
        <v>1011</v>
      </c>
      <c r="D391" t="str">
        <f t="shared" si="112"/>
        <v>Lawrence Simpson</v>
      </c>
      <c r="E391" t="str">
        <f t="shared" si="113"/>
        <v>Lawrence</v>
      </c>
      <c r="F391" t="str">
        <f t="shared" si="114"/>
        <v>Simpson</v>
      </c>
      <c r="G391" t="s">
        <v>1027</v>
      </c>
      <c r="H391" t="str">
        <f t="shared" si="115"/>
        <v>Data Analyst</v>
      </c>
      <c r="I391" t="s">
        <v>1031</v>
      </c>
      <c r="J391" t="str">
        <f t="shared" si="116"/>
        <v>Technology</v>
      </c>
      <c r="K391" t="s">
        <v>1035</v>
      </c>
      <c r="L391" t="str">
        <f t="shared" si="117"/>
        <v>Yorkshire</v>
      </c>
      <c r="M391" t="s">
        <v>1041</v>
      </c>
      <c r="N391" t="s">
        <v>1052</v>
      </c>
      <c r="O391" t="str">
        <f t="shared" si="118"/>
        <v>Linkedln</v>
      </c>
      <c r="P391" t="s">
        <v>1387</v>
      </c>
      <c r="Q391" s="9">
        <f t="shared" si="102"/>
        <v>45721</v>
      </c>
      <c r="R391" t="s">
        <v>1084</v>
      </c>
      <c r="S391" s="9">
        <f t="shared" si="103"/>
        <v>45731</v>
      </c>
      <c r="U391" s="9" t="str">
        <f t="shared" si="104"/>
        <v/>
      </c>
      <c r="W391" s="9" t="str">
        <f t="shared" si="105"/>
        <v/>
      </c>
      <c r="X391" t="s">
        <v>1615</v>
      </c>
      <c r="Y391" s="15">
        <v>49686</v>
      </c>
      <c r="AA391" t="s">
        <v>1625</v>
      </c>
      <c r="AB391" t="s">
        <v>1627</v>
      </c>
      <c r="AC391" s="17">
        <v>3.8</v>
      </c>
      <c r="AF391" t="str">
        <f t="shared" si="106"/>
        <v>03-05-2025</v>
      </c>
      <c r="AG391" t="str">
        <f t="shared" si="107"/>
        <v>03-15-2025</v>
      </c>
      <c r="AH391" t="str">
        <f t="shared" si="108"/>
        <v/>
      </c>
      <c r="AI391" t="str">
        <f t="shared" si="109"/>
        <v/>
      </c>
      <c r="AJ391" t="str">
        <f t="shared" si="110"/>
        <v>Not Found</v>
      </c>
      <c r="AK391" t="str">
        <f t="shared" si="111"/>
        <v>Not Found</v>
      </c>
    </row>
    <row r="392" spans="1:37" x14ac:dyDescent="0.35">
      <c r="A392" t="s">
        <v>408</v>
      </c>
      <c r="B392" t="s">
        <v>593</v>
      </c>
      <c r="C392" t="s">
        <v>1012</v>
      </c>
      <c r="D392" t="str">
        <f t="shared" si="112"/>
        <v>Roger Sutton</v>
      </c>
      <c r="E392" t="str">
        <f t="shared" si="113"/>
        <v>Roger</v>
      </c>
      <c r="F392" t="str">
        <f t="shared" si="114"/>
        <v>Sutton</v>
      </c>
      <c r="G392" t="s">
        <v>1022</v>
      </c>
      <c r="H392" t="str">
        <f t="shared" si="115"/>
        <v>Reporting Analyst</v>
      </c>
      <c r="I392" t="s">
        <v>1029</v>
      </c>
      <c r="J392" t="str">
        <f t="shared" si="116"/>
        <v>Commercial</v>
      </c>
      <c r="K392" t="s">
        <v>1036</v>
      </c>
      <c r="L392" t="str">
        <f t="shared" si="117"/>
        <v>London</v>
      </c>
      <c r="M392" t="s">
        <v>1043</v>
      </c>
      <c r="N392" t="s">
        <v>1046</v>
      </c>
      <c r="O392" t="str">
        <f t="shared" si="118"/>
        <v>Linkedln</v>
      </c>
      <c r="P392" t="s">
        <v>1228</v>
      </c>
      <c r="Q392" s="9">
        <f t="shared" si="102"/>
        <v>45591</v>
      </c>
      <c r="R392" t="s">
        <v>1215</v>
      </c>
      <c r="S392" s="9">
        <f t="shared" si="103"/>
        <v>45605</v>
      </c>
      <c r="U392" s="9" t="str">
        <f t="shared" si="104"/>
        <v/>
      </c>
      <c r="W392" s="9" t="str">
        <f t="shared" si="105"/>
        <v/>
      </c>
      <c r="X392" t="s">
        <v>1615</v>
      </c>
      <c r="Y392" s="15">
        <v>36172</v>
      </c>
      <c r="AA392" t="s">
        <v>1621</v>
      </c>
      <c r="AB392" t="s">
        <v>1627</v>
      </c>
      <c r="AC392" s="17">
        <v>4.5</v>
      </c>
      <c r="AF392" t="str">
        <f t="shared" si="106"/>
        <v>2024/10/26</v>
      </c>
      <c r="AG392" t="str">
        <f t="shared" si="107"/>
        <v>11-09-2024</v>
      </c>
      <c r="AH392" t="str">
        <f t="shared" si="108"/>
        <v/>
      </c>
      <c r="AI392" t="str">
        <f t="shared" si="109"/>
        <v/>
      </c>
      <c r="AJ392" t="str">
        <f t="shared" si="110"/>
        <v>Not Found</v>
      </c>
      <c r="AK392" t="str">
        <f t="shared" si="111"/>
        <v>Not Found</v>
      </c>
    </row>
    <row r="393" spans="1:37" x14ac:dyDescent="0.35">
      <c r="A393" t="s">
        <v>409</v>
      </c>
      <c r="B393" t="s">
        <v>546</v>
      </c>
      <c r="C393" t="s">
        <v>1013</v>
      </c>
      <c r="D393" t="str">
        <f t="shared" si="112"/>
        <v>Dominic Bond</v>
      </c>
      <c r="E393" t="str">
        <f t="shared" si="113"/>
        <v>Dominic</v>
      </c>
      <c r="F393" t="str">
        <f t="shared" si="114"/>
        <v>Bond</v>
      </c>
      <c r="G393" t="s">
        <v>1026</v>
      </c>
      <c r="H393" t="str">
        <f t="shared" si="115"/>
        <v>BI Analyst</v>
      </c>
      <c r="I393" t="s">
        <v>1029</v>
      </c>
      <c r="J393" t="str">
        <f t="shared" si="116"/>
        <v>Commercial</v>
      </c>
      <c r="K393" t="s">
        <v>1038</v>
      </c>
      <c r="L393" t="str">
        <f t="shared" si="117"/>
        <v>East Midlands</v>
      </c>
      <c r="M393" t="s">
        <v>1042</v>
      </c>
      <c r="N393" t="s">
        <v>1048</v>
      </c>
      <c r="O393" t="str">
        <f t="shared" si="118"/>
        <v>Referral</v>
      </c>
      <c r="P393" t="s">
        <v>1271</v>
      </c>
      <c r="Q393" s="9">
        <f t="shared" si="102"/>
        <v>45764</v>
      </c>
      <c r="R393" t="s">
        <v>1516</v>
      </c>
      <c r="S393" s="9">
        <f t="shared" si="103"/>
        <v>45778</v>
      </c>
      <c r="U393" s="9" t="str">
        <f t="shared" si="104"/>
        <v/>
      </c>
      <c r="W393" s="9" t="str">
        <f t="shared" si="105"/>
        <v/>
      </c>
      <c r="X393" t="s">
        <v>1615</v>
      </c>
      <c r="Y393" s="15">
        <v>45605</v>
      </c>
      <c r="AA393" t="s">
        <v>1621</v>
      </c>
      <c r="AB393" t="s">
        <v>1627</v>
      </c>
      <c r="AC393" s="17">
        <v>4.7</v>
      </c>
      <c r="AF393" t="str">
        <f t="shared" si="106"/>
        <v>17/04/2025</v>
      </c>
      <c r="AG393" t="str">
        <f t="shared" si="107"/>
        <v>2025/05/01</v>
      </c>
      <c r="AH393" t="str">
        <f t="shared" si="108"/>
        <v/>
      </c>
      <c r="AI393" t="str">
        <f t="shared" si="109"/>
        <v/>
      </c>
      <c r="AJ393" t="str">
        <f t="shared" si="110"/>
        <v>Not Found</v>
      </c>
      <c r="AK393" t="str">
        <f t="shared" si="111"/>
        <v>Not Found</v>
      </c>
    </row>
    <row r="394" spans="1:37" x14ac:dyDescent="0.35">
      <c r="A394" t="s">
        <v>410</v>
      </c>
      <c r="B394" t="s">
        <v>436</v>
      </c>
      <c r="C394" t="s">
        <v>1014</v>
      </c>
      <c r="D394" t="str">
        <f t="shared" si="112"/>
        <v>Damien Young</v>
      </c>
      <c r="E394" t="str">
        <f t="shared" si="113"/>
        <v>Damien</v>
      </c>
      <c r="F394" t="str">
        <f t="shared" si="114"/>
        <v>Young</v>
      </c>
      <c r="G394" t="s">
        <v>1024</v>
      </c>
      <c r="H394" t="str">
        <f t="shared" si="115"/>
        <v>Business Analyst</v>
      </c>
      <c r="I394" t="s">
        <v>1030</v>
      </c>
      <c r="J394" t="str">
        <f t="shared" si="116"/>
        <v>Finance</v>
      </c>
      <c r="K394" t="s">
        <v>1038</v>
      </c>
      <c r="L394" t="str">
        <f t="shared" si="117"/>
        <v>East Midlands</v>
      </c>
      <c r="M394" t="s">
        <v>1042</v>
      </c>
      <c r="N394" t="s">
        <v>1051</v>
      </c>
      <c r="O394" t="str">
        <f t="shared" si="118"/>
        <v>CV Library</v>
      </c>
      <c r="P394" t="s">
        <v>1187</v>
      </c>
      <c r="Q394" s="9">
        <f t="shared" si="102"/>
        <v>45541</v>
      </c>
      <c r="S394" s="9" t="str">
        <f t="shared" si="103"/>
        <v/>
      </c>
      <c r="U394" s="9" t="str">
        <f t="shared" si="104"/>
        <v/>
      </c>
      <c r="W394" s="9" t="str">
        <f t="shared" si="105"/>
        <v/>
      </c>
      <c r="X394" t="s">
        <v>1619</v>
      </c>
      <c r="Y394" s="15">
        <v>43413</v>
      </c>
      <c r="AA394" t="s">
        <v>1621</v>
      </c>
      <c r="AB394" t="s">
        <v>1628</v>
      </c>
      <c r="AF394" t="str">
        <f t="shared" si="106"/>
        <v>2024/09/06</v>
      </c>
      <c r="AG394" t="str">
        <f t="shared" si="107"/>
        <v/>
      </c>
      <c r="AH394" t="str">
        <f t="shared" si="108"/>
        <v/>
      </c>
      <c r="AI394" t="str">
        <f t="shared" si="109"/>
        <v/>
      </c>
      <c r="AJ394" t="str">
        <f t="shared" si="110"/>
        <v>Not Found</v>
      </c>
      <c r="AK394" t="str">
        <f t="shared" si="111"/>
        <v>Not Found</v>
      </c>
    </row>
    <row r="395" spans="1:37" x14ac:dyDescent="0.35">
      <c r="A395" t="s">
        <v>411</v>
      </c>
      <c r="B395" t="s">
        <v>622</v>
      </c>
      <c r="C395" t="s">
        <v>1015</v>
      </c>
      <c r="D395" t="str">
        <f t="shared" si="112"/>
        <v>Kathryn Newman Davies</v>
      </c>
      <c r="E395" t="str">
        <f t="shared" si="113"/>
        <v>Kathryn</v>
      </c>
      <c r="F395" t="str">
        <f t="shared" si="114"/>
        <v>Davies</v>
      </c>
      <c r="G395" t="s">
        <v>1022</v>
      </c>
      <c r="H395" t="str">
        <f t="shared" si="115"/>
        <v>Reporting Analyst</v>
      </c>
      <c r="I395" t="s">
        <v>1029</v>
      </c>
      <c r="J395" t="str">
        <f t="shared" si="116"/>
        <v>Commercial</v>
      </c>
      <c r="K395" t="s">
        <v>1038</v>
      </c>
      <c r="L395" t="str">
        <f t="shared" si="117"/>
        <v>East Midlands</v>
      </c>
      <c r="M395" t="s">
        <v>1044</v>
      </c>
      <c r="N395" t="s">
        <v>1050</v>
      </c>
      <c r="O395" t="str">
        <f t="shared" si="118"/>
        <v>Reed</v>
      </c>
      <c r="P395" t="s">
        <v>1388</v>
      </c>
      <c r="Q395" s="9">
        <f t="shared" si="102"/>
        <v>45388</v>
      </c>
      <c r="R395" t="s">
        <v>1517</v>
      </c>
      <c r="S395" s="9">
        <f t="shared" si="103"/>
        <v>45415</v>
      </c>
      <c r="U395" s="9" t="str">
        <f t="shared" si="104"/>
        <v/>
      </c>
      <c r="W395" s="9" t="str">
        <f t="shared" si="105"/>
        <v/>
      </c>
      <c r="X395" t="s">
        <v>1615</v>
      </c>
      <c r="Y395" s="15">
        <v>50892</v>
      </c>
      <c r="AA395" t="s">
        <v>1624</v>
      </c>
      <c r="AB395" t="s">
        <v>1626</v>
      </c>
      <c r="AC395" s="17">
        <v>2.6</v>
      </c>
      <c r="AF395" t="str">
        <f t="shared" si="106"/>
        <v>04-06-2024</v>
      </c>
      <c r="AG395" t="str">
        <f t="shared" si="107"/>
        <v>2024/05/03</v>
      </c>
      <c r="AH395" t="str">
        <f t="shared" si="108"/>
        <v/>
      </c>
      <c r="AI395" t="str">
        <f t="shared" si="109"/>
        <v/>
      </c>
      <c r="AJ395" t="str">
        <f t="shared" si="110"/>
        <v>Not Found</v>
      </c>
      <c r="AK395" t="str">
        <f t="shared" si="111"/>
        <v>Not Found</v>
      </c>
    </row>
    <row r="396" spans="1:37" x14ac:dyDescent="0.35">
      <c r="A396" t="s">
        <v>412</v>
      </c>
      <c r="B396" t="s">
        <v>623</v>
      </c>
      <c r="C396" t="s">
        <v>1016</v>
      </c>
      <c r="D396" t="str">
        <f t="shared" si="112"/>
        <v>Kate Lee</v>
      </c>
      <c r="E396" t="str">
        <f t="shared" si="113"/>
        <v>Kate</v>
      </c>
      <c r="F396" t="str">
        <f t="shared" si="114"/>
        <v>Lee</v>
      </c>
      <c r="G396" t="s">
        <v>1026</v>
      </c>
      <c r="H396" t="str">
        <f t="shared" si="115"/>
        <v>BI Analyst</v>
      </c>
      <c r="I396" t="s">
        <v>1030</v>
      </c>
      <c r="J396" t="str">
        <f t="shared" si="116"/>
        <v>Finance</v>
      </c>
      <c r="K396" t="s">
        <v>1034</v>
      </c>
      <c r="L396" t="str">
        <f t="shared" si="117"/>
        <v>Scotland</v>
      </c>
      <c r="M396" t="s">
        <v>1042</v>
      </c>
      <c r="N396" t="s">
        <v>1047</v>
      </c>
      <c r="O396" t="str">
        <f t="shared" si="118"/>
        <v>Linkedln</v>
      </c>
      <c r="P396" t="s">
        <v>1389</v>
      </c>
      <c r="Q396" s="9">
        <f t="shared" si="102"/>
        <v>45295</v>
      </c>
      <c r="R396" t="s">
        <v>1518</v>
      </c>
      <c r="S396" s="9">
        <f t="shared" si="103"/>
        <v>45314</v>
      </c>
      <c r="T396" t="s">
        <v>1580</v>
      </c>
      <c r="U396" s="9">
        <f t="shared" si="104"/>
        <v>45335</v>
      </c>
      <c r="W396" s="9" t="str">
        <f t="shared" si="105"/>
        <v/>
      </c>
      <c r="X396" t="s">
        <v>1618</v>
      </c>
      <c r="Y396" s="15">
        <v>42701</v>
      </c>
      <c r="Z396" s="15">
        <v>46598</v>
      </c>
      <c r="AA396" t="s">
        <v>1625</v>
      </c>
      <c r="AB396" t="s">
        <v>1626</v>
      </c>
      <c r="AC396" s="17">
        <v>4.8</v>
      </c>
      <c r="AF396" t="str">
        <f t="shared" si="106"/>
        <v>01-04-2024</v>
      </c>
      <c r="AG396" t="str">
        <f t="shared" si="107"/>
        <v>2024/01/23</v>
      </c>
      <c r="AH396" t="str">
        <f t="shared" si="108"/>
        <v>2024/02/13</v>
      </c>
      <c r="AI396" t="str">
        <f t="shared" si="109"/>
        <v/>
      </c>
      <c r="AJ396" t="str">
        <f t="shared" si="110"/>
        <v>Not Found</v>
      </c>
      <c r="AK396" t="str">
        <f t="shared" si="111"/>
        <v>Not Found</v>
      </c>
    </row>
    <row r="397" spans="1:37" x14ac:dyDescent="0.35">
      <c r="A397" t="s">
        <v>413</v>
      </c>
      <c r="B397" t="s">
        <v>496</v>
      </c>
      <c r="C397" t="s">
        <v>1017</v>
      </c>
      <c r="D397" t="str">
        <f t="shared" si="112"/>
        <v>Abdul Williamson</v>
      </c>
      <c r="E397" t="str">
        <f t="shared" si="113"/>
        <v>Abdul</v>
      </c>
      <c r="F397" t="str">
        <f t="shared" si="114"/>
        <v>Williamson</v>
      </c>
      <c r="G397" t="s">
        <v>1027</v>
      </c>
      <c r="H397" t="str">
        <f t="shared" si="115"/>
        <v>Data Analyst</v>
      </c>
      <c r="I397" t="s">
        <v>1030</v>
      </c>
      <c r="J397" t="str">
        <f t="shared" si="116"/>
        <v>Finance</v>
      </c>
      <c r="K397" t="s">
        <v>1034</v>
      </c>
      <c r="L397" t="str">
        <f t="shared" si="117"/>
        <v>Scotland</v>
      </c>
      <c r="M397" t="s">
        <v>1042</v>
      </c>
      <c r="N397" t="s">
        <v>1050</v>
      </c>
      <c r="O397" t="str">
        <f t="shared" si="118"/>
        <v>Reed</v>
      </c>
      <c r="P397" t="s">
        <v>1390</v>
      </c>
      <c r="Q397" s="9">
        <f t="shared" si="102"/>
        <v>45684</v>
      </c>
      <c r="R397" t="s">
        <v>1519</v>
      </c>
      <c r="S397" s="9">
        <f t="shared" si="103"/>
        <v>45689</v>
      </c>
      <c r="U397" s="9" t="str">
        <f t="shared" si="104"/>
        <v/>
      </c>
      <c r="W397" s="9" t="str">
        <f t="shared" si="105"/>
        <v/>
      </c>
      <c r="X397" t="s">
        <v>1615</v>
      </c>
      <c r="Y397" s="15">
        <v>49138</v>
      </c>
      <c r="AA397" t="s">
        <v>1624</v>
      </c>
      <c r="AB397" t="s">
        <v>1627</v>
      </c>
      <c r="AC397" s="17">
        <v>3.6</v>
      </c>
      <c r="AF397" t="str">
        <f t="shared" si="106"/>
        <v>27/01/2025</v>
      </c>
      <c r="AG397" t="str">
        <f t="shared" si="107"/>
        <v>01/02/2025</v>
      </c>
      <c r="AH397" t="str">
        <f t="shared" si="108"/>
        <v/>
      </c>
      <c r="AI397" t="str">
        <f t="shared" si="109"/>
        <v/>
      </c>
      <c r="AJ397" t="str">
        <f t="shared" si="110"/>
        <v>Not Found</v>
      </c>
      <c r="AK397" t="str">
        <f t="shared" si="111"/>
        <v>Not Found</v>
      </c>
    </row>
    <row r="398" spans="1:37" x14ac:dyDescent="0.35">
      <c r="A398" t="s">
        <v>414</v>
      </c>
      <c r="B398" t="s">
        <v>446</v>
      </c>
      <c r="C398" t="s">
        <v>1018</v>
      </c>
      <c r="D398" t="str">
        <f t="shared" si="112"/>
        <v>Scott Dean</v>
      </c>
      <c r="E398" t="str">
        <f t="shared" si="113"/>
        <v>Scott</v>
      </c>
      <c r="F398" t="str">
        <f t="shared" si="114"/>
        <v>Dean</v>
      </c>
      <c r="G398" t="s">
        <v>1026</v>
      </c>
      <c r="H398" t="str">
        <f t="shared" si="115"/>
        <v>BI Analyst</v>
      </c>
      <c r="I398" t="s">
        <v>1032</v>
      </c>
      <c r="J398" t="str">
        <f t="shared" si="116"/>
        <v>Operations</v>
      </c>
      <c r="K398" t="s">
        <v>1037</v>
      </c>
      <c r="L398" t="str">
        <f t="shared" si="117"/>
        <v>East Midlands</v>
      </c>
      <c r="M398" t="s">
        <v>1044</v>
      </c>
      <c r="N398" t="s">
        <v>1047</v>
      </c>
      <c r="O398" t="str">
        <f t="shared" si="118"/>
        <v>Linkedln</v>
      </c>
      <c r="P398" t="s">
        <v>1391</v>
      </c>
      <c r="Q398" s="9">
        <f t="shared" si="102"/>
        <v>45321</v>
      </c>
      <c r="S398" s="9" t="str">
        <f t="shared" si="103"/>
        <v/>
      </c>
      <c r="U398" s="9" t="str">
        <f t="shared" si="104"/>
        <v/>
      </c>
      <c r="W398" s="9" t="str">
        <f t="shared" si="105"/>
        <v/>
      </c>
      <c r="X398" t="s">
        <v>1619</v>
      </c>
      <c r="Y398" s="15">
        <v>46013</v>
      </c>
      <c r="AA398" t="s">
        <v>1621</v>
      </c>
      <c r="AB398" t="s">
        <v>1626</v>
      </c>
      <c r="AC398" s="17">
        <v>2.2999999999999998</v>
      </c>
      <c r="AF398" t="str">
        <f t="shared" si="106"/>
        <v>30/01/2024</v>
      </c>
      <c r="AG398" t="str">
        <f t="shared" si="107"/>
        <v/>
      </c>
      <c r="AH398" t="str">
        <f t="shared" si="108"/>
        <v/>
      </c>
      <c r="AI398" t="str">
        <f t="shared" si="109"/>
        <v/>
      </c>
      <c r="AJ398" t="str">
        <f t="shared" si="110"/>
        <v>Not Found</v>
      </c>
      <c r="AK398" t="str">
        <f t="shared" si="111"/>
        <v>Not Found</v>
      </c>
    </row>
    <row r="399" spans="1:37" x14ac:dyDescent="0.35">
      <c r="A399" t="s">
        <v>415</v>
      </c>
      <c r="B399" t="s">
        <v>508</v>
      </c>
      <c r="C399" t="s">
        <v>1019</v>
      </c>
      <c r="D399" t="str">
        <f t="shared" si="112"/>
        <v>Alex Smith</v>
      </c>
      <c r="E399" t="str">
        <f t="shared" si="113"/>
        <v>Alex</v>
      </c>
      <c r="F399" t="str">
        <f t="shared" si="114"/>
        <v>Smith</v>
      </c>
      <c r="G399" t="s">
        <v>1026</v>
      </c>
      <c r="H399" t="str">
        <f t="shared" si="115"/>
        <v>BI Analyst</v>
      </c>
      <c r="I399" t="s">
        <v>1028</v>
      </c>
      <c r="J399" t="str">
        <f t="shared" si="116"/>
        <v>HR</v>
      </c>
      <c r="K399" t="s">
        <v>1035</v>
      </c>
      <c r="L399" t="str">
        <f t="shared" si="117"/>
        <v>Yorkshire</v>
      </c>
      <c r="M399" t="s">
        <v>1041</v>
      </c>
      <c r="N399" t="s">
        <v>1046</v>
      </c>
      <c r="O399" t="str">
        <f t="shared" si="118"/>
        <v>Linkedln</v>
      </c>
      <c r="P399" t="s">
        <v>1392</v>
      </c>
      <c r="Q399" s="9">
        <f t="shared" si="102"/>
        <v>45564</v>
      </c>
      <c r="R399" t="s">
        <v>1128</v>
      </c>
      <c r="S399" s="9">
        <f t="shared" si="103"/>
        <v>45589</v>
      </c>
      <c r="U399" s="9" t="str">
        <f t="shared" si="104"/>
        <v/>
      </c>
      <c r="W399" s="9" t="str">
        <f t="shared" si="105"/>
        <v/>
      </c>
      <c r="X399" t="s">
        <v>1615</v>
      </c>
      <c r="Y399" s="15">
        <v>40076</v>
      </c>
      <c r="AA399" t="s">
        <v>1625</v>
      </c>
      <c r="AB399" t="s">
        <v>1628</v>
      </c>
      <c r="AC399" s="17">
        <v>2.5</v>
      </c>
      <c r="AF399" t="str">
        <f t="shared" si="106"/>
        <v>29/09/2024</v>
      </c>
      <c r="AG399" t="str">
        <f t="shared" si="107"/>
        <v>10-24-2024</v>
      </c>
      <c r="AH399" t="str">
        <f t="shared" si="108"/>
        <v/>
      </c>
      <c r="AI399" t="str">
        <f t="shared" si="109"/>
        <v/>
      </c>
      <c r="AJ399" t="str">
        <f t="shared" si="110"/>
        <v>Not Found</v>
      </c>
      <c r="AK399" t="str">
        <f t="shared" si="111"/>
        <v>Not Found</v>
      </c>
    </row>
    <row r="400" spans="1:37" x14ac:dyDescent="0.35">
      <c r="A400" t="s">
        <v>416</v>
      </c>
      <c r="B400" t="s">
        <v>582</v>
      </c>
      <c r="C400" t="s">
        <v>1020</v>
      </c>
      <c r="D400" t="str">
        <f t="shared" si="112"/>
        <v>Bethan Begum</v>
      </c>
      <c r="E400" t="str">
        <f t="shared" si="113"/>
        <v>Bethan</v>
      </c>
      <c r="F400" t="str">
        <f t="shared" si="114"/>
        <v>Begum</v>
      </c>
      <c r="G400" t="s">
        <v>1027</v>
      </c>
      <c r="H400" t="str">
        <f t="shared" si="115"/>
        <v>Data Analyst</v>
      </c>
      <c r="I400" t="s">
        <v>1031</v>
      </c>
      <c r="J400" t="str">
        <f t="shared" si="116"/>
        <v>Technology</v>
      </c>
      <c r="K400" t="s">
        <v>1034</v>
      </c>
      <c r="L400" t="str">
        <f t="shared" si="117"/>
        <v>Scotland</v>
      </c>
      <c r="M400" t="s">
        <v>1043</v>
      </c>
      <c r="N400" t="s">
        <v>1050</v>
      </c>
      <c r="O400" t="str">
        <f t="shared" si="118"/>
        <v>Reed</v>
      </c>
      <c r="P400" t="s">
        <v>1393</v>
      </c>
      <c r="Q400" s="9">
        <f t="shared" si="102"/>
        <v>45475</v>
      </c>
      <c r="S400" s="9" t="str">
        <f t="shared" si="103"/>
        <v/>
      </c>
      <c r="U400" s="9" t="str">
        <f t="shared" si="104"/>
        <v/>
      </c>
      <c r="W400" s="9" t="str">
        <f t="shared" si="105"/>
        <v/>
      </c>
      <c r="X400" t="s">
        <v>1616</v>
      </c>
      <c r="Y400" s="15">
        <v>35106</v>
      </c>
      <c r="AA400" t="s">
        <v>1624</v>
      </c>
      <c r="AB400" t="s">
        <v>1628</v>
      </c>
      <c r="AF400" t="str">
        <f t="shared" si="106"/>
        <v>2024/07/02</v>
      </c>
      <c r="AG400" t="str">
        <f t="shared" si="107"/>
        <v/>
      </c>
      <c r="AH400" t="str">
        <f t="shared" si="108"/>
        <v/>
      </c>
      <c r="AI400" t="str">
        <f t="shared" si="109"/>
        <v/>
      </c>
      <c r="AJ400" t="str">
        <f t="shared" si="110"/>
        <v>Not Found</v>
      </c>
      <c r="AK400" t="str">
        <f t="shared" si="111"/>
        <v>Not Found</v>
      </c>
    </row>
    <row r="401" spans="1:37" x14ac:dyDescent="0.35">
      <c r="A401" t="s">
        <v>417</v>
      </c>
      <c r="B401" t="s">
        <v>608</v>
      </c>
      <c r="C401" t="s">
        <v>1021</v>
      </c>
      <c r="D401" t="str">
        <f t="shared" si="112"/>
        <v>Jeffrey Taylor</v>
      </c>
      <c r="E401" t="str">
        <f t="shared" si="113"/>
        <v>Jeffrey</v>
      </c>
      <c r="F401" t="str">
        <f t="shared" si="114"/>
        <v>Taylor</v>
      </c>
      <c r="G401" t="s">
        <v>1024</v>
      </c>
      <c r="H401" t="str">
        <f t="shared" si="115"/>
        <v>Business Analyst</v>
      </c>
      <c r="I401" t="s">
        <v>1032</v>
      </c>
      <c r="J401" t="str">
        <f t="shared" si="116"/>
        <v>Operations</v>
      </c>
      <c r="K401" t="s">
        <v>1039</v>
      </c>
      <c r="L401" t="str">
        <f t="shared" si="117"/>
        <v>South East</v>
      </c>
      <c r="M401" t="s">
        <v>1041</v>
      </c>
      <c r="N401" t="s">
        <v>1052</v>
      </c>
      <c r="O401" t="str">
        <f t="shared" si="118"/>
        <v>Linkedln</v>
      </c>
      <c r="P401" t="s">
        <v>1389</v>
      </c>
      <c r="Q401" s="9">
        <f t="shared" si="102"/>
        <v>45295</v>
      </c>
      <c r="S401" s="9" t="str">
        <f t="shared" si="103"/>
        <v/>
      </c>
      <c r="U401" s="9" t="str">
        <f t="shared" si="104"/>
        <v/>
      </c>
      <c r="W401" s="9" t="str">
        <f t="shared" si="105"/>
        <v/>
      </c>
      <c r="X401" t="s">
        <v>1617</v>
      </c>
      <c r="Y401" s="15">
        <v>34573</v>
      </c>
      <c r="AA401" t="s">
        <v>1623</v>
      </c>
      <c r="AB401" t="s">
        <v>1628</v>
      </c>
      <c r="AC401" s="17">
        <v>2.2999999999999998</v>
      </c>
      <c r="AF401" t="str">
        <f t="shared" si="106"/>
        <v>01-04-2024</v>
      </c>
      <c r="AG401" t="str">
        <f t="shared" si="107"/>
        <v/>
      </c>
      <c r="AH401" t="str">
        <f t="shared" si="108"/>
        <v/>
      </c>
      <c r="AI401" t="str">
        <f t="shared" si="109"/>
        <v/>
      </c>
      <c r="AJ401" t="str">
        <f t="shared" si="110"/>
        <v>Not Found</v>
      </c>
      <c r="AK401" t="str">
        <f t="shared" si="111"/>
        <v>Not Found</v>
      </c>
    </row>
  </sheetData>
  <autoFilter ref="A1:AC401" xr:uid="{00000000-0001-0000-0000-000000000000}">
    <sortState xmlns:xlrd2="http://schemas.microsoft.com/office/spreadsheetml/2017/richdata2" ref="A2:AC401">
      <sortCondition ref="A1:A401"/>
    </sortState>
  </autoFilter>
  <conditionalFormatting sqref="A1:A401 A417:A1048576">
    <cfRule type="duplicateValues" dxfId="2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2F407-D241-423B-87E1-BB63E257D77D}">
  <dimension ref="A1:AD401"/>
  <sheetViews>
    <sheetView topLeftCell="M1" zoomScale="130" zoomScaleNormal="130" workbookViewId="0">
      <pane ySplit="1" topLeftCell="A92" activePane="bottomLeft" state="frozen"/>
      <selection pane="bottomLeft" activeCell="V1" sqref="V1:V1048576"/>
    </sheetView>
  </sheetViews>
  <sheetFormatPr defaultColWidth="16.90625" defaultRowHeight="14.5" x14ac:dyDescent="0.35"/>
  <cols>
    <col min="3" max="3" width="23.26953125" customWidth="1"/>
    <col min="12" max="12" width="16.90625" style="20"/>
    <col min="13" max="13" width="16.90625" style="10"/>
    <col min="14" max="14" width="16.90625" style="9"/>
    <col min="16" max="16" width="16.90625" style="9"/>
    <col min="17" max="17" width="16.90625" style="26"/>
    <col min="19" max="20" width="16.90625" style="15"/>
    <col min="23" max="23" width="16.90625" style="17"/>
    <col min="24" max="26" width="16.90625" style="10"/>
  </cols>
  <sheetData>
    <row r="1" spans="1:30" s="3" customFormat="1" ht="34.5" customHeight="1" x14ac:dyDescent="0.35">
      <c r="A1" s="2" t="s">
        <v>0</v>
      </c>
      <c r="B1" s="2" t="s">
        <v>1</v>
      </c>
      <c r="C1" s="2" t="s">
        <v>1720</v>
      </c>
      <c r="D1" s="2" t="s">
        <v>1718</v>
      </c>
      <c r="E1" s="2" t="s">
        <v>1719</v>
      </c>
      <c r="F1" s="2" t="s">
        <v>1721</v>
      </c>
      <c r="G1" s="2" t="s">
        <v>1722</v>
      </c>
      <c r="H1" s="2" t="s">
        <v>1723</v>
      </c>
      <c r="I1" s="2" t="s">
        <v>6</v>
      </c>
      <c r="J1" s="2" t="s">
        <v>1724</v>
      </c>
      <c r="K1" s="2" t="s">
        <v>1727</v>
      </c>
      <c r="L1" s="19" t="s">
        <v>2378</v>
      </c>
      <c r="M1" s="19" t="s">
        <v>2390</v>
      </c>
      <c r="N1" s="11" t="s">
        <v>2381</v>
      </c>
      <c r="O1" s="2" t="s">
        <v>2351</v>
      </c>
      <c r="P1" s="11" t="s">
        <v>2352</v>
      </c>
      <c r="Q1" s="25" t="s">
        <v>2382</v>
      </c>
      <c r="R1" s="2" t="s">
        <v>12</v>
      </c>
      <c r="S1" s="14" t="s">
        <v>13</v>
      </c>
      <c r="T1" s="14" t="s">
        <v>14</v>
      </c>
      <c r="U1" s="2" t="s">
        <v>15</v>
      </c>
      <c r="V1" s="2" t="s">
        <v>16</v>
      </c>
      <c r="W1" s="16" t="s">
        <v>17</v>
      </c>
      <c r="X1" s="12" t="s">
        <v>2371</v>
      </c>
      <c r="Y1" s="12" t="s">
        <v>2372</v>
      </c>
      <c r="Z1" s="12" t="s">
        <v>2373</v>
      </c>
      <c r="AA1" s="2" t="s">
        <v>2370</v>
      </c>
      <c r="AB1" s="2" t="s">
        <v>2374</v>
      </c>
      <c r="AC1" s="2" t="s">
        <v>2369</v>
      </c>
      <c r="AD1" s="13"/>
    </row>
    <row r="2" spans="1:30" x14ac:dyDescent="0.35">
      <c r="A2" t="s">
        <v>18</v>
      </c>
      <c r="B2" t="s">
        <v>418</v>
      </c>
      <c r="C2" t="s">
        <v>1738</v>
      </c>
      <c r="D2" t="s">
        <v>1739</v>
      </c>
      <c r="E2" t="s">
        <v>1740</v>
      </c>
      <c r="F2" t="s">
        <v>1022</v>
      </c>
      <c r="G2" t="s">
        <v>1028</v>
      </c>
      <c r="H2" t="s">
        <v>1741</v>
      </c>
      <c r="I2" t="s">
        <v>1041</v>
      </c>
      <c r="J2" t="s">
        <v>1742</v>
      </c>
      <c r="K2" s="9">
        <v>45534</v>
      </c>
      <c r="L2" s="20">
        <f>DATE(YEAR(K2), MONTH(K2), 1)</f>
        <v>45505</v>
      </c>
      <c r="M2" s="10">
        <f>YEAR(K2)</f>
        <v>2024</v>
      </c>
      <c r="N2" s="9">
        <v>45555</v>
      </c>
      <c r="O2" s="9" t="s">
        <v>2350</v>
      </c>
      <c r="P2" s="9" t="s">
        <v>2350</v>
      </c>
      <c r="Q2" s="26" t="str">
        <f>IF(OR(P2="", K2=""),"", P2-K2)</f>
        <v/>
      </c>
      <c r="R2" t="s">
        <v>1615</v>
      </c>
      <c r="S2" s="15">
        <v>49836</v>
      </c>
      <c r="U2" t="s">
        <v>1621</v>
      </c>
      <c r="V2" t="s">
        <v>1626</v>
      </c>
      <c r="W2" s="17">
        <v>3.1</v>
      </c>
      <c r="X2" s="10">
        <f>IF(R2=" ",0,1)</f>
        <v>1</v>
      </c>
      <c r="Y2" s="10">
        <f>IF(R2="Withdrawn",1,0)</f>
        <v>0</v>
      </c>
      <c r="Z2" s="10">
        <f>IF(R2=$R$6,1,0)</f>
        <v>0</v>
      </c>
      <c r="AA2">
        <f t="shared" ref="AA2:AA65" si="0">IF(OR(R2="Interviewed",R2="offered",R2="hired"),1,0)</f>
        <v>1</v>
      </c>
      <c r="AB2">
        <f>IF(R2=$R$5,1,0)</f>
        <v>0</v>
      </c>
      <c r="AC2">
        <f t="shared" ref="AC2:AC65" si="1">IF(R2="hired", 1, 0)</f>
        <v>0</v>
      </c>
    </row>
    <row r="3" spans="1:30" x14ac:dyDescent="0.35">
      <c r="A3" t="s">
        <v>19</v>
      </c>
      <c r="B3" t="s">
        <v>419</v>
      </c>
      <c r="C3" t="s">
        <v>625</v>
      </c>
      <c r="D3" t="s">
        <v>1743</v>
      </c>
      <c r="E3" t="s">
        <v>1744</v>
      </c>
      <c r="F3" t="s">
        <v>1023</v>
      </c>
      <c r="G3" t="s">
        <v>1028</v>
      </c>
      <c r="H3" t="s">
        <v>1034</v>
      </c>
      <c r="I3" t="s">
        <v>1042</v>
      </c>
      <c r="J3" t="s">
        <v>1742</v>
      </c>
      <c r="K3" s="9">
        <v>45480</v>
      </c>
      <c r="L3" s="20">
        <f t="shared" ref="L3:L66" si="2">DATE(YEAR(K3), MONTH(K3), 1)</f>
        <v>45474</v>
      </c>
      <c r="M3" s="10">
        <f t="shared" ref="M3:M66" si="3">YEAR(K3)</f>
        <v>2024</v>
      </c>
      <c r="N3" s="9" t="s">
        <v>2350</v>
      </c>
      <c r="O3" s="9" t="s">
        <v>2350</v>
      </c>
      <c r="P3" s="9" t="s">
        <v>2350</v>
      </c>
      <c r="Q3" s="26" t="str">
        <f t="shared" ref="Q3:Q66" si="4">IF(OR(P3="", K3=""),"", P3-K3)</f>
        <v/>
      </c>
      <c r="R3" t="s">
        <v>1616</v>
      </c>
      <c r="S3" s="15">
        <v>34889</v>
      </c>
      <c r="U3" t="s">
        <v>1622</v>
      </c>
      <c r="V3" t="s">
        <v>1627</v>
      </c>
      <c r="W3" s="17">
        <v>2.2999999999999998</v>
      </c>
      <c r="X3" s="10">
        <f t="shared" ref="X3:X66" si="5">IF(R3=" ",0,1)</f>
        <v>1</v>
      </c>
      <c r="Y3" s="10">
        <f t="shared" ref="Y3:Y66" si="6">IF(R3="Withdrawn",1,0)</f>
        <v>0</v>
      </c>
      <c r="Z3" s="10">
        <f t="shared" ref="Z3:Z66" si="7">IF(R3=$R$6,1,0)</f>
        <v>0</v>
      </c>
      <c r="AA3">
        <f t="shared" si="0"/>
        <v>0</v>
      </c>
      <c r="AB3">
        <f t="shared" ref="AB3:AB66" si="8">IF(R3=$R$5,1,0)</f>
        <v>0</v>
      </c>
      <c r="AC3">
        <f t="shared" si="1"/>
        <v>0</v>
      </c>
    </row>
    <row r="4" spans="1:30" x14ac:dyDescent="0.35">
      <c r="A4" t="s">
        <v>20</v>
      </c>
      <c r="B4" t="s">
        <v>420</v>
      </c>
      <c r="C4" t="s">
        <v>1745</v>
      </c>
      <c r="D4" t="s">
        <v>1746</v>
      </c>
      <c r="E4" t="s">
        <v>1747</v>
      </c>
      <c r="F4" t="s">
        <v>1024</v>
      </c>
      <c r="G4" t="s">
        <v>1029</v>
      </c>
      <c r="H4" t="s">
        <v>1035</v>
      </c>
      <c r="I4" t="s">
        <v>1041</v>
      </c>
      <c r="J4" t="s">
        <v>1048</v>
      </c>
      <c r="K4" s="9">
        <v>45338</v>
      </c>
      <c r="L4" s="20">
        <f t="shared" si="2"/>
        <v>45323</v>
      </c>
      <c r="M4" s="10">
        <f t="shared" si="3"/>
        <v>2024</v>
      </c>
      <c r="N4" s="9" t="s">
        <v>2350</v>
      </c>
      <c r="O4" s="9" t="s">
        <v>2350</v>
      </c>
      <c r="P4" s="9" t="s">
        <v>2350</v>
      </c>
      <c r="Q4" s="26" t="str">
        <f t="shared" si="4"/>
        <v/>
      </c>
      <c r="R4" t="s">
        <v>1617</v>
      </c>
      <c r="S4" s="15">
        <v>41887</v>
      </c>
      <c r="U4" t="s">
        <v>1623</v>
      </c>
      <c r="V4" t="s">
        <v>1628</v>
      </c>
      <c r="W4" s="17">
        <v>4.8</v>
      </c>
      <c r="X4" s="10">
        <f t="shared" si="5"/>
        <v>1</v>
      </c>
      <c r="Y4" s="10">
        <f t="shared" si="6"/>
        <v>1</v>
      </c>
      <c r="Z4" s="10">
        <f t="shared" si="7"/>
        <v>0</v>
      </c>
      <c r="AA4">
        <f t="shared" si="0"/>
        <v>0</v>
      </c>
      <c r="AB4">
        <f t="shared" si="8"/>
        <v>0</v>
      </c>
      <c r="AC4">
        <f t="shared" si="1"/>
        <v>0</v>
      </c>
    </row>
    <row r="5" spans="1:30" x14ac:dyDescent="0.35">
      <c r="A5" t="s">
        <v>21</v>
      </c>
      <c r="B5" t="s">
        <v>421</v>
      </c>
      <c r="C5" t="s">
        <v>1748</v>
      </c>
      <c r="D5" t="s">
        <v>1749</v>
      </c>
      <c r="E5" t="s">
        <v>1750</v>
      </c>
      <c r="F5" t="s">
        <v>1022</v>
      </c>
      <c r="G5" t="s">
        <v>1029</v>
      </c>
      <c r="H5" t="s">
        <v>1036</v>
      </c>
      <c r="I5" t="s">
        <v>1042</v>
      </c>
      <c r="J5" t="s">
        <v>1742</v>
      </c>
      <c r="K5" s="9">
        <v>45379</v>
      </c>
      <c r="L5" s="20">
        <f t="shared" si="2"/>
        <v>45352</v>
      </c>
      <c r="M5" s="10">
        <f t="shared" si="3"/>
        <v>2024</v>
      </c>
      <c r="N5" s="9">
        <v>45386</v>
      </c>
      <c r="O5" s="9">
        <v>45406</v>
      </c>
      <c r="P5" s="9" t="s">
        <v>2350</v>
      </c>
      <c r="Q5" s="26" t="str">
        <f t="shared" si="4"/>
        <v/>
      </c>
      <c r="R5" t="s">
        <v>1618</v>
      </c>
      <c r="S5" s="15">
        <v>47904</v>
      </c>
      <c r="T5" s="15">
        <v>48335</v>
      </c>
      <c r="U5" t="s">
        <v>1624</v>
      </c>
      <c r="V5" t="s">
        <v>1628</v>
      </c>
      <c r="W5" s="17">
        <v>4</v>
      </c>
      <c r="X5" s="10">
        <f t="shared" si="5"/>
        <v>1</v>
      </c>
      <c r="Y5" s="10">
        <f t="shared" si="6"/>
        <v>0</v>
      </c>
      <c r="Z5" s="10">
        <f t="shared" si="7"/>
        <v>0</v>
      </c>
      <c r="AA5">
        <f t="shared" si="0"/>
        <v>1</v>
      </c>
      <c r="AB5">
        <f t="shared" si="8"/>
        <v>1</v>
      </c>
      <c r="AC5">
        <f t="shared" si="1"/>
        <v>0</v>
      </c>
    </row>
    <row r="6" spans="1:30" x14ac:dyDescent="0.35">
      <c r="A6" t="s">
        <v>22</v>
      </c>
      <c r="B6" t="s">
        <v>418</v>
      </c>
      <c r="C6" t="s">
        <v>628</v>
      </c>
      <c r="D6" t="s">
        <v>1751</v>
      </c>
      <c r="E6" t="s">
        <v>1752</v>
      </c>
      <c r="F6" t="s">
        <v>1023</v>
      </c>
      <c r="G6" t="s">
        <v>1029</v>
      </c>
      <c r="H6" t="s">
        <v>1037</v>
      </c>
      <c r="I6" t="s">
        <v>1042</v>
      </c>
      <c r="J6" t="s">
        <v>1049</v>
      </c>
      <c r="K6" s="9">
        <v>45489</v>
      </c>
      <c r="L6" s="20">
        <f t="shared" si="2"/>
        <v>45474</v>
      </c>
      <c r="M6" s="10">
        <f t="shared" si="3"/>
        <v>2024</v>
      </c>
      <c r="N6" s="9" t="s">
        <v>2350</v>
      </c>
      <c r="O6" s="9" t="s">
        <v>2350</v>
      </c>
      <c r="P6" s="9" t="s">
        <v>2350</v>
      </c>
      <c r="Q6" s="26" t="str">
        <f t="shared" si="4"/>
        <v/>
      </c>
      <c r="R6" t="s">
        <v>1619</v>
      </c>
      <c r="S6" s="15">
        <v>31730</v>
      </c>
      <c r="U6" t="s">
        <v>1625</v>
      </c>
      <c r="V6" t="s">
        <v>1627</v>
      </c>
      <c r="W6" s="17">
        <v>2.8</v>
      </c>
      <c r="X6" s="10">
        <f t="shared" si="5"/>
        <v>1</v>
      </c>
      <c r="Y6" s="10">
        <f t="shared" si="6"/>
        <v>0</v>
      </c>
      <c r="Z6" s="10">
        <f t="shared" si="7"/>
        <v>1</v>
      </c>
      <c r="AA6">
        <f t="shared" si="0"/>
        <v>0</v>
      </c>
      <c r="AB6">
        <f t="shared" si="8"/>
        <v>0</v>
      </c>
      <c r="AC6">
        <f t="shared" si="1"/>
        <v>0</v>
      </c>
    </row>
    <row r="7" spans="1:30" x14ac:dyDescent="0.35">
      <c r="A7" t="s">
        <v>23</v>
      </c>
      <c r="B7" t="s">
        <v>422</v>
      </c>
      <c r="C7" t="s">
        <v>629</v>
      </c>
      <c r="D7" t="s">
        <v>1753</v>
      </c>
      <c r="E7" t="s">
        <v>1754</v>
      </c>
      <c r="F7" t="s">
        <v>1023</v>
      </c>
      <c r="G7" t="s">
        <v>1030</v>
      </c>
      <c r="H7" t="s">
        <v>1037</v>
      </c>
      <c r="I7" t="s">
        <v>1043</v>
      </c>
      <c r="J7" t="s">
        <v>1742</v>
      </c>
      <c r="K7" s="9">
        <v>45557</v>
      </c>
      <c r="L7" s="20">
        <f t="shared" si="2"/>
        <v>45536</v>
      </c>
      <c r="M7" s="10">
        <f t="shared" si="3"/>
        <v>2024</v>
      </c>
      <c r="N7" s="9" t="s">
        <v>2350</v>
      </c>
      <c r="O7" s="9" t="s">
        <v>2350</v>
      </c>
      <c r="P7" s="9" t="s">
        <v>2350</v>
      </c>
      <c r="Q7" s="26" t="str">
        <f t="shared" si="4"/>
        <v/>
      </c>
      <c r="R7" t="s">
        <v>1616</v>
      </c>
      <c r="S7" s="15">
        <v>50139</v>
      </c>
      <c r="U7" t="s">
        <v>1623</v>
      </c>
      <c r="V7" t="s">
        <v>1626</v>
      </c>
      <c r="W7" s="17">
        <v>3.3</v>
      </c>
      <c r="X7" s="10">
        <f t="shared" si="5"/>
        <v>1</v>
      </c>
      <c r="Y7" s="10">
        <f t="shared" si="6"/>
        <v>0</v>
      </c>
      <c r="Z7" s="10">
        <f t="shared" si="7"/>
        <v>0</v>
      </c>
      <c r="AA7">
        <f t="shared" si="0"/>
        <v>0</v>
      </c>
      <c r="AB7">
        <f t="shared" si="8"/>
        <v>0</v>
      </c>
      <c r="AC7">
        <f t="shared" si="1"/>
        <v>0</v>
      </c>
    </row>
    <row r="8" spans="1:30" x14ac:dyDescent="0.35">
      <c r="A8" t="s">
        <v>24</v>
      </c>
      <c r="B8" t="s">
        <v>423</v>
      </c>
      <c r="C8" t="s">
        <v>630</v>
      </c>
      <c r="D8" t="s">
        <v>1755</v>
      </c>
      <c r="E8" t="s">
        <v>1756</v>
      </c>
      <c r="F8" t="s">
        <v>1025</v>
      </c>
      <c r="G8" t="s">
        <v>1031</v>
      </c>
      <c r="H8" t="s">
        <v>1741</v>
      </c>
      <c r="I8" t="s">
        <v>1044</v>
      </c>
      <c r="J8" t="s">
        <v>1742</v>
      </c>
      <c r="K8" s="9">
        <v>45433</v>
      </c>
      <c r="L8" s="20">
        <f t="shared" si="2"/>
        <v>45413</v>
      </c>
      <c r="M8" s="10">
        <f t="shared" si="3"/>
        <v>2024</v>
      </c>
      <c r="N8" s="9">
        <v>1300918</v>
      </c>
      <c r="O8" s="9">
        <v>45468</v>
      </c>
      <c r="P8" s="9" t="s">
        <v>2350</v>
      </c>
      <c r="Q8" s="26" t="str">
        <f t="shared" si="4"/>
        <v/>
      </c>
      <c r="R8" t="s">
        <v>1618</v>
      </c>
      <c r="S8" s="15">
        <v>51785</v>
      </c>
      <c r="T8" s="15">
        <v>49211</v>
      </c>
      <c r="U8" t="s">
        <v>1624</v>
      </c>
      <c r="V8" t="s">
        <v>1627</v>
      </c>
      <c r="W8" s="17">
        <v>3.6</v>
      </c>
      <c r="X8" s="10">
        <f t="shared" si="5"/>
        <v>1</v>
      </c>
      <c r="Y8" s="10">
        <f t="shared" si="6"/>
        <v>0</v>
      </c>
      <c r="Z8" s="10">
        <f t="shared" si="7"/>
        <v>0</v>
      </c>
      <c r="AA8">
        <f t="shared" si="0"/>
        <v>1</v>
      </c>
      <c r="AB8">
        <f t="shared" si="8"/>
        <v>1</v>
      </c>
      <c r="AC8">
        <f t="shared" si="1"/>
        <v>0</v>
      </c>
    </row>
    <row r="9" spans="1:30" x14ac:dyDescent="0.35">
      <c r="A9" t="s">
        <v>25</v>
      </c>
      <c r="B9" t="s">
        <v>424</v>
      </c>
      <c r="C9" t="s">
        <v>631</v>
      </c>
      <c r="D9" t="s">
        <v>1757</v>
      </c>
      <c r="E9" t="s">
        <v>1758</v>
      </c>
      <c r="F9" t="s">
        <v>1025</v>
      </c>
      <c r="G9" t="s">
        <v>1032</v>
      </c>
      <c r="H9" t="s">
        <v>1037</v>
      </c>
      <c r="I9" t="s">
        <v>1042</v>
      </c>
      <c r="J9" t="s">
        <v>1048</v>
      </c>
      <c r="K9" s="9">
        <v>45388</v>
      </c>
      <c r="L9" s="20">
        <f t="shared" si="2"/>
        <v>45383</v>
      </c>
      <c r="M9" s="10">
        <f t="shared" si="3"/>
        <v>2024</v>
      </c>
      <c r="N9" s="9" t="s">
        <v>2350</v>
      </c>
      <c r="O9" s="9" t="s">
        <v>2350</v>
      </c>
      <c r="P9" s="9" t="s">
        <v>2350</v>
      </c>
      <c r="Q9" s="26" t="str">
        <f t="shared" si="4"/>
        <v/>
      </c>
      <c r="R9" t="s">
        <v>1619</v>
      </c>
      <c r="S9" s="15">
        <v>35205</v>
      </c>
      <c r="U9" t="s">
        <v>1622</v>
      </c>
      <c r="V9" t="s">
        <v>1627</v>
      </c>
      <c r="X9" s="10">
        <f t="shared" si="5"/>
        <v>1</v>
      </c>
      <c r="Y9" s="10">
        <f t="shared" si="6"/>
        <v>0</v>
      </c>
      <c r="Z9" s="10">
        <f t="shared" si="7"/>
        <v>1</v>
      </c>
      <c r="AA9">
        <f t="shared" si="0"/>
        <v>0</v>
      </c>
      <c r="AB9">
        <f t="shared" si="8"/>
        <v>0</v>
      </c>
      <c r="AC9">
        <f t="shared" si="1"/>
        <v>0</v>
      </c>
    </row>
    <row r="10" spans="1:30" x14ac:dyDescent="0.35">
      <c r="A10" t="s">
        <v>26</v>
      </c>
      <c r="B10" t="s">
        <v>425</v>
      </c>
      <c r="C10" t="s">
        <v>632</v>
      </c>
      <c r="D10" t="s">
        <v>1759</v>
      </c>
      <c r="E10" t="s">
        <v>1760</v>
      </c>
      <c r="F10" t="s">
        <v>1026</v>
      </c>
      <c r="G10" t="s">
        <v>1028</v>
      </c>
      <c r="H10" t="s">
        <v>1039</v>
      </c>
      <c r="I10" t="s">
        <v>1043</v>
      </c>
      <c r="J10" t="s">
        <v>1050</v>
      </c>
      <c r="K10" s="9">
        <v>45476</v>
      </c>
      <c r="L10" s="20">
        <f t="shared" si="2"/>
        <v>45474</v>
      </c>
      <c r="M10" s="10">
        <f t="shared" si="3"/>
        <v>2024</v>
      </c>
      <c r="N10" s="9" t="s">
        <v>2350</v>
      </c>
      <c r="O10" s="9" t="s">
        <v>2350</v>
      </c>
      <c r="P10" s="9" t="s">
        <v>2350</v>
      </c>
      <c r="Q10" s="26" t="str">
        <f t="shared" si="4"/>
        <v/>
      </c>
      <c r="R10" t="s">
        <v>1617</v>
      </c>
      <c r="S10" s="15">
        <v>44501</v>
      </c>
      <c r="U10" t="s">
        <v>1625</v>
      </c>
      <c r="V10" t="s">
        <v>1626</v>
      </c>
      <c r="W10" s="17">
        <v>2.5</v>
      </c>
      <c r="X10" s="10">
        <f t="shared" si="5"/>
        <v>1</v>
      </c>
      <c r="Y10" s="10">
        <f t="shared" si="6"/>
        <v>1</v>
      </c>
      <c r="Z10" s="10">
        <f t="shared" si="7"/>
        <v>0</v>
      </c>
      <c r="AA10">
        <f t="shared" si="0"/>
        <v>0</v>
      </c>
      <c r="AB10">
        <f t="shared" si="8"/>
        <v>0</v>
      </c>
      <c r="AC10">
        <f t="shared" si="1"/>
        <v>0</v>
      </c>
    </row>
    <row r="11" spans="1:30" x14ac:dyDescent="0.35">
      <c r="A11" t="s">
        <v>27</v>
      </c>
      <c r="B11" t="s">
        <v>426</v>
      </c>
      <c r="C11" t="s">
        <v>1761</v>
      </c>
      <c r="D11" t="s">
        <v>1762</v>
      </c>
      <c r="E11" t="s">
        <v>1763</v>
      </c>
      <c r="F11" t="s">
        <v>1023</v>
      </c>
      <c r="G11" t="s">
        <v>1030</v>
      </c>
      <c r="H11" t="s">
        <v>1040</v>
      </c>
      <c r="I11" t="s">
        <v>1045</v>
      </c>
      <c r="J11" t="s">
        <v>1050</v>
      </c>
      <c r="K11" s="9">
        <v>45613</v>
      </c>
      <c r="L11" s="20">
        <f t="shared" si="2"/>
        <v>45597</v>
      </c>
      <c r="M11" s="10">
        <f t="shared" si="3"/>
        <v>2024</v>
      </c>
      <c r="N11" s="9">
        <v>45639</v>
      </c>
      <c r="O11" s="9" t="s">
        <v>2350</v>
      </c>
      <c r="P11" s="9" t="s">
        <v>2350</v>
      </c>
      <c r="Q11" s="26" t="str">
        <f t="shared" si="4"/>
        <v/>
      </c>
      <c r="R11" t="s">
        <v>1615</v>
      </c>
      <c r="S11" s="15">
        <v>42576</v>
      </c>
      <c r="U11" t="s">
        <v>1621</v>
      </c>
      <c r="V11" t="s">
        <v>1628</v>
      </c>
      <c r="W11" s="17">
        <v>4.7</v>
      </c>
      <c r="X11" s="10">
        <f t="shared" si="5"/>
        <v>1</v>
      </c>
      <c r="Y11" s="10">
        <f t="shared" si="6"/>
        <v>0</v>
      </c>
      <c r="Z11" s="10">
        <f t="shared" si="7"/>
        <v>0</v>
      </c>
      <c r="AA11">
        <f t="shared" si="0"/>
        <v>1</v>
      </c>
      <c r="AB11">
        <f t="shared" si="8"/>
        <v>0</v>
      </c>
      <c r="AC11">
        <f t="shared" si="1"/>
        <v>0</v>
      </c>
    </row>
    <row r="12" spans="1:30" x14ac:dyDescent="0.35">
      <c r="A12" t="s">
        <v>28</v>
      </c>
      <c r="B12" t="s">
        <v>424</v>
      </c>
      <c r="C12" t="s">
        <v>634</v>
      </c>
      <c r="D12" t="s">
        <v>1764</v>
      </c>
      <c r="E12" t="s">
        <v>1765</v>
      </c>
      <c r="F12" t="s">
        <v>1022</v>
      </c>
      <c r="G12" t="s">
        <v>1032</v>
      </c>
      <c r="H12" t="s">
        <v>1037</v>
      </c>
      <c r="I12" t="s">
        <v>1043</v>
      </c>
      <c r="J12" t="s">
        <v>1049</v>
      </c>
      <c r="K12" s="9">
        <v>45437</v>
      </c>
      <c r="L12" s="20">
        <f t="shared" si="2"/>
        <v>45413</v>
      </c>
      <c r="M12" s="10">
        <f t="shared" si="3"/>
        <v>2024</v>
      </c>
      <c r="N12" s="9">
        <v>45442</v>
      </c>
      <c r="O12" s="9">
        <v>45473</v>
      </c>
      <c r="P12" s="9" t="s">
        <v>2350</v>
      </c>
      <c r="Q12" s="26" t="str">
        <f t="shared" si="4"/>
        <v/>
      </c>
      <c r="R12" t="s">
        <v>1618</v>
      </c>
      <c r="S12" s="15">
        <v>28120</v>
      </c>
      <c r="T12" s="15">
        <v>30806</v>
      </c>
      <c r="U12" t="s">
        <v>1624</v>
      </c>
      <c r="V12" t="s">
        <v>1627</v>
      </c>
      <c r="W12" s="17">
        <v>2.2000000000000002</v>
      </c>
      <c r="X12" s="10">
        <f t="shared" si="5"/>
        <v>1</v>
      </c>
      <c r="Y12" s="10">
        <f t="shared" si="6"/>
        <v>0</v>
      </c>
      <c r="Z12" s="10">
        <f t="shared" si="7"/>
        <v>0</v>
      </c>
      <c r="AA12">
        <f t="shared" si="0"/>
        <v>1</v>
      </c>
      <c r="AB12">
        <f t="shared" si="8"/>
        <v>1</v>
      </c>
      <c r="AC12">
        <f t="shared" si="1"/>
        <v>0</v>
      </c>
    </row>
    <row r="13" spans="1:30" x14ac:dyDescent="0.35">
      <c r="A13" t="s">
        <v>29</v>
      </c>
      <c r="B13" t="s">
        <v>427</v>
      </c>
      <c r="C13" t="s">
        <v>1766</v>
      </c>
      <c r="D13" t="s">
        <v>1767</v>
      </c>
      <c r="E13" t="s">
        <v>1768</v>
      </c>
      <c r="F13" t="s">
        <v>1025</v>
      </c>
      <c r="G13" t="s">
        <v>1031</v>
      </c>
      <c r="H13" t="s">
        <v>1037</v>
      </c>
      <c r="I13" t="s">
        <v>1042</v>
      </c>
      <c r="J13" t="s">
        <v>1051</v>
      </c>
      <c r="K13" s="9">
        <v>45505</v>
      </c>
      <c r="L13" s="20">
        <f t="shared" si="2"/>
        <v>45505</v>
      </c>
      <c r="M13" s="10">
        <f t="shared" si="3"/>
        <v>2024</v>
      </c>
      <c r="N13" s="9">
        <v>45512</v>
      </c>
      <c r="O13" s="9" t="s">
        <v>2350</v>
      </c>
      <c r="P13" s="9" t="s">
        <v>2350</v>
      </c>
      <c r="Q13" s="26" t="str">
        <f t="shared" si="4"/>
        <v/>
      </c>
      <c r="R13" t="s">
        <v>1615</v>
      </c>
      <c r="S13" s="15">
        <v>41262</v>
      </c>
      <c r="U13" t="s">
        <v>1623</v>
      </c>
      <c r="V13" t="s">
        <v>1627</v>
      </c>
      <c r="W13" s="17">
        <v>4.4000000000000004</v>
      </c>
      <c r="X13" s="10">
        <f t="shared" si="5"/>
        <v>1</v>
      </c>
      <c r="Y13" s="10">
        <f t="shared" si="6"/>
        <v>0</v>
      </c>
      <c r="Z13" s="10">
        <f t="shared" si="7"/>
        <v>0</v>
      </c>
      <c r="AA13">
        <f t="shared" si="0"/>
        <v>1</v>
      </c>
      <c r="AB13">
        <f t="shared" si="8"/>
        <v>0</v>
      </c>
      <c r="AC13">
        <f t="shared" si="1"/>
        <v>0</v>
      </c>
    </row>
    <row r="14" spans="1:30" x14ac:dyDescent="0.35">
      <c r="A14" t="s">
        <v>30</v>
      </c>
      <c r="B14" t="s">
        <v>428</v>
      </c>
      <c r="C14" t="s">
        <v>636</v>
      </c>
      <c r="D14" t="s">
        <v>1769</v>
      </c>
      <c r="E14" t="s">
        <v>1770</v>
      </c>
      <c r="F14" t="s">
        <v>1025</v>
      </c>
      <c r="G14" t="s">
        <v>1028</v>
      </c>
      <c r="H14" t="s">
        <v>1741</v>
      </c>
      <c r="I14" t="s">
        <v>1041</v>
      </c>
      <c r="J14" t="s">
        <v>1048</v>
      </c>
      <c r="K14" s="9">
        <v>45758</v>
      </c>
      <c r="L14" s="20">
        <f t="shared" si="2"/>
        <v>45748</v>
      </c>
      <c r="M14" s="10">
        <f t="shared" si="3"/>
        <v>2025</v>
      </c>
      <c r="N14" s="9">
        <v>45769</v>
      </c>
      <c r="O14" s="9" t="s">
        <v>2350</v>
      </c>
      <c r="P14" s="9" t="s">
        <v>2350</v>
      </c>
      <c r="Q14" s="26" t="str">
        <f t="shared" si="4"/>
        <v/>
      </c>
      <c r="R14" t="s">
        <v>1615</v>
      </c>
      <c r="S14" s="15">
        <v>40434</v>
      </c>
      <c r="U14" t="s">
        <v>1625</v>
      </c>
      <c r="V14" t="s">
        <v>1628</v>
      </c>
      <c r="W14" s="17">
        <v>4.4000000000000004</v>
      </c>
      <c r="X14" s="10">
        <f t="shared" si="5"/>
        <v>1</v>
      </c>
      <c r="Y14" s="10">
        <f t="shared" si="6"/>
        <v>0</v>
      </c>
      <c r="Z14" s="10">
        <f t="shared" si="7"/>
        <v>0</v>
      </c>
      <c r="AA14">
        <f t="shared" si="0"/>
        <v>1</v>
      </c>
      <c r="AB14">
        <f t="shared" si="8"/>
        <v>0</v>
      </c>
      <c r="AC14">
        <f t="shared" si="1"/>
        <v>0</v>
      </c>
    </row>
    <row r="15" spans="1:30" x14ac:dyDescent="0.35">
      <c r="A15" t="s">
        <v>31</v>
      </c>
      <c r="B15" t="s">
        <v>429</v>
      </c>
      <c r="C15" t="s">
        <v>637</v>
      </c>
      <c r="D15" t="s">
        <v>1771</v>
      </c>
      <c r="E15" t="s">
        <v>1772</v>
      </c>
      <c r="F15" t="s">
        <v>1026</v>
      </c>
      <c r="G15" t="s">
        <v>1030</v>
      </c>
      <c r="H15" t="s">
        <v>1040</v>
      </c>
      <c r="I15" t="s">
        <v>1045</v>
      </c>
      <c r="J15" t="s">
        <v>1051</v>
      </c>
      <c r="K15" s="9">
        <v>45417</v>
      </c>
      <c r="L15" s="20">
        <f t="shared" si="2"/>
        <v>45413</v>
      </c>
      <c r="M15" s="10">
        <f t="shared" si="3"/>
        <v>2024</v>
      </c>
      <c r="N15" s="9" t="s">
        <v>2350</v>
      </c>
      <c r="O15" s="9" t="s">
        <v>2350</v>
      </c>
      <c r="P15" s="9" t="s">
        <v>2350</v>
      </c>
      <c r="Q15" s="26" t="str">
        <f t="shared" si="4"/>
        <v/>
      </c>
      <c r="R15" t="s">
        <v>1616</v>
      </c>
      <c r="S15" s="15">
        <v>39657</v>
      </c>
      <c r="U15" t="s">
        <v>1625</v>
      </c>
      <c r="V15" t="s">
        <v>1626</v>
      </c>
      <c r="W15" s="17">
        <v>3</v>
      </c>
      <c r="X15" s="10">
        <f t="shared" si="5"/>
        <v>1</v>
      </c>
      <c r="Y15" s="10">
        <f t="shared" si="6"/>
        <v>0</v>
      </c>
      <c r="Z15" s="10">
        <f t="shared" si="7"/>
        <v>0</v>
      </c>
      <c r="AA15">
        <f t="shared" si="0"/>
        <v>0</v>
      </c>
      <c r="AB15">
        <f t="shared" si="8"/>
        <v>0</v>
      </c>
      <c r="AC15">
        <f t="shared" si="1"/>
        <v>0</v>
      </c>
    </row>
    <row r="16" spans="1:30" x14ac:dyDescent="0.35">
      <c r="A16" t="s">
        <v>32</v>
      </c>
      <c r="B16" t="s">
        <v>430</v>
      </c>
      <c r="C16" t="s">
        <v>638</v>
      </c>
      <c r="D16" t="s">
        <v>1773</v>
      </c>
      <c r="E16" t="s">
        <v>1774</v>
      </c>
      <c r="F16" t="s">
        <v>1026</v>
      </c>
      <c r="G16" t="s">
        <v>1029</v>
      </c>
      <c r="H16" t="s">
        <v>1035</v>
      </c>
      <c r="I16" t="s">
        <v>1044</v>
      </c>
      <c r="J16" t="s">
        <v>1742</v>
      </c>
      <c r="K16" s="9">
        <v>45382</v>
      </c>
      <c r="L16" s="20">
        <f t="shared" si="2"/>
        <v>45352</v>
      </c>
      <c r="M16" s="10">
        <f t="shared" si="3"/>
        <v>2024</v>
      </c>
      <c r="N16" s="9" t="s">
        <v>2350</v>
      </c>
      <c r="O16" s="9" t="s">
        <v>2350</v>
      </c>
      <c r="P16" s="9" t="s">
        <v>2350</v>
      </c>
      <c r="Q16" s="26" t="str">
        <f t="shared" si="4"/>
        <v/>
      </c>
      <c r="R16" t="s">
        <v>1616</v>
      </c>
      <c r="S16" s="15">
        <v>43984</v>
      </c>
      <c r="U16" t="s">
        <v>1623</v>
      </c>
      <c r="V16" t="s">
        <v>1627</v>
      </c>
      <c r="W16" s="17">
        <v>3.9</v>
      </c>
      <c r="X16" s="10">
        <f t="shared" si="5"/>
        <v>1</v>
      </c>
      <c r="Y16" s="10">
        <f t="shared" si="6"/>
        <v>0</v>
      </c>
      <c r="Z16" s="10">
        <f t="shared" si="7"/>
        <v>0</v>
      </c>
      <c r="AA16">
        <f t="shared" si="0"/>
        <v>0</v>
      </c>
      <c r="AB16">
        <f t="shared" si="8"/>
        <v>0</v>
      </c>
      <c r="AC16">
        <f t="shared" si="1"/>
        <v>0</v>
      </c>
    </row>
    <row r="17" spans="1:29" x14ac:dyDescent="0.35">
      <c r="A17" t="s">
        <v>33</v>
      </c>
      <c r="B17" t="s">
        <v>431</v>
      </c>
      <c r="C17" t="s">
        <v>639</v>
      </c>
      <c r="D17" t="s">
        <v>1775</v>
      </c>
      <c r="E17" t="s">
        <v>1776</v>
      </c>
      <c r="F17" t="s">
        <v>1025</v>
      </c>
      <c r="G17" t="s">
        <v>1032</v>
      </c>
      <c r="H17" t="s">
        <v>1037</v>
      </c>
      <c r="I17" t="s">
        <v>1041</v>
      </c>
      <c r="J17" t="s">
        <v>1051</v>
      </c>
      <c r="K17" s="9">
        <v>45295</v>
      </c>
      <c r="L17" s="20">
        <f t="shared" si="2"/>
        <v>45292</v>
      </c>
      <c r="M17" s="10">
        <f t="shared" si="3"/>
        <v>2024</v>
      </c>
      <c r="N17" s="9" t="s">
        <v>2350</v>
      </c>
      <c r="O17" s="9" t="s">
        <v>2350</v>
      </c>
      <c r="P17" s="9" t="s">
        <v>2350</v>
      </c>
      <c r="Q17" s="26" t="str">
        <f t="shared" si="4"/>
        <v/>
      </c>
      <c r="R17" t="s">
        <v>1617</v>
      </c>
      <c r="S17" s="15">
        <v>40008</v>
      </c>
      <c r="U17" t="s">
        <v>1622</v>
      </c>
      <c r="V17" t="s">
        <v>1626</v>
      </c>
      <c r="W17" s="17">
        <v>2.9</v>
      </c>
      <c r="X17" s="10">
        <f t="shared" si="5"/>
        <v>1</v>
      </c>
      <c r="Y17" s="10">
        <f t="shared" si="6"/>
        <v>1</v>
      </c>
      <c r="Z17" s="10">
        <f t="shared" si="7"/>
        <v>0</v>
      </c>
      <c r="AA17">
        <f t="shared" si="0"/>
        <v>0</v>
      </c>
      <c r="AB17">
        <f t="shared" si="8"/>
        <v>0</v>
      </c>
      <c r="AC17">
        <f t="shared" si="1"/>
        <v>0</v>
      </c>
    </row>
    <row r="18" spans="1:29" x14ac:dyDescent="0.35">
      <c r="A18" t="s">
        <v>34</v>
      </c>
      <c r="B18" t="s">
        <v>432</v>
      </c>
      <c r="C18" t="s">
        <v>1777</v>
      </c>
      <c r="D18" t="s">
        <v>1778</v>
      </c>
      <c r="E18" t="s">
        <v>1779</v>
      </c>
      <c r="F18" t="s">
        <v>1022</v>
      </c>
      <c r="G18" t="s">
        <v>1029</v>
      </c>
      <c r="H18" t="s">
        <v>1034</v>
      </c>
      <c r="I18" t="s">
        <v>1041</v>
      </c>
      <c r="J18" t="s">
        <v>1051</v>
      </c>
      <c r="K18" s="9">
        <v>45491</v>
      </c>
      <c r="L18" s="20">
        <f t="shared" si="2"/>
        <v>45474</v>
      </c>
      <c r="M18" s="10">
        <f t="shared" si="3"/>
        <v>2024</v>
      </c>
      <c r="N18" s="9">
        <v>45518</v>
      </c>
      <c r="O18" s="9">
        <v>45513</v>
      </c>
      <c r="P18" s="9">
        <v>45540</v>
      </c>
      <c r="Q18" s="26">
        <f t="shared" si="4"/>
        <v>49</v>
      </c>
      <c r="R18" t="s">
        <v>1620</v>
      </c>
      <c r="S18" s="15">
        <v>43061</v>
      </c>
      <c r="T18" s="15">
        <v>46495</v>
      </c>
      <c r="U18" t="s">
        <v>1624</v>
      </c>
      <c r="V18" t="s">
        <v>1626</v>
      </c>
      <c r="W18" s="17">
        <v>4.5999999999999996</v>
      </c>
      <c r="X18" s="10">
        <f t="shared" si="5"/>
        <v>1</v>
      </c>
      <c r="Y18" s="10">
        <f t="shared" si="6"/>
        <v>0</v>
      </c>
      <c r="Z18" s="10">
        <f t="shared" si="7"/>
        <v>0</v>
      </c>
      <c r="AA18">
        <f t="shared" si="0"/>
        <v>1</v>
      </c>
      <c r="AB18">
        <f t="shared" si="8"/>
        <v>0</v>
      </c>
      <c r="AC18">
        <f t="shared" si="1"/>
        <v>1</v>
      </c>
    </row>
    <row r="19" spans="1:29" x14ac:dyDescent="0.35">
      <c r="A19" t="s">
        <v>35</v>
      </c>
      <c r="B19" t="s">
        <v>433</v>
      </c>
      <c r="C19" t="s">
        <v>1780</v>
      </c>
      <c r="D19" t="s">
        <v>1781</v>
      </c>
      <c r="E19" t="s">
        <v>1782</v>
      </c>
      <c r="F19" t="s">
        <v>1025</v>
      </c>
      <c r="G19" t="s">
        <v>1032</v>
      </c>
      <c r="H19" t="s">
        <v>1037</v>
      </c>
      <c r="I19" t="s">
        <v>1044</v>
      </c>
      <c r="J19" t="s">
        <v>1742</v>
      </c>
      <c r="K19" s="9">
        <v>45682</v>
      </c>
      <c r="L19" s="20">
        <f t="shared" si="2"/>
        <v>45658</v>
      </c>
      <c r="M19" s="10">
        <f t="shared" si="3"/>
        <v>2025</v>
      </c>
      <c r="N19" s="9" t="s">
        <v>2350</v>
      </c>
      <c r="O19" s="9" t="s">
        <v>2350</v>
      </c>
      <c r="P19" s="9" t="s">
        <v>2350</v>
      </c>
      <c r="Q19" s="26" t="str">
        <f t="shared" si="4"/>
        <v/>
      </c>
      <c r="R19" t="s">
        <v>1619</v>
      </c>
      <c r="S19" s="15">
        <v>38559</v>
      </c>
      <c r="U19" t="s">
        <v>1621</v>
      </c>
      <c r="V19" t="s">
        <v>1626</v>
      </c>
      <c r="W19" s="17">
        <v>4.3</v>
      </c>
      <c r="X19" s="10">
        <f t="shared" si="5"/>
        <v>1</v>
      </c>
      <c r="Y19" s="10">
        <f t="shared" si="6"/>
        <v>0</v>
      </c>
      <c r="Z19" s="10">
        <f t="shared" si="7"/>
        <v>1</v>
      </c>
      <c r="AA19">
        <f t="shared" si="0"/>
        <v>0</v>
      </c>
      <c r="AB19">
        <f t="shared" si="8"/>
        <v>0</v>
      </c>
      <c r="AC19">
        <f t="shared" si="1"/>
        <v>0</v>
      </c>
    </row>
    <row r="20" spans="1:29" x14ac:dyDescent="0.35">
      <c r="A20" t="s">
        <v>36</v>
      </c>
      <c r="B20" t="s">
        <v>434</v>
      </c>
      <c r="C20" t="s">
        <v>1783</v>
      </c>
      <c r="D20" t="s">
        <v>1784</v>
      </c>
      <c r="E20" t="s">
        <v>1785</v>
      </c>
      <c r="F20" t="s">
        <v>1025</v>
      </c>
      <c r="G20" t="s">
        <v>1031</v>
      </c>
      <c r="H20" t="s">
        <v>1035</v>
      </c>
      <c r="I20" t="s">
        <v>1043</v>
      </c>
      <c r="J20" t="s">
        <v>1742</v>
      </c>
      <c r="K20" s="9">
        <v>45545</v>
      </c>
      <c r="L20" s="20">
        <f t="shared" si="2"/>
        <v>45536</v>
      </c>
      <c r="M20" s="10">
        <f t="shared" si="3"/>
        <v>2024</v>
      </c>
      <c r="N20" s="9" t="s">
        <v>2350</v>
      </c>
      <c r="O20" s="9" t="s">
        <v>2350</v>
      </c>
      <c r="P20" s="9" t="s">
        <v>2350</v>
      </c>
      <c r="Q20" s="26" t="str">
        <f t="shared" si="4"/>
        <v/>
      </c>
      <c r="R20" t="s">
        <v>1616</v>
      </c>
      <c r="S20" s="15">
        <v>39953</v>
      </c>
      <c r="U20" t="s">
        <v>1623</v>
      </c>
      <c r="V20" t="s">
        <v>1628</v>
      </c>
      <c r="W20" s="17">
        <v>2.9</v>
      </c>
      <c r="X20" s="10">
        <f t="shared" si="5"/>
        <v>1</v>
      </c>
      <c r="Y20" s="10">
        <f t="shared" si="6"/>
        <v>0</v>
      </c>
      <c r="Z20" s="10">
        <f t="shared" si="7"/>
        <v>0</v>
      </c>
      <c r="AA20">
        <f t="shared" si="0"/>
        <v>0</v>
      </c>
      <c r="AB20">
        <f t="shared" si="8"/>
        <v>0</v>
      </c>
      <c r="AC20">
        <f t="shared" si="1"/>
        <v>0</v>
      </c>
    </row>
    <row r="21" spans="1:29" x14ac:dyDescent="0.35">
      <c r="A21" t="s">
        <v>37</v>
      </c>
      <c r="B21" t="s">
        <v>435</v>
      </c>
      <c r="C21" t="s">
        <v>1786</v>
      </c>
      <c r="D21" t="s">
        <v>1787</v>
      </c>
      <c r="E21" t="s">
        <v>1788</v>
      </c>
      <c r="F21" t="s">
        <v>1025</v>
      </c>
      <c r="G21" t="s">
        <v>1031</v>
      </c>
      <c r="H21" t="s">
        <v>1034</v>
      </c>
      <c r="I21" t="s">
        <v>1044</v>
      </c>
      <c r="J21" t="s">
        <v>1049</v>
      </c>
      <c r="K21" s="9">
        <v>45603</v>
      </c>
      <c r="L21" s="20">
        <f t="shared" si="2"/>
        <v>45597</v>
      </c>
      <c r="M21" s="10">
        <f t="shared" si="3"/>
        <v>2024</v>
      </c>
      <c r="N21" s="9" t="s">
        <v>2350</v>
      </c>
      <c r="O21" s="9" t="s">
        <v>2350</v>
      </c>
      <c r="P21" s="9" t="s">
        <v>2350</v>
      </c>
      <c r="Q21" s="26" t="str">
        <f t="shared" si="4"/>
        <v/>
      </c>
      <c r="R21" t="s">
        <v>1619</v>
      </c>
      <c r="S21" s="15">
        <v>40400</v>
      </c>
      <c r="U21" t="s">
        <v>1621</v>
      </c>
      <c r="V21" t="s">
        <v>1627</v>
      </c>
      <c r="W21" s="17">
        <v>3.3</v>
      </c>
      <c r="X21" s="10">
        <f t="shared" si="5"/>
        <v>1</v>
      </c>
      <c r="Y21" s="10">
        <f t="shared" si="6"/>
        <v>0</v>
      </c>
      <c r="Z21" s="10">
        <f t="shared" si="7"/>
        <v>1</v>
      </c>
      <c r="AA21">
        <f t="shared" si="0"/>
        <v>0</v>
      </c>
      <c r="AB21">
        <f t="shared" si="8"/>
        <v>0</v>
      </c>
      <c r="AC21">
        <f t="shared" si="1"/>
        <v>0</v>
      </c>
    </row>
    <row r="22" spans="1:29" x14ac:dyDescent="0.35">
      <c r="A22" t="s">
        <v>38</v>
      </c>
      <c r="B22" t="s">
        <v>436</v>
      </c>
      <c r="C22" t="s">
        <v>1789</v>
      </c>
      <c r="D22" t="s">
        <v>1790</v>
      </c>
      <c r="E22" t="s">
        <v>1791</v>
      </c>
      <c r="F22" t="s">
        <v>1027</v>
      </c>
      <c r="G22" t="s">
        <v>1028</v>
      </c>
      <c r="H22" t="s">
        <v>1040</v>
      </c>
      <c r="I22" t="s">
        <v>1043</v>
      </c>
      <c r="J22" t="s">
        <v>1050</v>
      </c>
      <c r="K22" s="9">
        <v>45695</v>
      </c>
      <c r="L22" s="20">
        <f t="shared" si="2"/>
        <v>45689</v>
      </c>
      <c r="M22" s="10">
        <f t="shared" si="3"/>
        <v>2025</v>
      </c>
      <c r="N22" s="9" t="s">
        <v>2350</v>
      </c>
      <c r="O22" s="9" t="s">
        <v>2350</v>
      </c>
      <c r="P22" s="9" t="s">
        <v>2350</v>
      </c>
      <c r="Q22" s="26" t="str">
        <f t="shared" si="4"/>
        <v/>
      </c>
      <c r="R22" t="s">
        <v>1616</v>
      </c>
      <c r="S22" s="15">
        <v>36345</v>
      </c>
      <c r="U22" t="s">
        <v>1621</v>
      </c>
      <c r="V22" t="s">
        <v>1628</v>
      </c>
      <c r="W22" s="17">
        <v>2.4</v>
      </c>
      <c r="X22" s="10">
        <f t="shared" si="5"/>
        <v>1</v>
      </c>
      <c r="Y22" s="10">
        <f t="shared" si="6"/>
        <v>0</v>
      </c>
      <c r="Z22" s="10">
        <f t="shared" si="7"/>
        <v>0</v>
      </c>
      <c r="AA22">
        <f t="shared" si="0"/>
        <v>0</v>
      </c>
      <c r="AB22">
        <f t="shared" si="8"/>
        <v>0</v>
      </c>
      <c r="AC22">
        <f t="shared" si="1"/>
        <v>0</v>
      </c>
    </row>
    <row r="23" spans="1:29" x14ac:dyDescent="0.35">
      <c r="A23" t="s">
        <v>39</v>
      </c>
      <c r="B23" t="s">
        <v>437</v>
      </c>
      <c r="C23" t="s">
        <v>1792</v>
      </c>
      <c r="D23" t="s">
        <v>1793</v>
      </c>
      <c r="E23" t="s">
        <v>1794</v>
      </c>
      <c r="F23" t="s">
        <v>1024</v>
      </c>
      <c r="G23" t="s">
        <v>1032</v>
      </c>
      <c r="H23" t="s">
        <v>1037</v>
      </c>
      <c r="I23" t="s">
        <v>1045</v>
      </c>
      <c r="J23" t="s">
        <v>1742</v>
      </c>
      <c r="K23" s="9">
        <v>45742</v>
      </c>
      <c r="L23" s="20">
        <f t="shared" si="2"/>
        <v>45717</v>
      </c>
      <c r="M23" s="10">
        <f t="shared" si="3"/>
        <v>2025</v>
      </c>
      <c r="N23" s="9" t="s">
        <v>2350</v>
      </c>
      <c r="O23" s="9" t="s">
        <v>2350</v>
      </c>
      <c r="P23" s="9" t="s">
        <v>2350</v>
      </c>
      <c r="Q23" s="26" t="str">
        <f t="shared" si="4"/>
        <v/>
      </c>
      <c r="R23" t="s">
        <v>1619</v>
      </c>
      <c r="S23" s="15">
        <v>46206</v>
      </c>
      <c r="U23" t="s">
        <v>1624</v>
      </c>
      <c r="V23" t="s">
        <v>1628</v>
      </c>
      <c r="X23" s="10">
        <f t="shared" si="5"/>
        <v>1</v>
      </c>
      <c r="Y23" s="10">
        <f t="shared" si="6"/>
        <v>0</v>
      </c>
      <c r="Z23" s="10">
        <f t="shared" si="7"/>
        <v>1</v>
      </c>
      <c r="AA23">
        <f t="shared" si="0"/>
        <v>0</v>
      </c>
      <c r="AB23">
        <f t="shared" si="8"/>
        <v>0</v>
      </c>
      <c r="AC23">
        <f t="shared" si="1"/>
        <v>0</v>
      </c>
    </row>
    <row r="24" spans="1:29" x14ac:dyDescent="0.35">
      <c r="A24" t="s">
        <v>40</v>
      </c>
      <c r="B24" t="s">
        <v>438</v>
      </c>
      <c r="C24" t="s">
        <v>646</v>
      </c>
      <c r="D24" t="s">
        <v>1795</v>
      </c>
      <c r="E24" t="s">
        <v>1796</v>
      </c>
      <c r="F24" t="s">
        <v>1022</v>
      </c>
      <c r="G24" t="s">
        <v>1030</v>
      </c>
      <c r="H24" t="s">
        <v>1036</v>
      </c>
      <c r="I24" t="s">
        <v>1043</v>
      </c>
      <c r="J24" t="s">
        <v>1050</v>
      </c>
      <c r="K24" s="9">
        <v>45733</v>
      </c>
      <c r="L24" s="20">
        <f t="shared" si="2"/>
        <v>45717</v>
      </c>
      <c r="M24" s="10">
        <f t="shared" si="3"/>
        <v>2025</v>
      </c>
      <c r="N24" s="9" t="s">
        <v>2350</v>
      </c>
      <c r="O24" s="9" t="s">
        <v>2350</v>
      </c>
      <c r="P24" s="9" t="s">
        <v>2350</v>
      </c>
      <c r="Q24" s="26" t="str">
        <f t="shared" si="4"/>
        <v/>
      </c>
      <c r="R24" t="s">
        <v>1616</v>
      </c>
      <c r="S24" s="15">
        <v>31353</v>
      </c>
      <c r="U24" t="s">
        <v>1625</v>
      </c>
      <c r="V24" t="s">
        <v>1628</v>
      </c>
      <c r="W24" s="17">
        <v>3.2</v>
      </c>
      <c r="X24" s="10">
        <f t="shared" si="5"/>
        <v>1</v>
      </c>
      <c r="Y24" s="10">
        <f t="shared" si="6"/>
        <v>0</v>
      </c>
      <c r="Z24" s="10">
        <f t="shared" si="7"/>
        <v>0</v>
      </c>
      <c r="AA24">
        <f t="shared" si="0"/>
        <v>0</v>
      </c>
      <c r="AB24">
        <f t="shared" si="8"/>
        <v>0</v>
      </c>
      <c r="AC24">
        <f t="shared" si="1"/>
        <v>0</v>
      </c>
    </row>
    <row r="25" spans="1:29" x14ac:dyDescent="0.35">
      <c r="A25" t="s">
        <v>41</v>
      </c>
      <c r="B25" t="s">
        <v>439</v>
      </c>
      <c r="C25" t="s">
        <v>1797</v>
      </c>
      <c r="D25" t="s">
        <v>1798</v>
      </c>
      <c r="E25" t="s">
        <v>1799</v>
      </c>
      <c r="F25" t="s">
        <v>1025</v>
      </c>
      <c r="G25" t="s">
        <v>1030</v>
      </c>
      <c r="H25" t="s">
        <v>1037</v>
      </c>
      <c r="I25" t="s">
        <v>1044</v>
      </c>
      <c r="J25" t="s">
        <v>1050</v>
      </c>
      <c r="K25" s="9">
        <v>45442</v>
      </c>
      <c r="L25" s="20">
        <f t="shared" si="2"/>
        <v>45413</v>
      </c>
      <c r="M25" s="10">
        <f t="shared" si="3"/>
        <v>2024</v>
      </c>
      <c r="N25" s="9">
        <v>45467</v>
      </c>
      <c r="O25" s="9">
        <v>45483</v>
      </c>
      <c r="P25" s="9" t="s">
        <v>2350</v>
      </c>
      <c r="Q25" s="26" t="str">
        <f t="shared" si="4"/>
        <v/>
      </c>
      <c r="R25" t="s">
        <v>1618</v>
      </c>
      <c r="S25" s="15">
        <v>40729</v>
      </c>
      <c r="T25" s="15">
        <v>44715</v>
      </c>
      <c r="U25" t="s">
        <v>1625</v>
      </c>
      <c r="V25" t="s">
        <v>1628</v>
      </c>
      <c r="W25" s="17">
        <v>3.3</v>
      </c>
      <c r="X25" s="10">
        <f t="shared" si="5"/>
        <v>1</v>
      </c>
      <c r="Y25" s="10">
        <f t="shared" si="6"/>
        <v>0</v>
      </c>
      <c r="Z25" s="10">
        <f t="shared" si="7"/>
        <v>0</v>
      </c>
      <c r="AA25">
        <f t="shared" si="0"/>
        <v>1</v>
      </c>
      <c r="AB25">
        <f t="shared" si="8"/>
        <v>1</v>
      </c>
      <c r="AC25">
        <f t="shared" si="1"/>
        <v>0</v>
      </c>
    </row>
    <row r="26" spans="1:29" x14ac:dyDescent="0.35">
      <c r="A26" t="s">
        <v>42</v>
      </c>
      <c r="B26" t="s">
        <v>440</v>
      </c>
      <c r="C26" t="s">
        <v>648</v>
      </c>
      <c r="D26" t="s">
        <v>1800</v>
      </c>
      <c r="E26" t="s">
        <v>1801</v>
      </c>
      <c r="F26" t="s">
        <v>1025</v>
      </c>
      <c r="G26" t="s">
        <v>1030</v>
      </c>
      <c r="H26" t="s">
        <v>1037</v>
      </c>
      <c r="I26" t="s">
        <v>1042</v>
      </c>
      <c r="J26" t="s">
        <v>1049</v>
      </c>
      <c r="K26" s="9">
        <v>45499</v>
      </c>
      <c r="L26" s="20">
        <f t="shared" si="2"/>
        <v>45474</v>
      </c>
      <c r="M26" s="10">
        <f t="shared" si="3"/>
        <v>2024</v>
      </c>
      <c r="N26" s="9" t="s">
        <v>2350</v>
      </c>
      <c r="O26" s="9" t="s">
        <v>2350</v>
      </c>
      <c r="P26" s="9" t="s">
        <v>2350</v>
      </c>
      <c r="Q26" s="26" t="str">
        <f t="shared" si="4"/>
        <v/>
      </c>
      <c r="R26" t="s">
        <v>1617</v>
      </c>
      <c r="S26" s="15">
        <v>40287</v>
      </c>
      <c r="U26" t="s">
        <v>1623</v>
      </c>
      <c r="V26" t="s">
        <v>1627</v>
      </c>
      <c r="W26" s="17">
        <v>4.3</v>
      </c>
      <c r="X26" s="10">
        <f t="shared" si="5"/>
        <v>1</v>
      </c>
      <c r="Y26" s="10">
        <f t="shared" si="6"/>
        <v>1</v>
      </c>
      <c r="Z26" s="10">
        <f t="shared" si="7"/>
        <v>0</v>
      </c>
      <c r="AA26">
        <f t="shared" si="0"/>
        <v>0</v>
      </c>
      <c r="AB26">
        <f t="shared" si="8"/>
        <v>0</v>
      </c>
      <c r="AC26">
        <f t="shared" si="1"/>
        <v>0</v>
      </c>
    </row>
    <row r="27" spans="1:29" x14ac:dyDescent="0.35">
      <c r="A27" t="s">
        <v>43</v>
      </c>
      <c r="B27" t="s">
        <v>441</v>
      </c>
      <c r="C27" t="s">
        <v>649</v>
      </c>
      <c r="D27" t="s">
        <v>1802</v>
      </c>
      <c r="E27" t="s">
        <v>1803</v>
      </c>
      <c r="F27" t="s">
        <v>1026</v>
      </c>
      <c r="G27" t="s">
        <v>1030</v>
      </c>
      <c r="H27" t="s">
        <v>1037</v>
      </c>
      <c r="I27" t="s">
        <v>1041</v>
      </c>
      <c r="J27" t="s">
        <v>1050</v>
      </c>
      <c r="K27" s="9">
        <v>45769</v>
      </c>
      <c r="L27" s="20">
        <f t="shared" si="2"/>
        <v>45748</v>
      </c>
      <c r="M27" s="10">
        <f t="shared" si="3"/>
        <v>2025</v>
      </c>
      <c r="N27" s="9" t="s">
        <v>2350</v>
      </c>
      <c r="O27" s="9" t="s">
        <v>2350</v>
      </c>
      <c r="P27" s="9" t="s">
        <v>2350</v>
      </c>
      <c r="Q27" s="26" t="str">
        <f t="shared" si="4"/>
        <v/>
      </c>
      <c r="R27" t="s">
        <v>1616</v>
      </c>
      <c r="S27" s="15">
        <v>31708</v>
      </c>
      <c r="U27" t="s">
        <v>1621</v>
      </c>
      <c r="V27" t="s">
        <v>1626</v>
      </c>
      <c r="W27" s="17">
        <v>4.0999999999999996</v>
      </c>
      <c r="X27" s="10">
        <f t="shared" si="5"/>
        <v>1</v>
      </c>
      <c r="Y27" s="10">
        <f t="shared" si="6"/>
        <v>0</v>
      </c>
      <c r="Z27" s="10">
        <f t="shared" si="7"/>
        <v>0</v>
      </c>
      <c r="AA27">
        <f t="shared" si="0"/>
        <v>0</v>
      </c>
      <c r="AB27">
        <f t="shared" si="8"/>
        <v>0</v>
      </c>
      <c r="AC27">
        <f t="shared" si="1"/>
        <v>0</v>
      </c>
    </row>
    <row r="28" spans="1:29" x14ac:dyDescent="0.35">
      <c r="A28" t="s">
        <v>44</v>
      </c>
      <c r="B28" t="s">
        <v>442</v>
      </c>
      <c r="C28" t="s">
        <v>650</v>
      </c>
      <c r="D28" t="s">
        <v>1804</v>
      </c>
      <c r="E28" t="s">
        <v>1805</v>
      </c>
      <c r="F28" t="s">
        <v>1027</v>
      </c>
      <c r="G28" t="s">
        <v>1029</v>
      </c>
      <c r="H28" t="s">
        <v>1035</v>
      </c>
      <c r="I28" t="s">
        <v>1042</v>
      </c>
      <c r="J28" t="s">
        <v>1050</v>
      </c>
      <c r="K28" s="9">
        <v>45679</v>
      </c>
      <c r="L28" s="20">
        <f t="shared" si="2"/>
        <v>45658</v>
      </c>
      <c r="M28" s="10">
        <f t="shared" si="3"/>
        <v>2025</v>
      </c>
      <c r="N28" s="9">
        <v>45704</v>
      </c>
      <c r="O28" s="9" t="s">
        <v>2350</v>
      </c>
      <c r="P28" s="9" t="s">
        <v>2350</v>
      </c>
      <c r="Q28" s="26" t="str">
        <f t="shared" si="4"/>
        <v/>
      </c>
      <c r="R28" t="s">
        <v>1615</v>
      </c>
      <c r="S28" s="15">
        <v>45796</v>
      </c>
      <c r="U28" t="s">
        <v>1624</v>
      </c>
      <c r="V28" t="s">
        <v>1627</v>
      </c>
      <c r="W28" s="17">
        <v>4.5</v>
      </c>
      <c r="X28" s="10">
        <f t="shared" si="5"/>
        <v>1</v>
      </c>
      <c r="Y28" s="10">
        <f t="shared" si="6"/>
        <v>0</v>
      </c>
      <c r="Z28" s="10">
        <f t="shared" si="7"/>
        <v>0</v>
      </c>
      <c r="AA28">
        <f t="shared" si="0"/>
        <v>1</v>
      </c>
      <c r="AB28">
        <f t="shared" si="8"/>
        <v>0</v>
      </c>
      <c r="AC28">
        <f t="shared" si="1"/>
        <v>0</v>
      </c>
    </row>
    <row r="29" spans="1:29" x14ac:dyDescent="0.35">
      <c r="A29" t="s">
        <v>45</v>
      </c>
      <c r="B29" t="s">
        <v>443</v>
      </c>
      <c r="C29" t="s">
        <v>1806</v>
      </c>
      <c r="D29" t="s">
        <v>1773</v>
      </c>
      <c r="E29" t="s">
        <v>1807</v>
      </c>
      <c r="F29" t="s">
        <v>1024</v>
      </c>
      <c r="G29" t="s">
        <v>1032</v>
      </c>
      <c r="H29" t="s">
        <v>1039</v>
      </c>
      <c r="I29" t="s">
        <v>1044</v>
      </c>
      <c r="J29" t="s">
        <v>1049</v>
      </c>
      <c r="K29" s="9">
        <v>45444</v>
      </c>
      <c r="L29" s="20">
        <f t="shared" si="2"/>
        <v>45444</v>
      </c>
      <c r="M29" s="10">
        <f t="shared" si="3"/>
        <v>2024</v>
      </c>
      <c r="N29" s="9" t="s">
        <v>2350</v>
      </c>
      <c r="O29" s="9" t="s">
        <v>2350</v>
      </c>
      <c r="P29" s="9" t="s">
        <v>2350</v>
      </c>
      <c r="Q29" s="26" t="str">
        <f t="shared" si="4"/>
        <v/>
      </c>
      <c r="R29" t="s">
        <v>1616</v>
      </c>
      <c r="S29" s="15">
        <v>43911</v>
      </c>
      <c r="U29" t="s">
        <v>1625</v>
      </c>
      <c r="V29" t="s">
        <v>1626</v>
      </c>
      <c r="W29" s="17">
        <v>3.8</v>
      </c>
      <c r="X29" s="10">
        <f t="shared" si="5"/>
        <v>1</v>
      </c>
      <c r="Y29" s="10">
        <f t="shared" si="6"/>
        <v>0</v>
      </c>
      <c r="Z29" s="10">
        <f t="shared" si="7"/>
        <v>0</v>
      </c>
      <c r="AA29">
        <f t="shared" si="0"/>
        <v>0</v>
      </c>
      <c r="AB29">
        <f t="shared" si="8"/>
        <v>0</v>
      </c>
      <c r="AC29">
        <f t="shared" si="1"/>
        <v>0</v>
      </c>
    </row>
    <row r="30" spans="1:29" x14ac:dyDescent="0.35">
      <c r="A30" t="s">
        <v>46</v>
      </c>
      <c r="B30" t="s">
        <v>444</v>
      </c>
      <c r="C30" t="s">
        <v>652</v>
      </c>
      <c r="D30" t="s">
        <v>1808</v>
      </c>
      <c r="E30" t="s">
        <v>1809</v>
      </c>
      <c r="F30" t="s">
        <v>1023</v>
      </c>
      <c r="G30" t="s">
        <v>1028</v>
      </c>
      <c r="H30" t="s">
        <v>1039</v>
      </c>
      <c r="I30" t="s">
        <v>1043</v>
      </c>
      <c r="J30" t="s">
        <v>1742</v>
      </c>
      <c r="K30" s="9">
        <v>45465</v>
      </c>
      <c r="L30" s="20">
        <f t="shared" si="2"/>
        <v>45444</v>
      </c>
      <c r="M30" s="10">
        <f t="shared" si="3"/>
        <v>2024</v>
      </c>
      <c r="N30" s="9">
        <v>45494</v>
      </c>
      <c r="O30" s="9">
        <v>45507</v>
      </c>
      <c r="P30" s="9">
        <v>45536</v>
      </c>
      <c r="Q30" s="26">
        <f t="shared" si="4"/>
        <v>71</v>
      </c>
      <c r="R30" t="s">
        <v>1620</v>
      </c>
      <c r="S30" s="15">
        <v>43892</v>
      </c>
      <c r="T30" s="15">
        <v>43698</v>
      </c>
      <c r="U30" t="s">
        <v>1625</v>
      </c>
      <c r="V30" t="s">
        <v>1628</v>
      </c>
      <c r="W30" s="17">
        <v>2.7</v>
      </c>
      <c r="X30" s="10">
        <f t="shared" si="5"/>
        <v>1</v>
      </c>
      <c r="Y30" s="10">
        <f t="shared" si="6"/>
        <v>0</v>
      </c>
      <c r="Z30" s="10">
        <f t="shared" si="7"/>
        <v>0</v>
      </c>
      <c r="AA30">
        <f t="shared" si="0"/>
        <v>1</v>
      </c>
      <c r="AB30">
        <f t="shared" si="8"/>
        <v>0</v>
      </c>
      <c r="AC30">
        <f t="shared" si="1"/>
        <v>1</v>
      </c>
    </row>
    <row r="31" spans="1:29" x14ac:dyDescent="0.35">
      <c r="A31" t="s">
        <v>47</v>
      </c>
      <c r="B31" t="s">
        <v>445</v>
      </c>
      <c r="C31" t="s">
        <v>653</v>
      </c>
      <c r="D31" t="s">
        <v>1795</v>
      </c>
      <c r="E31" t="s">
        <v>1810</v>
      </c>
      <c r="F31" t="s">
        <v>1024</v>
      </c>
      <c r="G31" t="s">
        <v>1028</v>
      </c>
      <c r="H31" t="s">
        <v>1037</v>
      </c>
      <c r="I31" t="s">
        <v>1041</v>
      </c>
      <c r="J31" t="s">
        <v>1048</v>
      </c>
      <c r="K31" s="9">
        <v>45434</v>
      </c>
      <c r="L31" s="20">
        <f t="shared" si="2"/>
        <v>45413</v>
      </c>
      <c r="M31" s="10">
        <f t="shared" si="3"/>
        <v>2024</v>
      </c>
      <c r="N31" s="9">
        <v>45452</v>
      </c>
      <c r="O31" s="9" t="s">
        <v>2350</v>
      </c>
      <c r="P31" s="9" t="s">
        <v>2350</v>
      </c>
      <c r="Q31" s="26" t="str">
        <f t="shared" si="4"/>
        <v/>
      </c>
      <c r="R31" t="s">
        <v>1615</v>
      </c>
      <c r="S31" s="15">
        <v>31353</v>
      </c>
      <c r="U31" t="s">
        <v>1624</v>
      </c>
      <c r="V31" t="s">
        <v>1626</v>
      </c>
      <c r="W31" s="17">
        <v>2.4</v>
      </c>
      <c r="X31" s="10">
        <f t="shared" si="5"/>
        <v>1</v>
      </c>
      <c r="Y31" s="10">
        <f t="shared" si="6"/>
        <v>0</v>
      </c>
      <c r="Z31" s="10">
        <f t="shared" si="7"/>
        <v>0</v>
      </c>
      <c r="AA31">
        <f t="shared" si="0"/>
        <v>1</v>
      </c>
      <c r="AB31">
        <f t="shared" si="8"/>
        <v>0</v>
      </c>
      <c r="AC31">
        <f t="shared" si="1"/>
        <v>0</v>
      </c>
    </row>
    <row r="32" spans="1:29" x14ac:dyDescent="0.35">
      <c r="A32" t="s">
        <v>48</v>
      </c>
      <c r="B32" t="s">
        <v>446</v>
      </c>
      <c r="C32" t="s">
        <v>654</v>
      </c>
      <c r="D32" t="s">
        <v>1811</v>
      </c>
      <c r="E32" t="s">
        <v>1812</v>
      </c>
      <c r="F32" t="s">
        <v>1024</v>
      </c>
      <c r="G32" t="s">
        <v>1029</v>
      </c>
      <c r="H32" t="s">
        <v>1034</v>
      </c>
      <c r="I32" t="s">
        <v>1043</v>
      </c>
      <c r="J32" t="s">
        <v>1742</v>
      </c>
      <c r="K32" s="9">
        <v>45473</v>
      </c>
      <c r="L32" s="20">
        <f t="shared" si="2"/>
        <v>45444</v>
      </c>
      <c r="M32" s="10">
        <f t="shared" si="3"/>
        <v>2024</v>
      </c>
      <c r="N32" s="9" t="s">
        <v>2350</v>
      </c>
      <c r="O32" s="9" t="s">
        <v>2350</v>
      </c>
      <c r="P32" s="9" t="s">
        <v>2350</v>
      </c>
      <c r="Q32" s="26" t="str">
        <f t="shared" si="4"/>
        <v/>
      </c>
      <c r="R32" t="s">
        <v>1619</v>
      </c>
      <c r="S32" s="15">
        <v>38825</v>
      </c>
      <c r="U32" t="s">
        <v>1622</v>
      </c>
      <c r="V32" t="s">
        <v>1626</v>
      </c>
      <c r="W32" s="17">
        <v>4.8</v>
      </c>
      <c r="X32" s="10">
        <f t="shared" si="5"/>
        <v>1</v>
      </c>
      <c r="Y32" s="10">
        <f t="shared" si="6"/>
        <v>0</v>
      </c>
      <c r="Z32" s="10">
        <f t="shared" si="7"/>
        <v>1</v>
      </c>
      <c r="AA32">
        <f t="shared" si="0"/>
        <v>0</v>
      </c>
      <c r="AB32">
        <f t="shared" si="8"/>
        <v>0</v>
      </c>
      <c r="AC32">
        <f t="shared" si="1"/>
        <v>0</v>
      </c>
    </row>
    <row r="33" spans="1:29" x14ac:dyDescent="0.35">
      <c r="A33" t="s">
        <v>49</v>
      </c>
      <c r="B33" t="s">
        <v>447</v>
      </c>
      <c r="C33" t="s">
        <v>655</v>
      </c>
      <c r="D33" t="s">
        <v>1813</v>
      </c>
      <c r="E33" t="s">
        <v>1814</v>
      </c>
      <c r="F33" t="s">
        <v>1022</v>
      </c>
      <c r="G33" t="s">
        <v>1030</v>
      </c>
      <c r="H33" t="s">
        <v>1035</v>
      </c>
      <c r="I33" t="s">
        <v>1041</v>
      </c>
      <c r="J33" t="s">
        <v>1742</v>
      </c>
      <c r="K33" s="9">
        <v>45731</v>
      </c>
      <c r="L33" s="20">
        <f t="shared" si="2"/>
        <v>45717</v>
      </c>
      <c r="M33" s="10">
        <f t="shared" si="3"/>
        <v>2025</v>
      </c>
      <c r="N33" s="9" t="s">
        <v>2350</v>
      </c>
      <c r="O33" s="9" t="s">
        <v>2350</v>
      </c>
      <c r="P33" s="9" t="s">
        <v>2350</v>
      </c>
      <c r="Q33" s="26" t="str">
        <f t="shared" si="4"/>
        <v/>
      </c>
      <c r="R33" t="s">
        <v>1617</v>
      </c>
      <c r="S33" s="15">
        <v>37727</v>
      </c>
      <c r="U33" t="s">
        <v>1622</v>
      </c>
      <c r="V33" t="s">
        <v>1627</v>
      </c>
      <c r="W33" s="17">
        <v>3.1</v>
      </c>
      <c r="X33" s="10">
        <f t="shared" si="5"/>
        <v>1</v>
      </c>
      <c r="Y33" s="10">
        <f t="shared" si="6"/>
        <v>1</v>
      </c>
      <c r="Z33" s="10">
        <f t="shared" si="7"/>
        <v>0</v>
      </c>
      <c r="AA33">
        <f t="shared" si="0"/>
        <v>0</v>
      </c>
      <c r="AB33">
        <f t="shared" si="8"/>
        <v>0</v>
      </c>
      <c r="AC33">
        <f t="shared" si="1"/>
        <v>0</v>
      </c>
    </row>
    <row r="34" spans="1:29" x14ac:dyDescent="0.35">
      <c r="A34" t="s">
        <v>50</v>
      </c>
      <c r="B34" t="s">
        <v>437</v>
      </c>
      <c r="C34" t="s">
        <v>656</v>
      </c>
      <c r="D34" t="s">
        <v>1815</v>
      </c>
      <c r="E34" t="s">
        <v>1816</v>
      </c>
      <c r="F34" t="s">
        <v>1022</v>
      </c>
      <c r="G34" t="s">
        <v>1032</v>
      </c>
      <c r="H34" t="s">
        <v>1040</v>
      </c>
      <c r="I34" t="s">
        <v>1042</v>
      </c>
      <c r="J34" t="s">
        <v>1050</v>
      </c>
      <c r="K34" s="9">
        <v>45735</v>
      </c>
      <c r="L34" s="20">
        <f t="shared" si="2"/>
        <v>45717</v>
      </c>
      <c r="M34" s="10">
        <f t="shared" si="3"/>
        <v>2025</v>
      </c>
      <c r="N34" s="9">
        <v>45765</v>
      </c>
      <c r="O34" s="9" t="s">
        <v>2350</v>
      </c>
      <c r="P34" s="9" t="s">
        <v>2350</v>
      </c>
      <c r="Q34" s="26" t="str">
        <f t="shared" si="4"/>
        <v/>
      </c>
      <c r="R34" t="s">
        <v>1615</v>
      </c>
      <c r="S34" s="15">
        <v>43908</v>
      </c>
      <c r="U34" t="s">
        <v>1624</v>
      </c>
      <c r="V34" t="s">
        <v>1628</v>
      </c>
      <c r="W34" s="17">
        <v>5</v>
      </c>
      <c r="X34" s="10">
        <f t="shared" si="5"/>
        <v>1</v>
      </c>
      <c r="Y34" s="10">
        <f t="shared" si="6"/>
        <v>0</v>
      </c>
      <c r="Z34" s="10">
        <f t="shared" si="7"/>
        <v>0</v>
      </c>
      <c r="AA34">
        <f t="shared" si="0"/>
        <v>1</v>
      </c>
      <c r="AB34">
        <f t="shared" si="8"/>
        <v>0</v>
      </c>
      <c r="AC34">
        <f t="shared" si="1"/>
        <v>0</v>
      </c>
    </row>
    <row r="35" spans="1:29" x14ac:dyDescent="0.35">
      <c r="A35" t="s">
        <v>51</v>
      </c>
      <c r="B35" t="s">
        <v>448</v>
      </c>
      <c r="C35" t="s">
        <v>657</v>
      </c>
      <c r="D35" t="s">
        <v>1817</v>
      </c>
      <c r="E35" t="s">
        <v>1818</v>
      </c>
      <c r="F35" t="s">
        <v>1022</v>
      </c>
      <c r="G35" t="s">
        <v>1031</v>
      </c>
      <c r="H35" t="s">
        <v>1035</v>
      </c>
      <c r="I35" t="s">
        <v>1045</v>
      </c>
      <c r="J35" t="s">
        <v>1051</v>
      </c>
      <c r="K35" s="9">
        <v>45354</v>
      </c>
      <c r="L35" s="20">
        <f t="shared" si="2"/>
        <v>45352</v>
      </c>
      <c r="M35" s="10">
        <f t="shared" si="3"/>
        <v>2024</v>
      </c>
      <c r="N35" s="9">
        <v>45377</v>
      </c>
      <c r="O35" s="9">
        <v>45374</v>
      </c>
      <c r="P35" s="9">
        <v>45404</v>
      </c>
      <c r="Q35" s="26">
        <f t="shared" si="4"/>
        <v>50</v>
      </c>
      <c r="R35" t="s">
        <v>1620</v>
      </c>
      <c r="S35" s="15">
        <v>38161</v>
      </c>
      <c r="T35" s="15">
        <v>38916</v>
      </c>
      <c r="U35" t="s">
        <v>1625</v>
      </c>
      <c r="V35" t="s">
        <v>1628</v>
      </c>
      <c r="W35" s="17">
        <v>2.5</v>
      </c>
      <c r="X35" s="10">
        <f t="shared" si="5"/>
        <v>1</v>
      </c>
      <c r="Y35" s="10">
        <f t="shared" si="6"/>
        <v>0</v>
      </c>
      <c r="Z35" s="10">
        <f t="shared" si="7"/>
        <v>0</v>
      </c>
      <c r="AA35">
        <f t="shared" si="0"/>
        <v>1</v>
      </c>
      <c r="AB35">
        <f t="shared" si="8"/>
        <v>0</v>
      </c>
      <c r="AC35">
        <f t="shared" si="1"/>
        <v>1</v>
      </c>
    </row>
    <row r="36" spans="1:29" x14ac:dyDescent="0.35">
      <c r="A36" t="s">
        <v>52</v>
      </c>
      <c r="B36" t="s">
        <v>419</v>
      </c>
      <c r="C36" t="s">
        <v>658</v>
      </c>
      <c r="D36" t="s">
        <v>1819</v>
      </c>
      <c r="E36" t="s">
        <v>1765</v>
      </c>
      <c r="F36" t="s">
        <v>1026</v>
      </c>
      <c r="G36" t="s">
        <v>1028</v>
      </c>
      <c r="H36" t="s">
        <v>1034</v>
      </c>
      <c r="I36" t="s">
        <v>1045</v>
      </c>
      <c r="J36" t="s">
        <v>1049</v>
      </c>
      <c r="K36" s="9">
        <v>45629</v>
      </c>
      <c r="L36" s="20">
        <f t="shared" si="2"/>
        <v>45627</v>
      </c>
      <c r="M36" s="10">
        <f t="shared" si="3"/>
        <v>2024</v>
      </c>
      <c r="N36" s="9">
        <v>45653</v>
      </c>
      <c r="O36" s="9">
        <v>45671</v>
      </c>
      <c r="P36" s="9">
        <v>45694</v>
      </c>
      <c r="Q36" s="26">
        <f t="shared" si="4"/>
        <v>65</v>
      </c>
      <c r="R36" t="s">
        <v>1620</v>
      </c>
      <c r="S36" s="15">
        <v>39128</v>
      </c>
      <c r="T36" s="15">
        <v>39038</v>
      </c>
      <c r="U36" t="s">
        <v>1624</v>
      </c>
      <c r="V36" t="s">
        <v>1626</v>
      </c>
      <c r="W36" s="17">
        <v>3.3</v>
      </c>
      <c r="X36" s="10">
        <f t="shared" si="5"/>
        <v>1</v>
      </c>
      <c r="Y36" s="10">
        <f t="shared" si="6"/>
        <v>0</v>
      </c>
      <c r="Z36" s="10">
        <f t="shared" si="7"/>
        <v>0</v>
      </c>
      <c r="AA36">
        <f t="shared" si="0"/>
        <v>1</v>
      </c>
      <c r="AB36">
        <f t="shared" si="8"/>
        <v>0</v>
      </c>
      <c r="AC36">
        <f t="shared" si="1"/>
        <v>1</v>
      </c>
    </row>
    <row r="37" spans="1:29" x14ac:dyDescent="0.35">
      <c r="A37" t="s">
        <v>53</v>
      </c>
      <c r="B37" t="s">
        <v>449</v>
      </c>
      <c r="C37" t="s">
        <v>659</v>
      </c>
      <c r="D37" t="s">
        <v>1820</v>
      </c>
      <c r="E37" t="s">
        <v>1821</v>
      </c>
      <c r="F37" t="s">
        <v>1024</v>
      </c>
      <c r="G37" t="s">
        <v>1032</v>
      </c>
      <c r="H37" t="s">
        <v>1037</v>
      </c>
      <c r="I37" t="s">
        <v>1042</v>
      </c>
      <c r="J37" t="s">
        <v>1050</v>
      </c>
      <c r="K37" s="9">
        <v>45503</v>
      </c>
      <c r="L37" s="20">
        <f t="shared" si="2"/>
        <v>45474</v>
      </c>
      <c r="M37" s="10">
        <f t="shared" si="3"/>
        <v>2024</v>
      </c>
      <c r="N37" s="9" t="s">
        <v>2350</v>
      </c>
      <c r="O37" s="9" t="s">
        <v>2350</v>
      </c>
      <c r="P37" s="9" t="s">
        <v>2350</v>
      </c>
      <c r="Q37" s="26" t="str">
        <f t="shared" si="4"/>
        <v/>
      </c>
      <c r="R37" t="s">
        <v>1619</v>
      </c>
      <c r="S37" s="15">
        <v>32659</v>
      </c>
      <c r="U37" t="s">
        <v>1625</v>
      </c>
      <c r="V37" t="s">
        <v>1628</v>
      </c>
      <c r="W37" s="17">
        <v>2.2000000000000002</v>
      </c>
      <c r="X37" s="10">
        <f t="shared" si="5"/>
        <v>1</v>
      </c>
      <c r="Y37" s="10">
        <f t="shared" si="6"/>
        <v>0</v>
      </c>
      <c r="Z37" s="10">
        <f t="shared" si="7"/>
        <v>1</v>
      </c>
      <c r="AA37">
        <f t="shared" si="0"/>
        <v>0</v>
      </c>
      <c r="AB37">
        <f t="shared" si="8"/>
        <v>0</v>
      </c>
      <c r="AC37">
        <f t="shared" si="1"/>
        <v>0</v>
      </c>
    </row>
    <row r="38" spans="1:29" x14ac:dyDescent="0.35">
      <c r="A38" t="s">
        <v>54</v>
      </c>
      <c r="B38" t="s">
        <v>450</v>
      </c>
      <c r="C38" t="s">
        <v>660</v>
      </c>
      <c r="D38" t="s">
        <v>1822</v>
      </c>
      <c r="E38" t="s">
        <v>1823</v>
      </c>
      <c r="F38" t="s">
        <v>1023</v>
      </c>
      <c r="G38" t="s">
        <v>1028</v>
      </c>
      <c r="H38" t="s">
        <v>1035</v>
      </c>
      <c r="I38" t="s">
        <v>1043</v>
      </c>
      <c r="J38" t="s">
        <v>1742</v>
      </c>
      <c r="K38" s="9">
        <v>45543</v>
      </c>
      <c r="L38" s="20">
        <f t="shared" si="2"/>
        <v>45536</v>
      </c>
      <c r="M38" s="10">
        <f t="shared" si="3"/>
        <v>2024</v>
      </c>
      <c r="N38" s="9">
        <v>45550</v>
      </c>
      <c r="O38" s="9" t="s">
        <v>2350</v>
      </c>
      <c r="P38" s="9" t="s">
        <v>2350</v>
      </c>
      <c r="Q38" s="26" t="str">
        <f t="shared" si="4"/>
        <v/>
      </c>
      <c r="R38" t="s">
        <v>1615</v>
      </c>
      <c r="S38" s="15">
        <v>34309</v>
      </c>
      <c r="U38" t="s">
        <v>1622</v>
      </c>
      <c r="V38" t="s">
        <v>1627</v>
      </c>
      <c r="W38" s="17">
        <v>2.5</v>
      </c>
      <c r="X38" s="10">
        <f t="shared" si="5"/>
        <v>1</v>
      </c>
      <c r="Y38" s="10">
        <f t="shared" si="6"/>
        <v>0</v>
      </c>
      <c r="Z38" s="10">
        <f t="shared" si="7"/>
        <v>0</v>
      </c>
      <c r="AA38">
        <f t="shared" si="0"/>
        <v>1</v>
      </c>
      <c r="AB38">
        <f t="shared" si="8"/>
        <v>0</v>
      </c>
      <c r="AC38">
        <f t="shared" si="1"/>
        <v>0</v>
      </c>
    </row>
    <row r="39" spans="1:29" x14ac:dyDescent="0.35">
      <c r="A39" t="s">
        <v>55</v>
      </c>
      <c r="B39" t="s">
        <v>451</v>
      </c>
      <c r="C39" t="s">
        <v>1824</v>
      </c>
      <c r="D39" t="s">
        <v>1784</v>
      </c>
      <c r="E39" t="s">
        <v>1825</v>
      </c>
      <c r="F39" t="s">
        <v>1022</v>
      </c>
      <c r="G39" t="s">
        <v>1029</v>
      </c>
      <c r="H39" t="s">
        <v>1037</v>
      </c>
      <c r="I39" t="s">
        <v>1041</v>
      </c>
      <c r="J39" t="s">
        <v>1050</v>
      </c>
      <c r="K39" s="9">
        <v>45697</v>
      </c>
      <c r="L39" s="20">
        <f t="shared" si="2"/>
        <v>45689</v>
      </c>
      <c r="M39" s="10">
        <f t="shared" si="3"/>
        <v>2025</v>
      </c>
      <c r="N39" s="9" t="s">
        <v>2350</v>
      </c>
      <c r="O39" s="9" t="s">
        <v>2350</v>
      </c>
      <c r="P39" s="9" t="s">
        <v>2350</v>
      </c>
      <c r="Q39" s="26" t="str">
        <f t="shared" si="4"/>
        <v/>
      </c>
      <c r="R39" t="s">
        <v>1616</v>
      </c>
      <c r="S39" s="15">
        <v>29123</v>
      </c>
      <c r="U39" t="s">
        <v>1623</v>
      </c>
      <c r="V39" t="s">
        <v>1626</v>
      </c>
      <c r="W39" s="17">
        <v>3.6</v>
      </c>
      <c r="X39" s="10">
        <f t="shared" si="5"/>
        <v>1</v>
      </c>
      <c r="Y39" s="10">
        <f t="shared" si="6"/>
        <v>0</v>
      </c>
      <c r="Z39" s="10">
        <f t="shared" si="7"/>
        <v>0</v>
      </c>
      <c r="AA39">
        <f t="shared" si="0"/>
        <v>0</v>
      </c>
      <c r="AB39">
        <f t="shared" si="8"/>
        <v>0</v>
      </c>
      <c r="AC39">
        <f t="shared" si="1"/>
        <v>0</v>
      </c>
    </row>
    <row r="40" spans="1:29" x14ac:dyDescent="0.35">
      <c r="A40" t="s">
        <v>56</v>
      </c>
      <c r="B40" t="s">
        <v>452</v>
      </c>
      <c r="C40" t="s">
        <v>662</v>
      </c>
      <c r="D40" t="s">
        <v>1826</v>
      </c>
      <c r="E40" t="s">
        <v>1827</v>
      </c>
      <c r="F40" t="s">
        <v>1027</v>
      </c>
      <c r="G40" t="s">
        <v>1029</v>
      </c>
      <c r="H40" t="s">
        <v>1741</v>
      </c>
      <c r="I40" t="s">
        <v>1041</v>
      </c>
      <c r="J40" t="s">
        <v>1050</v>
      </c>
      <c r="K40" s="9">
        <v>45446</v>
      </c>
      <c r="L40" s="20">
        <f t="shared" si="2"/>
        <v>45444</v>
      </c>
      <c r="M40" s="10">
        <f t="shared" si="3"/>
        <v>2024</v>
      </c>
      <c r="N40" s="9" t="s">
        <v>2350</v>
      </c>
      <c r="O40" s="9" t="s">
        <v>2350</v>
      </c>
      <c r="P40" s="9" t="s">
        <v>2350</v>
      </c>
      <c r="Q40" s="26" t="str">
        <f t="shared" si="4"/>
        <v/>
      </c>
      <c r="R40" t="s">
        <v>1616</v>
      </c>
      <c r="S40" s="15">
        <v>44189</v>
      </c>
      <c r="U40" t="s">
        <v>1622</v>
      </c>
      <c r="V40" t="s">
        <v>1626</v>
      </c>
      <c r="W40" s="17">
        <v>3.2</v>
      </c>
      <c r="X40" s="10">
        <f t="shared" si="5"/>
        <v>1</v>
      </c>
      <c r="Y40" s="10">
        <f t="shared" si="6"/>
        <v>0</v>
      </c>
      <c r="Z40" s="10">
        <f t="shared" si="7"/>
        <v>0</v>
      </c>
      <c r="AA40">
        <f t="shared" si="0"/>
        <v>0</v>
      </c>
      <c r="AB40">
        <f t="shared" si="8"/>
        <v>0</v>
      </c>
      <c r="AC40">
        <f t="shared" si="1"/>
        <v>0</v>
      </c>
    </row>
    <row r="41" spans="1:29" x14ac:dyDescent="0.35">
      <c r="A41" t="s">
        <v>57</v>
      </c>
      <c r="B41" t="s">
        <v>453</v>
      </c>
      <c r="C41" t="s">
        <v>663</v>
      </c>
      <c r="D41" t="s">
        <v>1828</v>
      </c>
      <c r="E41" t="s">
        <v>1829</v>
      </c>
      <c r="F41" t="s">
        <v>1025</v>
      </c>
      <c r="G41" t="s">
        <v>1030</v>
      </c>
      <c r="H41" t="s">
        <v>1040</v>
      </c>
      <c r="I41" t="s">
        <v>1045</v>
      </c>
      <c r="J41" t="s">
        <v>1742</v>
      </c>
      <c r="K41" s="9">
        <v>45570</v>
      </c>
      <c r="L41" s="20">
        <f t="shared" si="2"/>
        <v>45566</v>
      </c>
      <c r="M41" s="10">
        <f t="shared" si="3"/>
        <v>2024</v>
      </c>
      <c r="N41" s="9" t="s">
        <v>2350</v>
      </c>
      <c r="O41" s="9" t="s">
        <v>2350</v>
      </c>
      <c r="P41" s="9" t="s">
        <v>2350</v>
      </c>
      <c r="Q41" s="26" t="str">
        <f t="shared" si="4"/>
        <v/>
      </c>
      <c r="R41" t="s">
        <v>1616</v>
      </c>
      <c r="S41" s="15">
        <v>44526</v>
      </c>
      <c r="U41" t="s">
        <v>1624</v>
      </c>
      <c r="V41" t="s">
        <v>1628</v>
      </c>
      <c r="W41" s="17">
        <v>3.2</v>
      </c>
      <c r="X41" s="10">
        <f t="shared" si="5"/>
        <v>1</v>
      </c>
      <c r="Y41" s="10">
        <f t="shared" si="6"/>
        <v>0</v>
      </c>
      <c r="Z41" s="10">
        <f t="shared" si="7"/>
        <v>0</v>
      </c>
      <c r="AA41">
        <f t="shared" si="0"/>
        <v>0</v>
      </c>
      <c r="AB41">
        <f t="shared" si="8"/>
        <v>0</v>
      </c>
      <c r="AC41">
        <f t="shared" si="1"/>
        <v>0</v>
      </c>
    </row>
    <row r="42" spans="1:29" x14ac:dyDescent="0.35">
      <c r="A42" t="s">
        <v>58</v>
      </c>
      <c r="B42" t="s">
        <v>454</v>
      </c>
      <c r="C42" t="s">
        <v>664</v>
      </c>
      <c r="D42" t="s">
        <v>1819</v>
      </c>
      <c r="E42" t="s">
        <v>1830</v>
      </c>
      <c r="F42" t="s">
        <v>1025</v>
      </c>
      <c r="G42" t="s">
        <v>1028</v>
      </c>
      <c r="H42" t="s">
        <v>1035</v>
      </c>
      <c r="I42" t="s">
        <v>1042</v>
      </c>
      <c r="J42" t="s">
        <v>1051</v>
      </c>
      <c r="K42" s="9">
        <v>45674</v>
      </c>
      <c r="L42" s="20">
        <f t="shared" si="2"/>
        <v>45658</v>
      </c>
      <c r="M42" s="10">
        <f t="shared" si="3"/>
        <v>2025</v>
      </c>
      <c r="N42" s="9">
        <v>45681</v>
      </c>
      <c r="O42" s="9" t="s">
        <v>2350</v>
      </c>
      <c r="P42" s="9" t="s">
        <v>2350</v>
      </c>
      <c r="Q42" s="26" t="str">
        <f t="shared" si="4"/>
        <v/>
      </c>
      <c r="R42" t="s">
        <v>1615</v>
      </c>
      <c r="S42" s="15">
        <v>50270</v>
      </c>
      <c r="U42" t="s">
        <v>1621</v>
      </c>
      <c r="V42" t="s">
        <v>1627</v>
      </c>
      <c r="W42" s="17">
        <v>4.0999999999999996</v>
      </c>
      <c r="X42" s="10">
        <f t="shared" si="5"/>
        <v>1</v>
      </c>
      <c r="Y42" s="10">
        <f t="shared" si="6"/>
        <v>0</v>
      </c>
      <c r="Z42" s="10">
        <f t="shared" si="7"/>
        <v>0</v>
      </c>
      <c r="AA42">
        <f t="shared" si="0"/>
        <v>1</v>
      </c>
      <c r="AB42">
        <f t="shared" si="8"/>
        <v>0</v>
      </c>
      <c r="AC42">
        <f t="shared" si="1"/>
        <v>0</v>
      </c>
    </row>
    <row r="43" spans="1:29" x14ac:dyDescent="0.35">
      <c r="A43" t="s">
        <v>59</v>
      </c>
      <c r="B43" t="s">
        <v>455</v>
      </c>
      <c r="C43" t="s">
        <v>1831</v>
      </c>
      <c r="D43" t="s">
        <v>1832</v>
      </c>
      <c r="E43" t="s">
        <v>1833</v>
      </c>
      <c r="F43" t="s">
        <v>1025</v>
      </c>
      <c r="G43" t="s">
        <v>1032</v>
      </c>
      <c r="H43" t="s">
        <v>1034</v>
      </c>
      <c r="I43" t="s">
        <v>1042</v>
      </c>
      <c r="J43" t="s">
        <v>1051</v>
      </c>
      <c r="K43" s="9">
        <v>45600</v>
      </c>
      <c r="L43" s="20">
        <f t="shared" si="2"/>
        <v>45597</v>
      </c>
      <c r="M43" s="10">
        <f t="shared" si="3"/>
        <v>2024</v>
      </c>
      <c r="N43" s="9" t="s">
        <v>2350</v>
      </c>
      <c r="O43" s="9" t="s">
        <v>2350</v>
      </c>
      <c r="P43" s="9" t="s">
        <v>2350</v>
      </c>
      <c r="Q43" s="26" t="str">
        <f t="shared" si="4"/>
        <v/>
      </c>
      <c r="R43" t="s">
        <v>1616</v>
      </c>
      <c r="S43" s="15">
        <v>44498</v>
      </c>
      <c r="U43" t="s">
        <v>1625</v>
      </c>
      <c r="V43" t="s">
        <v>1628</v>
      </c>
      <c r="W43" s="17">
        <v>3.6</v>
      </c>
      <c r="X43" s="10">
        <f t="shared" si="5"/>
        <v>1</v>
      </c>
      <c r="Y43" s="10">
        <f t="shared" si="6"/>
        <v>0</v>
      </c>
      <c r="Z43" s="10">
        <f t="shared" si="7"/>
        <v>0</v>
      </c>
      <c r="AA43">
        <f t="shared" si="0"/>
        <v>0</v>
      </c>
      <c r="AB43">
        <f t="shared" si="8"/>
        <v>0</v>
      </c>
      <c r="AC43">
        <f t="shared" si="1"/>
        <v>0</v>
      </c>
    </row>
    <row r="44" spans="1:29" x14ac:dyDescent="0.35">
      <c r="A44" t="s">
        <v>60</v>
      </c>
      <c r="B44" t="s">
        <v>456</v>
      </c>
      <c r="C44" t="s">
        <v>1834</v>
      </c>
      <c r="D44" t="s">
        <v>1622</v>
      </c>
      <c r="E44" t="s">
        <v>1835</v>
      </c>
      <c r="F44" t="s">
        <v>1022</v>
      </c>
      <c r="G44" t="s">
        <v>1031</v>
      </c>
      <c r="H44" t="s">
        <v>1037</v>
      </c>
      <c r="I44" t="s">
        <v>1043</v>
      </c>
      <c r="J44" t="s">
        <v>1742</v>
      </c>
      <c r="K44" s="9">
        <v>45525</v>
      </c>
      <c r="L44" s="20">
        <f t="shared" si="2"/>
        <v>45505</v>
      </c>
      <c r="M44" s="10">
        <f t="shared" si="3"/>
        <v>2024</v>
      </c>
      <c r="N44" s="9" t="s">
        <v>2350</v>
      </c>
      <c r="O44" s="9" t="s">
        <v>2350</v>
      </c>
      <c r="P44" s="9" t="s">
        <v>2350</v>
      </c>
      <c r="Q44" s="26" t="str">
        <f t="shared" si="4"/>
        <v/>
      </c>
      <c r="R44" t="s">
        <v>1619</v>
      </c>
      <c r="S44" s="15">
        <v>33498</v>
      </c>
      <c r="U44" t="s">
        <v>1624</v>
      </c>
      <c r="V44" t="s">
        <v>1626</v>
      </c>
      <c r="W44" s="17">
        <v>4.5</v>
      </c>
      <c r="X44" s="10">
        <f t="shared" si="5"/>
        <v>1</v>
      </c>
      <c r="Y44" s="10">
        <f t="shared" si="6"/>
        <v>0</v>
      </c>
      <c r="Z44" s="10">
        <f t="shared" si="7"/>
        <v>1</v>
      </c>
      <c r="AA44">
        <f t="shared" si="0"/>
        <v>0</v>
      </c>
      <c r="AB44">
        <f t="shared" si="8"/>
        <v>0</v>
      </c>
      <c r="AC44">
        <f t="shared" si="1"/>
        <v>0</v>
      </c>
    </row>
    <row r="45" spans="1:29" x14ac:dyDescent="0.35">
      <c r="A45" t="s">
        <v>61</v>
      </c>
      <c r="B45" t="s">
        <v>457</v>
      </c>
      <c r="C45" t="s">
        <v>1836</v>
      </c>
      <c r="D45" t="s">
        <v>1837</v>
      </c>
      <c r="E45" t="s">
        <v>1838</v>
      </c>
      <c r="F45" t="s">
        <v>1023</v>
      </c>
      <c r="G45" t="s">
        <v>1028</v>
      </c>
      <c r="H45" t="s">
        <v>1036</v>
      </c>
      <c r="I45" t="s">
        <v>1045</v>
      </c>
      <c r="J45" t="s">
        <v>1048</v>
      </c>
      <c r="K45" s="9">
        <v>45441</v>
      </c>
      <c r="L45" s="20">
        <f t="shared" si="2"/>
        <v>45413</v>
      </c>
      <c r="M45" s="10">
        <f t="shared" si="3"/>
        <v>2024</v>
      </c>
      <c r="N45" s="9" t="s">
        <v>2350</v>
      </c>
      <c r="O45" s="9" t="s">
        <v>2350</v>
      </c>
      <c r="P45" s="9" t="s">
        <v>2350</v>
      </c>
      <c r="Q45" s="26" t="str">
        <f t="shared" si="4"/>
        <v/>
      </c>
      <c r="R45" t="s">
        <v>1616</v>
      </c>
      <c r="S45" s="15">
        <v>44058</v>
      </c>
      <c r="U45" t="s">
        <v>1624</v>
      </c>
      <c r="V45" t="s">
        <v>1627</v>
      </c>
      <c r="W45" s="17">
        <v>3.2</v>
      </c>
      <c r="X45" s="10">
        <f t="shared" si="5"/>
        <v>1</v>
      </c>
      <c r="Y45" s="10">
        <f t="shared" si="6"/>
        <v>0</v>
      </c>
      <c r="Z45" s="10">
        <f t="shared" si="7"/>
        <v>0</v>
      </c>
      <c r="AA45">
        <f t="shared" si="0"/>
        <v>0</v>
      </c>
      <c r="AB45">
        <f t="shared" si="8"/>
        <v>0</v>
      </c>
      <c r="AC45">
        <f t="shared" si="1"/>
        <v>0</v>
      </c>
    </row>
    <row r="46" spans="1:29" x14ac:dyDescent="0.35">
      <c r="A46" t="s">
        <v>62</v>
      </c>
      <c r="B46" t="s">
        <v>458</v>
      </c>
      <c r="C46" t="s">
        <v>668</v>
      </c>
      <c r="D46" t="s">
        <v>1839</v>
      </c>
      <c r="E46" t="s">
        <v>1840</v>
      </c>
      <c r="F46" t="s">
        <v>1026</v>
      </c>
      <c r="G46" t="s">
        <v>1032</v>
      </c>
      <c r="H46" t="s">
        <v>1039</v>
      </c>
      <c r="I46" t="s">
        <v>1042</v>
      </c>
      <c r="J46" t="s">
        <v>1742</v>
      </c>
      <c r="K46" s="9">
        <v>45771</v>
      </c>
      <c r="L46" s="20">
        <f t="shared" si="2"/>
        <v>45748</v>
      </c>
      <c r="M46" s="10">
        <f t="shared" si="3"/>
        <v>2025</v>
      </c>
      <c r="N46" s="9" t="s">
        <v>2350</v>
      </c>
      <c r="O46" s="9" t="s">
        <v>2350</v>
      </c>
      <c r="P46" s="9" t="s">
        <v>2350</v>
      </c>
      <c r="Q46" s="26" t="str">
        <f t="shared" si="4"/>
        <v/>
      </c>
      <c r="R46" t="s">
        <v>1619</v>
      </c>
      <c r="S46" s="15">
        <v>38421</v>
      </c>
      <c r="U46" t="s">
        <v>1625</v>
      </c>
      <c r="V46" t="s">
        <v>1628</v>
      </c>
      <c r="W46" s="17">
        <v>2.8</v>
      </c>
      <c r="X46" s="10">
        <f t="shared" si="5"/>
        <v>1</v>
      </c>
      <c r="Y46" s="10">
        <f t="shared" si="6"/>
        <v>0</v>
      </c>
      <c r="Z46" s="10">
        <f t="shared" si="7"/>
        <v>1</v>
      </c>
      <c r="AA46">
        <f t="shared" si="0"/>
        <v>0</v>
      </c>
      <c r="AB46">
        <f t="shared" si="8"/>
        <v>0</v>
      </c>
      <c r="AC46">
        <f t="shared" si="1"/>
        <v>0</v>
      </c>
    </row>
    <row r="47" spans="1:29" x14ac:dyDescent="0.35">
      <c r="A47" t="s">
        <v>63</v>
      </c>
      <c r="B47" t="s">
        <v>459</v>
      </c>
      <c r="C47" t="s">
        <v>1841</v>
      </c>
      <c r="D47" t="s">
        <v>1842</v>
      </c>
      <c r="E47" t="s">
        <v>1843</v>
      </c>
      <c r="F47" t="s">
        <v>1025</v>
      </c>
      <c r="G47" t="s">
        <v>1030</v>
      </c>
      <c r="H47" t="s">
        <v>1035</v>
      </c>
      <c r="I47" t="s">
        <v>1044</v>
      </c>
      <c r="J47" t="s">
        <v>1742</v>
      </c>
      <c r="K47" s="9">
        <v>45466</v>
      </c>
      <c r="L47" s="20">
        <f t="shared" si="2"/>
        <v>45444</v>
      </c>
      <c r="M47" s="10">
        <f t="shared" si="3"/>
        <v>2024</v>
      </c>
      <c r="N47" s="9" t="s">
        <v>2350</v>
      </c>
      <c r="O47" s="9" t="s">
        <v>2350</v>
      </c>
      <c r="P47" s="9" t="s">
        <v>2350</v>
      </c>
      <c r="Q47" s="26" t="str">
        <f t="shared" si="4"/>
        <v/>
      </c>
      <c r="R47" t="s">
        <v>1617</v>
      </c>
      <c r="S47" s="15">
        <v>29475</v>
      </c>
      <c r="U47" t="s">
        <v>1622</v>
      </c>
      <c r="V47" t="s">
        <v>1627</v>
      </c>
      <c r="W47" s="17">
        <v>3.4</v>
      </c>
      <c r="X47" s="10">
        <f t="shared" si="5"/>
        <v>1</v>
      </c>
      <c r="Y47" s="10">
        <f t="shared" si="6"/>
        <v>1</v>
      </c>
      <c r="Z47" s="10">
        <f t="shared" si="7"/>
        <v>0</v>
      </c>
      <c r="AA47">
        <f t="shared" si="0"/>
        <v>0</v>
      </c>
      <c r="AB47">
        <f t="shared" si="8"/>
        <v>0</v>
      </c>
      <c r="AC47">
        <f t="shared" si="1"/>
        <v>0</v>
      </c>
    </row>
    <row r="48" spans="1:29" x14ac:dyDescent="0.35">
      <c r="A48" t="s">
        <v>64</v>
      </c>
      <c r="B48" t="s">
        <v>460</v>
      </c>
      <c r="C48" t="s">
        <v>670</v>
      </c>
      <c r="D48" t="s">
        <v>1844</v>
      </c>
      <c r="E48" t="s">
        <v>1845</v>
      </c>
      <c r="F48" t="s">
        <v>1023</v>
      </c>
      <c r="G48" t="s">
        <v>1032</v>
      </c>
      <c r="H48" t="s">
        <v>1741</v>
      </c>
      <c r="I48" t="s">
        <v>1041</v>
      </c>
      <c r="J48" t="s">
        <v>1050</v>
      </c>
      <c r="K48" s="9">
        <v>45714</v>
      </c>
      <c r="L48" s="20">
        <f t="shared" si="2"/>
        <v>45689</v>
      </c>
      <c r="M48" s="10">
        <f t="shared" si="3"/>
        <v>2025</v>
      </c>
      <c r="N48" s="9" t="s">
        <v>2350</v>
      </c>
      <c r="O48" s="9" t="s">
        <v>2350</v>
      </c>
      <c r="P48" s="9" t="s">
        <v>2350</v>
      </c>
      <c r="Q48" s="26" t="str">
        <f t="shared" si="4"/>
        <v/>
      </c>
      <c r="R48" t="s">
        <v>1616</v>
      </c>
      <c r="S48" s="15">
        <v>43698</v>
      </c>
      <c r="U48" t="s">
        <v>1624</v>
      </c>
      <c r="V48" t="s">
        <v>1627</v>
      </c>
      <c r="W48" s="17">
        <v>3.5</v>
      </c>
      <c r="X48" s="10">
        <f t="shared" si="5"/>
        <v>1</v>
      </c>
      <c r="Y48" s="10">
        <f t="shared" si="6"/>
        <v>0</v>
      </c>
      <c r="Z48" s="10">
        <f t="shared" si="7"/>
        <v>0</v>
      </c>
      <c r="AA48">
        <f t="shared" si="0"/>
        <v>0</v>
      </c>
      <c r="AB48">
        <f t="shared" si="8"/>
        <v>0</v>
      </c>
      <c r="AC48">
        <f t="shared" si="1"/>
        <v>0</v>
      </c>
    </row>
    <row r="49" spans="1:29" x14ac:dyDescent="0.35">
      <c r="A49" t="s">
        <v>65</v>
      </c>
      <c r="B49" t="s">
        <v>461</v>
      </c>
      <c r="C49" t="s">
        <v>671</v>
      </c>
      <c r="D49" t="s">
        <v>1846</v>
      </c>
      <c r="E49" t="s">
        <v>1847</v>
      </c>
      <c r="F49" t="s">
        <v>1026</v>
      </c>
      <c r="G49" t="s">
        <v>1031</v>
      </c>
      <c r="H49" t="s">
        <v>1037</v>
      </c>
      <c r="I49" t="s">
        <v>1042</v>
      </c>
      <c r="J49" t="s">
        <v>1742</v>
      </c>
      <c r="K49" s="9">
        <v>45724</v>
      </c>
      <c r="L49" s="20">
        <f t="shared" si="2"/>
        <v>45717</v>
      </c>
      <c r="M49" s="10">
        <f t="shared" si="3"/>
        <v>2025</v>
      </c>
      <c r="N49" s="9" t="s">
        <v>2350</v>
      </c>
      <c r="O49" s="9" t="s">
        <v>2350</v>
      </c>
      <c r="P49" s="9" t="s">
        <v>2350</v>
      </c>
      <c r="Q49" s="26" t="str">
        <f t="shared" si="4"/>
        <v/>
      </c>
      <c r="R49" t="s">
        <v>1619</v>
      </c>
      <c r="S49" s="15">
        <v>32416</v>
      </c>
      <c r="U49" t="s">
        <v>1621</v>
      </c>
      <c r="V49" t="s">
        <v>1627</v>
      </c>
      <c r="W49" s="17">
        <v>3.8</v>
      </c>
      <c r="X49" s="10">
        <f t="shared" si="5"/>
        <v>1</v>
      </c>
      <c r="Y49" s="10">
        <f t="shared" si="6"/>
        <v>0</v>
      </c>
      <c r="Z49" s="10">
        <f t="shared" si="7"/>
        <v>1</v>
      </c>
      <c r="AA49">
        <f t="shared" si="0"/>
        <v>0</v>
      </c>
      <c r="AB49">
        <f t="shared" si="8"/>
        <v>0</v>
      </c>
      <c r="AC49">
        <f t="shared" si="1"/>
        <v>0</v>
      </c>
    </row>
    <row r="50" spans="1:29" x14ac:dyDescent="0.35">
      <c r="A50" t="s">
        <v>66</v>
      </c>
      <c r="B50" t="s">
        <v>462</v>
      </c>
      <c r="C50" t="s">
        <v>1848</v>
      </c>
      <c r="D50" t="s">
        <v>1849</v>
      </c>
      <c r="E50" t="s">
        <v>1850</v>
      </c>
      <c r="F50" t="s">
        <v>1024</v>
      </c>
      <c r="G50" t="s">
        <v>1032</v>
      </c>
      <c r="H50" t="s">
        <v>1037</v>
      </c>
      <c r="I50" t="s">
        <v>1041</v>
      </c>
      <c r="J50" t="s">
        <v>1742</v>
      </c>
      <c r="K50" s="9">
        <v>45423</v>
      </c>
      <c r="L50" s="20">
        <f t="shared" si="2"/>
        <v>45413</v>
      </c>
      <c r="M50" s="10">
        <f t="shared" si="3"/>
        <v>2024</v>
      </c>
      <c r="N50" s="9">
        <v>45438</v>
      </c>
      <c r="O50" s="9">
        <v>45453</v>
      </c>
      <c r="P50" s="9">
        <v>45486</v>
      </c>
      <c r="Q50" s="26">
        <f t="shared" si="4"/>
        <v>63</v>
      </c>
      <c r="R50" t="s">
        <v>1620</v>
      </c>
      <c r="S50" s="15">
        <v>42769</v>
      </c>
      <c r="T50" s="15">
        <v>44001</v>
      </c>
      <c r="U50" t="s">
        <v>1621</v>
      </c>
      <c r="V50" t="s">
        <v>1627</v>
      </c>
      <c r="W50" s="17">
        <v>2.4</v>
      </c>
      <c r="X50" s="10">
        <f t="shared" si="5"/>
        <v>1</v>
      </c>
      <c r="Y50" s="10">
        <f t="shared" si="6"/>
        <v>0</v>
      </c>
      <c r="Z50" s="10">
        <f t="shared" si="7"/>
        <v>0</v>
      </c>
      <c r="AA50">
        <f t="shared" si="0"/>
        <v>1</v>
      </c>
      <c r="AB50">
        <f t="shared" si="8"/>
        <v>0</v>
      </c>
      <c r="AC50">
        <f t="shared" si="1"/>
        <v>1</v>
      </c>
    </row>
    <row r="51" spans="1:29" x14ac:dyDescent="0.35">
      <c r="A51" t="s">
        <v>67</v>
      </c>
      <c r="B51" t="s">
        <v>463</v>
      </c>
      <c r="C51" t="s">
        <v>673</v>
      </c>
      <c r="D51" t="s">
        <v>1851</v>
      </c>
      <c r="E51" t="s">
        <v>1852</v>
      </c>
      <c r="F51" t="s">
        <v>1023</v>
      </c>
      <c r="G51" t="s">
        <v>1029</v>
      </c>
      <c r="H51" t="s">
        <v>1037</v>
      </c>
      <c r="I51" t="s">
        <v>1043</v>
      </c>
      <c r="J51" t="s">
        <v>1049</v>
      </c>
      <c r="K51" s="9">
        <v>45411</v>
      </c>
      <c r="L51" s="20">
        <f t="shared" si="2"/>
        <v>45383</v>
      </c>
      <c r="M51" s="10">
        <f t="shared" si="3"/>
        <v>2024</v>
      </c>
      <c r="N51" s="9">
        <v>45431</v>
      </c>
      <c r="O51" s="9">
        <v>45449</v>
      </c>
      <c r="P51" s="9" t="s">
        <v>2350</v>
      </c>
      <c r="Q51" s="26" t="str">
        <f t="shared" si="4"/>
        <v/>
      </c>
      <c r="R51" t="s">
        <v>1618</v>
      </c>
      <c r="S51" s="15">
        <v>32582</v>
      </c>
      <c r="T51" s="15">
        <v>30886</v>
      </c>
      <c r="U51" t="s">
        <v>1622</v>
      </c>
      <c r="V51" t="s">
        <v>1628</v>
      </c>
      <c r="W51" s="17">
        <v>4.7</v>
      </c>
      <c r="X51" s="10">
        <f t="shared" si="5"/>
        <v>1</v>
      </c>
      <c r="Y51" s="10">
        <f t="shared" si="6"/>
        <v>0</v>
      </c>
      <c r="Z51" s="10">
        <f t="shared" si="7"/>
        <v>0</v>
      </c>
      <c r="AA51">
        <f t="shared" si="0"/>
        <v>1</v>
      </c>
      <c r="AB51">
        <f t="shared" si="8"/>
        <v>1</v>
      </c>
      <c r="AC51">
        <f t="shared" si="1"/>
        <v>0</v>
      </c>
    </row>
    <row r="52" spans="1:29" x14ac:dyDescent="0.35">
      <c r="A52" t="s">
        <v>68</v>
      </c>
      <c r="B52" t="s">
        <v>460</v>
      </c>
      <c r="C52" t="s">
        <v>1853</v>
      </c>
      <c r="D52" t="s">
        <v>1854</v>
      </c>
      <c r="E52" t="s">
        <v>1855</v>
      </c>
      <c r="F52" t="s">
        <v>1023</v>
      </c>
      <c r="G52" t="s">
        <v>1028</v>
      </c>
      <c r="H52" t="s">
        <v>1036</v>
      </c>
      <c r="I52" t="s">
        <v>1044</v>
      </c>
      <c r="J52" t="s">
        <v>1048</v>
      </c>
      <c r="K52" s="9">
        <v>45596</v>
      </c>
      <c r="L52" s="20">
        <f t="shared" si="2"/>
        <v>45566</v>
      </c>
      <c r="M52" s="10">
        <f t="shared" si="3"/>
        <v>2024</v>
      </c>
      <c r="N52" s="9" t="s">
        <v>2350</v>
      </c>
      <c r="O52" s="9" t="s">
        <v>2350</v>
      </c>
      <c r="P52" s="9" t="s">
        <v>2350</v>
      </c>
      <c r="Q52" s="26" t="str">
        <f t="shared" si="4"/>
        <v/>
      </c>
      <c r="R52" t="s">
        <v>1616</v>
      </c>
      <c r="S52" s="15">
        <v>48670</v>
      </c>
      <c r="U52" t="s">
        <v>1622</v>
      </c>
      <c r="V52" t="s">
        <v>1627</v>
      </c>
      <c r="X52" s="10">
        <f t="shared" si="5"/>
        <v>1</v>
      </c>
      <c r="Y52" s="10">
        <f t="shared" si="6"/>
        <v>0</v>
      </c>
      <c r="Z52" s="10">
        <f t="shared" si="7"/>
        <v>0</v>
      </c>
      <c r="AA52">
        <f t="shared" si="0"/>
        <v>0</v>
      </c>
      <c r="AB52">
        <f t="shared" si="8"/>
        <v>0</v>
      </c>
      <c r="AC52">
        <f t="shared" si="1"/>
        <v>0</v>
      </c>
    </row>
    <row r="53" spans="1:29" x14ac:dyDescent="0.35">
      <c r="A53" t="s">
        <v>69</v>
      </c>
      <c r="B53" t="s">
        <v>464</v>
      </c>
      <c r="C53" t="s">
        <v>675</v>
      </c>
      <c r="D53" t="s">
        <v>1856</v>
      </c>
      <c r="E53" t="s">
        <v>1857</v>
      </c>
      <c r="F53" t="s">
        <v>1027</v>
      </c>
      <c r="G53" t="s">
        <v>1030</v>
      </c>
      <c r="H53" t="s">
        <v>1036</v>
      </c>
      <c r="I53" t="s">
        <v>1042</v>
      </c>
      <c r="J53" t="s">
        <v>1051</v>
      </c>
      <c r="K53" s="9">
        <v>45785</v>
      </c>
      <c r="L53" s="20">
        <f t="shared" si="2"/>
        <v>45778</v>
      </c>
      <c r="M53" s="10">
        <f t="shared" si="3"/>
        <v>2025</v>
      </c>
      <c r="N53" s="9" t="s">
        <v>2350</v>
      </c>
      <c r="O53" s="9" t="s">
        <v>2350</v>
      </c>
      <c r="P53" s="9" t="s">
        <v>2350</v>
      </c>
      <c r="Q53" s="26" t="str">
        <f t="shared" si="4"/>
        <v/>
      </c>
      <c r="R53" t="s">
        <v>1616</v>
      </c>
      <c r="S53" s="15">
        <v>42256</v>
      </c>
      <c r="U53" t="s">
        <v>1625</v>
      </c>
      <c r="V53" t="s">
        <v>1626</v>
      </c>
      <c r="W53" s="17">
        <v>4.3</v>
      </c>
      <c r="X53" s="10">
        <f t="shared" si="5"/>
        <v>1</v>
      </c>
      <c r="Y53" s="10">
        <f t="shared" si="6"/>
        <v>0</v>
      </c>
      <c r="Z53" s="10">
        <f t="shared" si="7"/>
        <v>0</v>
      </c>
      <c r="AA53">
        <f t="shared" si="0"/>
        <v>0</v>
      </c>
      <c r="AB53">
        <f t="shared" si="8"/>
        <v>0</v>
      </c>
      <c r="AC53">
        <f t="shared" si="1"/>
        <v>0</v>
      </c>
    </row>
    <row r="54" spans="1:29" x14ac:dyDescent="0.35">
      <c r="A54" t="s">
        <v>70</v>
      </c>
      <c r="B54" t="s">
        <v>465</v>
      </c>
      <c r="C54" t="s">
        <v>1858</v>
      </c>
      <c r="D54" t="s">
        <v>1859</v>
      </c>
      <c r="E54" t="s">
        <v>1860</v>
      </c>
      <c r="F54" t="s">
        <v>1023</v>
      </c>
      <c r="G54" t="s">
        <v>1030</v>
      </c>
      <c r="H54" t="s">
        <v>1037</v>
      </c>
      <c r="I54" t="s">
        <v>1045</v>
      </c>
      <c r="J54" t="s">
        <v>1742</v>
      </c>
      <c r="K54" s="9">
        <v>45577</v>
      </c>
      <c r="L54" s="20">
        <f t="shared" si="2"/>
        <v>45566</v>
      </c>
      <c r="M54" s="10">
        <f t="shared" si="3"/>
        <v>2024</v>
      </c>
      <c r="N54" s="9" t="s">
        <v>2350</v>
      </c>
      <c r="O54" s="9" t="s">
        <v>2350</v>
      </c>
      <c r="P54" s="9" t="s">
        <v>2350</v>
      </c>
      <c r="Q54" s="26" t="str">
        <f t="shared" si="4"/>
        <v/>
      </c>
      <c r="R54" t="s">
        <v>1616</v>
      </c>
      <c r="S54" s="15">
        <v>42381</v>
      </c>
      <c r="U54" t="s">
        <v>1625</v>
      </c>
      <c r="V54" t="s">
        <v>1627</v>
      </c>
      <c r="W54" s="17">
        <v>4</v>
      </c>
      <c r="X54" s="10">
        <f t="shared" si="5"/>
        <v>1</v>
      </c>
      <c r="Y54" s="10">
        <f t="shared" si="6"/>
        <v>0</v>
      </c>
      <c r="Z54" s="10">
        <f t="shared" si="7"/>
        <v>0</v>
      </c>
      <c r="AA54">
        <f t="shared" si="0"/>
        <v>0</v>
      </c>
      <c r="AB54">
        <f t="shared" si="8"/>
        <v>0</v>
      </c>
      <c r="AC54">
        <f t="shared" si="1"/>
        <v>0</v>
      </c>
    </row>
    <row r="55" spans="1:29" x14ac:dyDescent="0.35">
      <c r="A55" t="s">
        <v>71</v>
      </c>
      <c r="B55" t="s">
        <v>466</v>
      </c>
      <c r="C55" t="s">
        <v>677</v>
      </c>
      <c r="D55" t="s">
        <v>1861</v>
      </c>
      <c r="E55" t="s">
        <v>1862</v>
      </c>
      <c r="F55" t="s">
        <v>1025</v>
      </c>
      <c r="G55" t="s">
        <v>1028</v>
      </c>
      <c r="H55" t="s">
        <v>1040</v>
      </c>
      <c r="I55" t="s">
        <v>1045</v>
      </c>
      <c r="J55" t="s">
        <v>1742</v>
      </c>
      <c r="K55" s="9">
        <v>45723</v>
      </c>
      <c r="L55" s="20">
        <f t="shared" si="2"/>
        <v>45717</v>
      </c>
      <c r="M55" s="10">
        <f t="shared" si="3"/>
        <v>2025</v>
      </c>
      <c r="N55" s="9">
        <v>45728</v>
      </c>
      <c r="O55" s="9" t="s">
        <v>2350</v>
      </c>
      <c r="P55" s="9" t="s">
        <v>2350</v>
      </c>
      <c r="Q55" s="26" t="str">
        <f t="shared" si="4"/>
        <v/>
      </c>
      <c r="R55" t="s">
        <v>1615</v>
      </c>
      <c r="S55" s="15">
        <v>32945</v>
      </c>
      <c r="U55" t="s">
        <v>1625</v>
      </c>
      <c r="V55" t="s">
        <v>1628</v>
      </c>
      <c r="X55" s="10">
        <f t="shared" si="5"/>
        <v>1</v>
      </c>
      <c r="Y55" s="10">
        <f t="shared" si="6"/>
        <v>0</v>
      </c>
      <c r="Z55" s="10">
        <f t="shared" si="7"/>
        <v>0</v>
      </c>
      <c r="AA55">
        <f t="shared" si="0"/>
        <v>1</v>
      </c>
      <c r="AB55">
        <f t="shared" si="8"/>
        <v>0</v>
      </c>
      <c r="AC55">
        <f t="shared" si="1"/>
        <v>0</v>
      </c>
    </row>
    <row r="56" spans="1:29" x14ac:dyDescent="0.35">
      <c r="A56" t="s">
        <v>72</v>
      </c>
      <c r="B56" t="s">
        <v>467</v>
      </c>
      <c r="C56" t="s">
        <v>678</v>
      </c>
      <c r="D56" t="s">
        <v>1863</v>
      </c>
      <c r="E56" t="s">
        <v>1864</v>
      </c>
      <c r="F56" t="s">
        <v>1025</v>
      </c>
      <c r="G56" t="s">
        <v>1028</v>
      </c>
      <c r="H56" t="s">
        <v>1035</v>
      </c>
      <c r="I56" t="s">
        <v>1042</v>
      </c>
      <c r="J56" t="s">
        <v>1742</v>
      </c>
      <c r="K56" s="9">
        <v>45700</v>
      </c>
      <c r="L56" s="20">
        <f t="shared" si="2"/>
        <v>45689</v>
      </c>
      <c r="M56" s="10">
        <f t="shared" si="3"/>
        <v>2025</v>
      </c>
      <c r="N56" s="9" t="s">
        <v>2350</v>
      </c>
      <c r="O56" s="9" t="s">
        <v>2350</v>
      </c>
      <c r="P56" s="9" t="s">
        <v>2350</v>
      </c>
      <c r="Q56" s="26" t="str">
        <f t="shared" si="4"/>
        <v/>
      </c>
      <c r="R56" t="s">
        <v>1619</v>
      </c>
      <c r="S56" s="15">
        <v>50972</v>
      </c>
      <c r="U56" t="s">
        <v>1621</v>
      </c>
      <c r="V56" t="s">
        <v>1628</v>
      </c>
      <c r="W56" s="17">
        <v>3.4</v>
      </c>
      <c r="X56" s="10">
        <f t="shared" si="5"/>
        <v>1</v>
      </c>
      <c r="Y56" s="10">
        <f t="shared" si="6"/>
        <v>0</v>
      </c>
      <c r="Z56" s="10">
        <f t="shared" si="7"/>
        <v>1</v>
      </c>
      <c r="AA56">
        <f t="shared" si="0"/>
        <v>0</v>
      </c>
      <c r="AB56">
        <f t="shared" si="8"/>
        <v>0</v>
      </c>
      <c r="AC56">
        <f t="shared" si="1"/>
        <v>0</v>
      </c>
    </row>
    <row r="57" spans="1:29" x14ac:dyDescent="0.35">
      <c r="A57" t="s">
        <v>73</v>
      </c>
      <c r="B57" t="s">
        <v>468</v>
      </c>
      <c r="C57" t="s">
        <v>1865</v>
      </c>
      <c r="D57" t="s">
        <v>1773</v>
      </c>
      <c r="E57" t="s">
        <v>1771</v>
      </c>
      <c r="F57" t="s">
        <v>1027</v>
      </c>
      <c r="G57" t="s">
        <v>1030</v>
      </c>
      <c r="H57" t="s">
        <v>1039</v>
      </c>
      <c r="I57" t="s">
        <v>1044</v>
      </c>
      <c r="J57" t="s">
        <v>1742</v>
      </c>
      <c r="K57" s="9">
        <v>45458</v>
      </c>
      <c r="L57" s="20">
        <f t="shared" si="2"/>
        <v>45444</v>
      </c>
      <c r="M57" s="10">
        <f t="shared" si="3"/>
        <v>2024</v>
      </c>
      <c r="N57" s="9" t="s">
        <v>2350</v>
      </c>
      <c r="O57" s="9" t="s">
        <v>2350</v>
      </c>
      <c r="P57" s="9" t="s">
        <v>2350</v>
      </c>
      <c r="Q57" s="26" t="str">
        <f t="shared" si="4"/>
        <v/>
      </c>
      <c r="R57" t="s">
        <v>1619</v>
      </c>
      <c r="S57" s="15">
        <v>36413</v>
      </c>
      <c r="U57" t="s">
        <v>1625</v>
      </c>
      <c r="V57" t="s">
        <v>1626</v>
      </c>
      <c r="W57" s="17">
        <v>4.4000000000000004</v>
      </c>
      <c r="X57" s="10">
        <f t="shared" si="5"/>
        <v>1</v>
      </c>
      <c r="Y57" s="10">
        <f t="shared" si="6"/>
        <v>0</v>
      </c>
      <c r="Z57" s="10">
        <f t="shared" si="7"/>
        <v>1</v>
      </c>
      <c r="AA57">
        <f t="shared" si="0"/>
        <v>0</v>
      </c>
      <c r="AB57">
        <f t="shared" si="8"/>
        <v>0</v>
      </c>
      <c r="AC57">
        <f t="shared" si="1"/>
        <v>0</v>
      </c>
    </row>
    <row r="58" spans="1:29" x14ac:dyDescent="0.35">
      <c r="A58" t="s">
        <v>74</v>
      </c>
      <c r="B58" t="s">
        <v>469</v>
      </c>
      <c r="C58" t="s">
        <v>1866</v>
      </c>
      <c r="D58" t="s">
        <v>1867</v>
      </c>
      <c r="E58" t="s">
        <v>1868</v>
      </c>
      <c r="F58" t="s">
        <v>1024</v>
      </c>
      <c r="G58" t="s">
        <v>1029</v>
      </c>
      <c r="H58" t="s">
        <v>1741</v>
      </c>
      <c r="I58" t="s">
        <v>1043</v>
      </c>
      <c r="J58" t="s">
        <v>1051</v>
      </c>
      <c r="K58" s="9">
        <v>45639</v>
      </c>
      <c r="L58" s="20">
        <f t="shared" si="2"/>
        <v>45627</v>
      </c>
      <c r="M58" s="10">
        <f t="shared" si="3"/>
        <v>2024</v>
      </c>
      <c r="N58" s="9">
        <v>45669</v>
      </c>
      <c r="O58" s="9">
        <v>45666</v>
      </c>
      <c r="P58" s="9" t="s">
        <v>2350</v>
      </c>
      <c r="Q58" s="26" t="str">
        <f t="shared" si="4"/>
        <v/>
      </c>
      <c r="R58" t="s">
        <v>1618</v>
      </c>
      <c r="S58" s="15">
        <v>50813</v>
      </c>
      <c r="T58" s="15">
        <v>54082</v>
      </c>
      <c r="U58" t="s">
        <v>1622</v>
      </c>
      <c r="V58" t="s">
        <v>1626</v>
      </c>
      <c r="W58" s="17">
        <v>4</v>
      </c>
      <c r="X58" s="10">
        <f t="shared" si="5"/>
        <v>1</v>
      </c>
      <c r="Y58" s="10">
        <f t="shared" si="6"/>
        <v>0</v>
      </c>
      <c r="Z58" s="10">
        <f t="shared" si="7"/>
        <v>0</v>
      </c>
      <c r="AA58">
        <f t="shared" si="0"/>
        <v>1</v>
      </c>
      <c r="AB58">
        <f t="shared" si="8"/>
        <v>1</v>
      </c>
      <c r="AC58">
        <f t="shared" si="1"/>
        <v>0</v>
      </c>
    </row>
    <row r="59" spans="1:29" x14ac:dyDescent="0.35">
      <c r="A59" t="s">
        <v>75</v>
      </c>
      <c r="B59" t="s">
        <v>445</v>
      </c>
      <c r="C59" t="s">
        <v>681</v>
      </c>
      <c r="D59" t="s">
        <v>1869</v>
      </c>
      <c r="E59" t="s">
        <v>1870</v>
      </c>
      <c r="F59" t="s">
        <v>1022</v>
      </c>
      <c r="G59" t="s">
        <v>1029</v>
      </c>
      <c r="H59" t="s">
        <v>1035</v>
      </c>
      <c r="I59" t="s">
        <v>1043</v>
      </c>
      <c r="J59" t="s">
        <v>1742</v>
      </c>
      <c r="K59" s="9">
        <v>45784</v>
      </c>
      <c r="L59" s="20">
        <f t="shared" si="2"/>
        <v>45778</v>
      </c>
      <c r="M59" s="10">
        <f t="shared" si="3"/>
        <v>2025</v>
      </c>
      <c r="N59" s="9" t="s">
        <v>2350</v>
      </c>
      <c r="O59" s="9" t="s">
        <v>2350</v>
      </c>
      <c r="P59" s="9" t="s">
        <v>2350</v>
      </c>
      <c r="Q59" s="26" t="str">
        <f t="shared" si="4"/>
        <v/>
      </c>
      <c r="R59" t="s">
        <v>1619</v>
      </c>
      <c r="S59" s="15">
        <v>29541</v>
      </c>
      <c r="U59" t="s">
        <v>1625</v>
      </c>
      <c r="V59" t="s">
        <v>1627</v>
      </c>
      <c r="W59" s="17">
        <v>2.1</v>
      </c>
      <c r="X59" s="10">
        <f t="shared" si="5"/>
        <v>1</v>
      </c>
      <c r="Y59" s="10">
        <f t="shared" si="6"/>
        <v>0</v>
      </c>
      <c r="Z59" s="10">
        <f t="shared" si="7"/>
        <v>1</v>
      </c>
      <c r="AA59">
        <f t="shared" si="0"/>
        <v>0</v>
      </c>
      <c r="AB59">
        <f t="shared" si="8"/>
        <v>0</v>
      </c>
      <c r="AC59">
        <f t="shared" si="1"/>
        <v>0</v>
      </c>
    </row>
    <row r="60" spans="1:29" x14ac:dyDescent="0.35">
      <c r="A60" t="s">
        <v>76</v>
      </c>
      <c r="B60" t="s">
        <v>468</v>
      </c>
      <c r="C60" t="s">
        <v>682</v>
      </c>
      <c r="D60" t="s">
        <v>1769</v>
      </c>
      <c r="E60" t="s">
        <v>1871</v>
      </c>
      <c r="F60" t="s">
        <v>1027</v>
      </c>
      <c r="G60" t="s">
        <v>1030</v>
      </c>
      <c r="H60" t="s">
        <v>1035</v>
      </c>
      <c r="I60" t="s">
        <v>1044</v>
      </c>
      <c r="J60" t="s">
        <v>1742</v>
      </c>
      <c r="K60" s="9">
        <v>45332</v>
      </c>
      <c r="L60" s="20">
        <f t="shared" si="2"/>
        <v>45323</v>
      </c>
      <c r="M60" s="10">
        <f t="shared" si="3"/>
        <v>2024</v>
      </c>
      <c r="N60" s="9">
        <v>45349</v>
      </c>
      <c r="O60" s="9">
        <v>45347</v>
      </c>
      <c r="P60" s="9">
        <v>45372</v>
      </c>
      <c r="Q60" s="26">
        <f t="shared" si="4"/>
        <v>40</v>
      </c>
      <c r="R60" t="s">
        <v>1620</v>
      </c>
      <c r="S60" s="15">
        <v>43147</v>
      </c>
      <c r="T60" s="15">
        <v>42406</v>
      </c>
      <c r="U60" t="s">
        <v>1622</v>
      </c>
      <c r="V60" t="s">
        <v>1627</v>
      </c>
      <c r="W60" s="17">
        <v>3.1</v>
      </c>
      <c r="X60" s="10">
        <f t="shared" si="5"/>
        <v>1</v>
      </c>
      <c r="Y60" s="10">
        <f t="shared" si="6"/>
        <v>0</v>
      </c>
      <c r="Z60" s="10">
        <f t="shared" si="7"/>
        <v>0</v>
      </c>
      <c r="AA60">
        <f t="shared" si="0"/>
        <v>1</v>
      </c>
      <c r="AB60">
        <f t="shared" si="8"/>
        <v>0</v>
      </c>
      <c r="AC60">
        <f t="shared" si="1"/>
        <v>1</v>
      </c>
    </row>
    <row r="61" spans="1:29" x14ac:dyDescent="0.35">
      <c r="A61" t="s">
        <v>77</v>
      </c>
      <c r="B61" t="s">
        <v>470</v>
      </c>
      <c r="C61" t="s">
        <v>1872</v>
      </c>
      <c r="D61" t="s">
        <v>1873</v>
      </c>
      <c r="E61" t="s">
        <v>1874</v>
      </c>
      <c r="F61" t="s">
        <v>1026</v>
      </c>
      <c r="G61" t="s">
        <v>1032</v>
      </c>
      <c r="H61" t="s">
        <v>1036</v>
      </c>
      <c r="I61" t="s">
        <v>1045</v>
      </c>
      <c r="J61" t="s">
        <v>1048</v>
      </c>
      <c r="K61" s="9">
        <v>45670</v>
      </c>
      <c r="L61" s="20">
        <f t="shared" si="2"/>
        <v>45658</v>
      </c>
      <c r="M61" s="10">
        <f t="shared" si="3"/>
        <v>2025</v>
      </c>
      <c r="N61" s="9" t="s">
        <v>2350</v>
      </c>
      <c r="O61" s="9" t="s">
        <v>2350</v>
      </c>
      <c r="P61" s="9" t="s">
        <v>2350</v>
      </c>
      <c r="Q61" s="26" t="str">
        <f t="shared" si="4"/>
        <v/>
      </c>
      <c r="R61" t="s">
        <v>1619</v>
      </c>
      <c r="S61" s="15">
        <v>37498</v>
      </c>
      <c r="U61" t="s">
        <v>1624</v>
      </c>
      <c r="V61" t="s">
        <v>1627</v>
      </c>
      <c r="W61" s="17">
        <v>2.4</v>
      </c>
      <c r="X61" s="10">
        <f t="shared" si="5"/>
        <v>1</v>
      </c>
      <c r="Y61" s="10">
        <f t="shared" si="6"/>
        <v>0</v>
      </c>
      <c r="Z61" s="10">
        <f t="shared" si="7"/>
        <v>1</v>
      </c>
      <c r="AA61">
        <f t="shared" si="0"/>
        <v>0</v>
      </c>
      <c r="AB61">
        <f t="shared" si="8"/>
        <v>0</v>
      </c>
      <c r="AC61">
        <f t="shared" si="1"/>
        <v>0</v>
      </c>
    </row>
    <row r="62" spans="1:29" x14ac:dyDescent="0.35">
      <c r="A62" t="s">
        <v>78</v>
      </c>
      <c r="B62" t="s">
        <v>441</v>
      </c>
      <c r="C62" t="s">
        <v>1875</v>
      </c>
      <c r="D62" t="s">
        <v>1876</v>
      </c>
      <c r="E62" t="s">
        <v>1877</v>
      </c>
      <c r="F62" t="s">
        <v>1023</v>
      </c>
      <c r="G62" t="s">
        <v>1028</v>
      </c>
      <c r="H62" t="s">
        <v>1741</v>
      </c>
      <c r="I62" t="s">
        <v>1043</v>
      </c>
      <c r="J62" t="s">
        <v>1742</v>
      </c>
      <c r="K62" s="9">
        <v>45380</v>
      </c>
      <c r="L62" s="20">
        <f t="shared" si="2"/>
        <v>45352</v>
      </c>
      <c r="M62" s="10">
        <f t="shared" si="3"/>
        <v>2024</v>
      </c>
      <c r="N62" s="9" t="s">
        <v>2350</v>
      </c>
      <c r="O62" s="9" t="s">
        <v>2350</v>
      </c>
      <c r="P62" s="9" t="s">
        <v>2350</v>
      </c>
      <c r="Q62" s="26" t="str">
        <f t="shared" si="4"/>
        <v/>
      </c>
      <c r="R62" t="s">
        <v>1617</v>
      </c>
      <c r="S62" s="15">
        <v>48404</v>
      </c>
      <c r="U62" t="s">
        <v>1625</v>
      </c>
      <c r="V62" t="s">
        <v>1626</v>
      </c>
      <c r="W62" s="17">
        <v>2.4</v>
      </c>
      <c r="X62" s="10">
        <f t="shared" si="5"/>
        <v>1</v>
      </c>
      <c r="Y62" s="10">
        <f t="shared" si="6"/>
        <v>1</v>
      </c>
      <c r="Z62" s="10">
        <f t="shared" si="7"/>
        <v>0</v>
      </c>
      <c r="AA62">
        <f t="shared" si="0"/>
        <v>0</v>
      </c>
      <c r="AB62">
        <f t="shared" si="8"/>
        <v>0</v>
      </c>
      <c r="AC62">
        <f t="shared" si="1"/>
        <v>0</v>
      </c>
    </row>
    <row r="63" spans="1:29" x14ac:dyDescent="0.35">
      <c r="A63" t="s">
        <v>79</v>
      </c>
      <c r="B63" t="s">
        <v>471</v>
      </c>
      <c r="C63" t="s">
        <v>1878</v>
      </c>
      <c r="D63" t="s">
        <v>1879</v>
      </c>
      <c r="E63" t="s">
        <v>1788</v>
      </c>
      <c r="F63" t="s">
        <v>1027</v>
      </c>
      <c r="G63" t="s">
        <v>1030</v>
      </c>
      <c r="H63" t="s">
        <v>1741</v>
      </c>
      <c r="I63" t="s">
        <v>1042</v>
      </c>
      <c r="J63" t="s">
        <v>1742</v>
      </c>
      <c r="K63" s="9">
        <v>45510</v>
      </c>
      <c r="L63" s="20">
        <f t="shared" si="2"/>
        <v>45505</v>
      </c>
      <c r="M63" s="10">
        <f t="shared" si="3"/>
        <v>2024</v>
      </c>
      <c r="N63" s="9" t="s">
        <v>2350</v>
      </c>
      <c r="O63" s="9" t="s">
        <v>2350</v>
      </c>
      <c r="P63" s="9" t="s">
        <v>2350</v>
      </c>
      <c r="Q63" s="26" t="str">
        <f t="shared" si="4"/>
        <v/>
      </c>
      <c r="R63" t="s">
        <v>1616</v>
      </c>
      <c r="S63" s="15">
        <v>32933</v>
      </c>
      <c r="U63" t="s">
        <v>1621</v>
      </c>
      <c r="V63" t="s">
        <v>1626</v>
      </c>
      <c r="W63" s="17">
        <v>3</v>
      </c>
      <c r="X63" s="10">
        <f t="shared" si="5"/>
        <v>1</v>
      </c>
      <c r="Y63" s="10">
        <f t="shared" si="6"/>
        <v>0</v>
      </c>
      <c r="Z63" s="10">
        <f t="shared" si="7"/>
        <v>0</v>
      </c>
      <c r="AA63">
        <f t="shared" si="0"/>
        <v>0</v>
      </c>
      <c r="AB63">
        <f t="shared" si="8"/>
        <v>0</v>
      </c>
      <c r="AC63">
        <f t="shared" si="1"/>
        <v>0</v>
      </c>
    </row>
    <row r="64" spans="1:29" x14ac:dyDescent="0.35">
      <c r="A64" t="s">
        <v>80</v>
      </c>
      <c r="B64" t="s">
        <v>472</v>
      </c>
      <c r="C64" t="s">
        <v>686</v>
      </c>
      <c r="D64" t="s">
        <v>1880</v>
      </c>
      <c r="E64" t="s">
        <v>1881</v>
      </c>
      <c r="F64" t="s">
        <v>1027</v>
      </c>
      <c r="G64" t="s">
        <v>1028</v>
      </c>
      <c r="H64" t="s">
        <v>1039</v>
      </c>
      <c r="I64" t="s">
        <v>1042</v>
      </c>
      <c r="J64" t="s">
        <v>1049</v>
      </c>
      <c r="K64" s="9">
        <v>45653</v>
      </c>
      <c r="L64" s="20">
        <f t="shared" si="2"/>
        <v>45627</v>
      </c>
      <c r="M64" s="10">
        <f t="shared" si="3"/>
        <v>2024</v>
      </c>
      <c r="N64" s="9" t="s">
        <v>2350</v>
      </c>
      <c r="O64" s="9" t="s">
        <v>2350</v>
      </c>
      <c r="P64" s="9" t="s">
        <v>2350</v>
      </c>
      <c r="Q64" s="26" t="str">
        <f t="shared" si="4"/>
        <v/>
      </c>
      <c r="R64" t="s">
        <v>1616</v>
      </c>
      <c r="S64" s="15">
        <v>38199</v>
      </c>
      <c r="U64" t="s">
        <v>1623</v>
      </c>
      <c r="V64" t="s">
        <v>1627</v>
      </c>
      <c r="W64" s="17">
        <v>2.6</v>
      </c>
      <c r="X64" s="10">
        <f t="shared" si="5"/>
        <v>1</v>
      </c>
      <c r="Y64" s="10">
        <f t="shared" si="6"/>
        <v>0</v>
      </c>
      <c r="Z64" s="10">
        <f t="shared" si="7"/>
        <v>0</v>
      </c>
      <c r="AA64">
        <f t="shared" si="0"/>
        <v>0</v>
      </c>
      <c r="AB64">
        <f t="shared" si="8"/>
        <v>0</v>
      </c>
      <c r="AC64">
        <f t="shared" si="1"/>
        <v>0</v>
      </c>
    </row>
    <row r="65" spans="1:29" x14ac:dyDescent="0.35">
      <c r="A65" t="s">
        <v>81</v>
      </c>
      <c r="B65" t="s">
        <v>473</v>
      </c>
      <c r="C65" t="s">
        <v>687</v>
      </c>
      <c r="D65" t="s">
        <v>1882</v>
      </c>
      <c r="E65" t="s">
        <v>1883</v>
      </c>
      <c r="F65" t="s">
        <v>1023</v>
      </c>
      <c r="G65" t="s">
        <v>1031</v>
      </c>
      <c r="H65" t="s">
        <v>1741</v>
      </c>
      <c r="I65" t="s">
        <v>1044</v>
      </c>
      <c r="J65" t="s">
        <v>1048</v>
      </c>
      <c r="K65" s="9">
        <v>45533</v>
      </c>
      <c r="L65" s="20">
        <f t="shared" si="2"/>
        <v>45505</v>
      </c>
      <c r="M65" s="10">
        <f t="shared" si="3"/>
        <v>2024</v>
      </c>
      <c r="N65" s="9" t="s">
        <v>2350</v>
      </c>
      <c r="O65" s="9" t="s">
        <v>2350</v>
      </c>
      <c r="P65" s="9" t="s">
        <v>2350</v>
      </c>
      <c r="Q65" s="26" t="str">
        <f t="shared" si="4"/>
        <v/>
      </c>
      <c r="R65" t="s">
        <v>1619</v>
      </c>
      <c r="S65" s="15">
        <v>41832</v>
      </c>
      <c r="U65" t="s">
        <v>1625</v>
      </c>
      <c r="V65" t="s">
        <v>1626</v>
      </c>
      <c r="W65" s="17">
        <v>4.4000000000000004</v>
      </c>
      <c r="X65" s="10">
        <f t="shared" si="5"/>
        <v>1</v>
      </c>
      <c r="Y65" s="10">
        <f t="shared" si="6"/>
        <v>0</v>
      </c>
      <c r="Z65" s="10">
        <f t="shared" si="7"/>
        <v>1</v>
      </c>
      <c r="AA65">
        <f t="shared" si="0"/>
        <v>0</v>
      </c>
      <c r="AB65">
        <f t="shared" si="8"/>
        <v>0</v>
      </c>
      <c r="AC65">
        <f t="shared" si="1"/>
        <v>0</v>
      </c>
    </row>
    <row r="66" spans="1:29" x14ac:dyDescent="0.35">
      <c r="A66" t="s">
        <v>82</v>
      </c>
      <c r="B66" t="s">
        <v>474</v>
      </c>
      <c r="C66" t="s">
        <v>688</v>
      </c>
      <c r="D66" t="s">
        <v>1884</v>
      </c>
      <c r="E66" t="s">
        <v>1885</v>
      </c>
      <c r="F66" t="s">
        <v>1025</v>
      </c>
      <c r="G66" t="s">
        <v>1029</v>
      </c>
      <c r="H66" t="s">
        <v>1039</v>
      </c>
      <c r="I66" t="s">
        <v>1043</v>
      </c>
      <c r="J66" t="s">
        <v>1742</v>
      </c>
      <c r="K66" s="9">
        <v>45359</v>
      </c>
      <c r="L66" s="20">
        <f t="shared" si="2"/>
        <v>45352</v>
      </c>
      <c r="M66" s="10">
        <f t="shared" si="3"/>
        <v>2024</v>
      </c>
      <c r="N66" s="9">
        <v>45382</v>
      </c>
      <c r="O66" s="9">
        <v>45374</v>
      </c>
      <c r="P66" s="9">
        <v>45408</v>
      </c>
      <c r="Q66" s="26">
        <f t="shared" si="4"/>
        <v>49</v>
      </c>
      <c r="R66" t="s">
        <v>1620</v>
      </c>
      <c r="S66" s="15">
        <v>38809</v>
      </c>
      <c r="T66" s="15">
        <v>37212</v>
      </c>
      <c r="U66" t="s">
        <v>1625</v>
      </c>
      <c r="V66" t="s">
        <v>1627</v>
      </c>
      <c r="W66" s="17">
        <v>4.2</v>
      </c>
      <c r="X66" s="10">
        <f t="shared" si="5"/>
        <v>1</v>
      </c>
      <c r="Y66" s="10">
        <f t="shared" si="6"/>
        <v>0</v>
      </c>
      <c r="Z66" s="10">
        <f t="shared" si="7"/>
        <v>0</v>
      </c>
      <c r="AA66">
        <f t="shared" ref="AA66:AA129" si="9">IF(OR(R66="Interviewed",R66="offered",R66="hired"),1,0)</f>
        <v>1</v>
      </c>
      <c r="AB66">
        <f t="shared" si="8"/>
        <v>0</v>
      </c>
      <c r="AC66">
        <f t="shared" ref="AC66:AC129" si="10">IF(R66="hired", 1, 0)</f>
        <v>1</v>
      </c>
    </row>
    <row r="67" spans="1:29" x14ac:dyDescent="0.35">
      <c r="A67" t="s">
        <v>83</v>
      </c>
      <c r="B67" t="s">
        <v>475</v>
      </c>
      <c r="C67" t="s">
        <v>689</v>
      </c>
      <c r="D67" t="s">
        <v>1844</v>
      </c>
      <c r="E67" t="s">
        <v>1750</v>
      </c>
      <c r="F67" t="s">
        <v>1025</v>
      </c>
      <c r="G67" t="s">
        <v>1029</v>
      </c>
      <c r="H67" t="s">
        <v>1741</v>
      </c>
      <c r="I67" t="s">
        <v>1045</v>
      </c>
      <c r="J67" t="s">
        <v>1051</v>
      </c>
      <c r="K67" s="9">
        <v>45597</v>
      </c>
      <c r="L67" s="20">
        <f t="shared" ref="L67:L130" si="11">DATE(YEAR(K67), MONTH(K67), 1)</f>
        <v>45597</v>
      </c>
      <c r="M67" s="10">
        <f t="shared" ref="M67:M130" si="12">YEAR(K67)</f>
        <v>2024</v>
      </c>
      <c r="N67" s="9" t="s">
        <v>2350</v>
      </c>
      <c r="O67" s="9" t="s">
        <v>2350</v>
      </c>
      <c r="P67" s="9" t="s">
        <v>2350</v>
      </c>
      <c r="Q67" s="26" t="str">
        <f t="shared" ref="Q67:Q130" si="13">IF(OR(P67="", K67=""),"", P67-K67)</f>
        <v/>
      </c>
      <c r="R67" t="s">
        <v>1619</v>
      </c>
      <c r="S67" s="15">
        <v>49724</v>
      </c>
      <c r="U67" t="s">
        <v>1625</v>
      </c>
      <c r="V67" t="s">
        <v>1627</v>
      </c>
      <c r="W67" s="17">
        <v>3.4</v>
      </c>
      <c r="X67" s="10">
        <f t="shared" ref="X67:X130" si="14">IF(R67=" ",0,1)</f>
        <v>1</v>
      </c>
      <c r="Y67" s="10">
        <f t="shared" ref="Y67:Y130" si="15">IF(R67="Withdrawn",1,0)</f>
        <v>0</v>
      </c>
      <c r="Z67" s="10">
        <f t="shared" ref="Z67:Z130" si="16">IF(R67=$R$6,1,0)</f>
        <v>1</v>
      </c>
      <c r="AA67">
        <f t="shared" si="9"/>
        <v>0</v>
      </c>
      <c r="AB67">
        <f t="shared" ref="AB67:AB130" si="17">IF(R67=$R$5,1,0)</f>
        <v>0</v>
      </c>
      <c r="AC67">
        <f t="shared" si="10"/>
        <v>0</v>
      </c>
    </row>
    <row r="68" spans="1:29" x14ac:dyDescent="0.35">
      <c r="A68" t="s">
        <v>84</v>
      </c>
      <c r="B68" t="s">
        <v>476</v>
      </c>
      <c r="C68" t="s">
        <v>690</v>
      </c>
      <c r="D68" t="s">
        <v>1886</v>
      </c>
      <c r="E68" t="s">
        <v>1747</v>
      </c>
      <c r="F68" t="s">
        <v>1023</v>
      </c>
      <c r="G68" t="s">
        <v>1028</v>
      </c>
      <c r="H68" t="s">
        <v>1034</v>
      </c>
      <c r="I68" t="s">
        <v>1041</v>
      </c>
      <c r="J68" t="s">
        <v>1742</v>
      </c>
      <c r="K68" s="9">
        <v>45302</v>
      </c>
      <c r="L68" s="20">
        <f t="shared" si="11"/>
        <v>45292</v>
      </c>
      <c r="M68" s="10">
        <f t="shared" si="12"/>
        <v>2024</v>
      </c>
      <c r="N68" s="9" t="s">
        <v>2350</v>
      </c>
      <c r="O68" s="9" t="s">
        <v>2350</v>
      </c>
      <c r="P68" s="9" t="s">
        <v>2350</v>
      </c>
      <c r="Q68" s="26" t="str">
        <f t="shared" si="13"/>
        <v/>
      </c>
      <c r="R68" t="s">
        <v>1617</v>
      </c>
      <c r="S68" s="15">
        <v>45671</v>
      </c>
      <c r="U68" t="s">
        <v>1625</v>
      </c>
      <c r="V68" t="s">
        <v>1626</v>
      </c>
      <c r="W68" s="17">
        <v>2.4</v>
      </c>
      <c r="X68" s="10">
        <f t="shared" si="14"/>
        <v>1</v>
      </c>
      <c r="Y68" s="10">
        <f t="shared" si="15"/>
        <v>1</v>
      </c>
      <c r="Z68" s="10">
        <f t="shared" si="16"/>
        <v>0</v>
      </c>
      <c r="AA68">
        <f t="shared" si="9"/>
        <v>0</v>
      </c>
      <c r="AB68">
        <f t="shared" si="17"/>
        <v>0</v>
      </c>
      <c r="AC68">
        <f t="shared" si="10"/>
        <v>0</v>
      </c>
    </row>
    <row r="69" spans="1:29" x14ac:dyDescent="0.35">
      <c r="A69" t="s">
        <v>85</v>
      </c>
      <c r="B69" t="s">
        <v>477</v>
      </c>
      <c r="C69" t="s">
        <v>691</v>
      </c>
      <c r="D69" t="s">
        <v>1790</v>
      </c>
      <c r="E69" t="s">
        <v>1887</v>
      </c>
      <c r="F69" t="s">
        <v>1023</v>
      </c>
      <c r="G69" t="s">
        <v>1030</v>
      </c>
      <c r="H69" t="s">
        <v>1036</v>
      </c>
      <c r="I69" t="s">
        <v>1043</v>
      </c>
      <c r="J69" t="s">
        <v>1050</v>
      </c>
      <c r="K69" s="9">
        <v>45628</v>
      </c>
      <c r="L69" s="20">
        <f t="shared" si="11"/>
        <v>45627</v>
      </c>
      <c r="M69" s="10">
        <f t="shared" si="12"/>
        <v>2024</v>
      </c>
      <c r="N69" s="9" t="s">
        <v>2350</v>
      </c>
      <c r="O69" s="9" t="s">
        <v>2350</v>
      </c>
      <c r="P69" s="9" t="s">
        <v>2350</v>
      </c>
      <c r="Q69" s="26" t="str">
        <f t="shared" si="13"/>
        <v/>
      </c>
      <c r="R69" t="s">
        <v>1616</v>
      </c>
      <c r="S69" s="15">
        <v>48447</v>
      </c>
      <c r="U69" t="s">
        <v>1623</v>
      </c>
      <c r="V69" t="s">
        <v>1627</v>
      </c>
      <c r="W69" s="17">
        <v>2.1</v>
      </c>
      <c r="X69" s="10">
        <f t="shared" si="14"/>
        <v>1</v>
      </c>
      <c r="Y69" s="10">
        <f t="shared" si="15"/>
        <v>0</v>
      </c>
      <c r="Z69" s="10">
        <f t="shared" si="16"/>
        <v>0</v>
      </c>
      <c r="AA69">
        <f t="shared" si="9"/>
        <v>0</v>
      </c>
      <c r="AB69">
        <f t="shared" si="17"/>
        <v>0</v>
      </c>
      <c r="AC69">
        <f t="shared" si="10"/>
        <v>0</v>
      </c>
    </row>
    <row r="70" spans="1:29" x14ac:dyDescent="0.35">
      <c r="A70" t="s">
        <v>86</v>
      </c>
      <c r="B70" t="s">
        <v>478</v>
      </c>
      <c r="C70" t="s">
        <v>692</v>
      </c>
      <c r="D70" t="s">
        <v>1888</v>
      </c>
      <c r="E70" t="s">
        <v>1889</v>
      </c>
      <c r="F70" t="s">
        <v>1023</v>
      </c>
      <c r="G70" t="s">
        <v>1031</v>
      </c>
      <c r="H70" t="s">
        <v>1034</v>
      </c>
      <c r="I70" t="s">
        <v>1042</v>
      </c>
      <c r="J70" t="s">
        <v>1742</v>
      </c>
      <c r="K70" s="9">
        <v>45753</v>
      </c>
      <c r="L70" s="20">
        <f t="shared" si="11"/>
        <v>45748</v>
      </c>
      <c r="M70" s="10">
        <f t="shared" si="12"/>
        <v>2025</v>
      </c>
      <c r="N70" s="9" t="s">
        <v>2350</v>
      </c>
      <c r="O70" s="9" t="s">
        <v>2350</v>
      </c>
      <c r="P70" s="9" t="s">
        <v>2350</v>
      </c>
      <c r="Q70" s="26" t="str">
        <f t="shared" si="13"/>
        <v/>
      </c>
      <c r="R70" t="s">
        <v>1619</v>
      </c>
      <c r="S70" s="15">
        <v>42167</v>
      </c>
      <c r="U70" t="s">
        <v>1621</v>
      </c>
      <c r="V70" t="s">
        <v>1626</v>
      </c>
      <c r="W70" s="17">
        <v>3.2</v>
      </c>
      <c r="X70" s="10">
        <f t="shared" si="14"/>
        <v>1</v>
      </c>
      <c r="Y70" s="10">
        <f t="shared" si="15"/>
        <v>0</v>
      </c>
      <c r="Z70" s="10">
        <f t="shared" si="16"/>
        <v>1</v>
      </c>
      <c r="AA70">
        <f t="shared" si="9"/>
        <v>0</v>
      </c>
      <c r="AB70">
        <f t="shared" si="17"/>
        <v>0</v>
      </c>
      <c r="AC70">
        <f t="shared" si="10"/>
        <v>0</v>
      </c>
    </row>
    <row r="71" spans="1:29" x14ac:dyDescent="0.35">
      <c r="A71" t="s">
        <v>87</v>
      </c>
      <c r="B71" t="s">
        <v>470</v>
      </c>
      <c r="C71" t="s">
        <v>1890</v>
      </c>
      <c r="D71" t="s">
        <v>1873</v>
      </c>
      <c r="E71" t="s">
        <v>1891</v>
      </c>
      <c r="F71" t="s">
        <v>1022</v>
      </c>
      <c r="G71" t="s">
        <v>1032</v>
      </c>
      <c r="H71" t="s">
        <v>1035</v>
      </c>
      <c r="I71" t="s">
        <v>1043</v>
      </c>
      <c r="J71" t="s">
        <v>1742</v>
      </c>
      <c r="K71" s="9">
        <v>45345</v>
      </c>
      <c r="L71" s="20">
        <f t="shared" si="11"/>
        <v>45323</v>
      </c>
      <c r="M71" s="10">
        <f t="shared" si="12"/>
        <v>2024</v>
      </c>
      <c r="N71" s="9">
        <v>45370</v>
      </c>
      <c r="O71" s="9" t="s">
        <v>2350</v>
      </c>
      <c r="P71" s="9" t="s">
        <v>2350</v>
      </c>
      <c r="Q71" s="26" t="str">
        <f t="shared" si="13"/>
        <v/>
      </c>
      <c r="R71" t="s">
        <v>1615</v>
      </c>
      <c r="S71" s="15">
        <v>46045</v>
      </c>
      <c r="U71" t="s">
        <v>1625</v>
      </c>
      <c r="V71" t="s">
        <v>1628</v>
      </c>
      <c r="W71" s="17">
        <v>2.9</v>
      </c>
      <c r="X71" s="10">
        <f t="shared" si="14"/>
        <v>1</v>
      </c>
      <c r="Y71" s="10">
        <f t="shared" si="15"/>
        <v>0</v>
      </c>
      <c r="Z71" s="10">
        <f t="shared" si="16"/>
        <v>0</v>
      </c>
      <c r="AA71">
        <f t="shared" si="9"/>
        <v>1</v>
      </c>
      <c r="AB71">
        <f t="shared" si="17"/>
        <v>0</v>
      </c>
      <c r="AC71">
        <f t="shared" si="10"/>
        <v>0</v>
      </c>
    </row>
    <row r="72" spans="1:29" x14ac:dyDescent="0.35">
      <c r="A72" t="s">
        <v>88</v>
      </c>
      <c r="B72" t="s">
        <v>479</v>
      </c>
      <c r="C72" t="s">
        <v>673</v>
      </c>
      <c r="D72" t="s">
        <v>1851</v>
      </c>
      <c r="E72" t="s">
        <v>1852</v>
      </c>
      <c r="F72" t="s">
        <v>1027</v>
      </c>
      <c r="G72" t="s">
        <v>1030</v>
      </c>
      <c r="H72" t="s">
        <v>1037</v>
      </c>
      <c r="I72" t="s">
        <v>1044</v>
      </c>
      <c r="J72" t="s">
        <v>1050</v>
      </c>
      <c r="K72" s="9">
        <v>45524</v>
      </c>
      <c r="L72" s="20">
        <f t="shared" si="11"/>
        <v>45505</v>
      </c>
      <c r="M72" s="10">
        <f t="shared" si="12"/>
        <v>2024</v>
      </c>
      <c r="N72" s="9" t="s">
        <v>2350</v>
      </c>
      <c r="O72" s="9" t="s">
        <v>2350</v>
      </c>
      <c r="P72" s="9" t="s">
        <v>2350</v>
      </c>
      <c r="Q72" s="26" t="str">
        <f t="shared" si="13"/>
        <v/>
      </c>
      <c r="R72" t="s">
        <v>1619</v>
      </c>
      <c r="S72" s="15">
        <v>34310</v>
      </c>
      <c r="U72" t="s">
        <v>1625</v>
      </c>
      <c r="V72" t="s">
        <v>1626</v>
      </c>
      <c r="W72" s="17">
        <v>4.3</v>
      </c>
      <c r="X72" s="10">
        <f t="shared" si="14"/>
        <v>1</v>
      </c>
      <c r="Y72" s="10">
        <f t="shared" si="15"/>
        <v>0</v>
      </c>
      <c r="Z72" s="10">
        <f t="shared" si="16"/>
        <v>1</v>
      </c>
      <c r="AA72">
        <f t="shared" si="9"/>
        <v>0</v>
      </c>
      <c r="AB72">
        <f t="shared" si="17"/>
        <v>0</v>
      </c>
      <c r="AC72">
        <f t="shared" si="10"/>
        <v>0</v>
      </c>
    </row>
    <row r="73" spans="1:29" x14ac:dyDescent="0.35">
      <c r="A73" t="s">
        <v>89</v>
      </c>
      <c r="B73" t="s">
        <v>480</v>
      </c>
      <c r="C73" t="s">
        <v>694</v>
      </c>
      <c r="D73" t="s">
        <v>1892</v>
      </c>
      <c r="E73" t="s">
        <v>1758</v>
      </c>
      <c r="F73" t="s">
        <v>1024</v>
      </c>
      <c r="G73" t="s">
        <v>1032</v>
      </c>
      <c r="H73" t="s">
        <v>1040</v>
      </c>
      <c r="I73" t="s">
        <v>1044</v>
      </c>
      <c r="J73" t="s">
        <v>1049</v>
      </c>
      <c r="K73" s="9">
        <v>45354</v>
      </c>
      <c r="L73" s="20">
        <f t="shared" si="11"/>
        <v>45352</v>
      </c>
      <c r="M73" s="10">
        <f t="shared" si="12"/>
        <v>2024</v>
      </c>
      <c r="N73" s="9">
        <v>45378</v>
      </c>
      <c r="O73" s="9">
        <v>45395</v>
      </c>
      <c r="P73" s="9" t="s">
        <v>2350</v>
      </c>
      <c r="Q73" s="26" t="str">
        <f t="shared" si="13"/>
        <v/>
      </c>
      <c r="R73" t="s">
        <v>1618</v>
      </c>
      <c r="S73" s="15">
        <v>46030</v>
      </c>
      <c r="T73" s="15">
        <v>47097</v>
      </c>
      <c r="U73" t="s">
        <v>1623</v>
      </c>
      <c r="V73" t="s">
        <v>1627</v>
      </c>
      <c r="W73" s="17">
        <v>3.9</v>
      </c>
      <c r="X73" s="10">
        <f t="shared" si="14"/>
        <v>1</v>
      </c>
      <c r="Y73" s="10">
        <f t="shared" si="15"/>
        <v>0</v>
      </c>
      <c r="Z73" s="10">
        <f t="shared" si="16"/>
        <v>0</v>
      </c>
      <c r="AA73">
        <f t="shared" si="9"/>
        <v>1</v>
      </c>
      <c r="AB73">
        <f t="shared" si="17"/>
        <v>1</v>
      </c>
      <c r="AC73">
        <f t="shared" si="10"/>
        <v>0</v>
      </c>
    </row>
    <row r="74" spans="1:29" x14ac:dyDescent="0.35">
      <c r="A74" t="s">
        <v>90</v>
      </c>
      <c r="B74" t="s">
        <v>481</v>
      </c>
      <c r="C74" t="s">
        <v>1893</v>
      </c>
      <c r="D74" t="s">
        <v>1894</v>
      </c>
      <c r="E74" t="s">
        <v>1895</v>
      </c>
      <c r="F74" t="s">
        <v>1027</v>
      </c>
      <c r="G74" t="s">
        <v>1031</v>
      </c>
      <c r="H74" t="s">
        <v>1036</v>
      </c>
      <c r="I74" t="s">
        <v>1041</v>
      </c>
      <c r="J74" t="s">
        <v>1051</v>
      </c>
      <c r="K74" s="9">
        <v>45414</v>
      </c>
      <c r="L74" s="20">
        <f t="shared" si="11"/>
        <v>45413</v>
      </c>
      <c r="M74" s="10">
        <f t="shared" si="12"/>
        <v>2024</v>
      </c>
      <c r="N74" s="9" t="s">
        <v>2350</v>
      </c>
      <c r="O74" s="9" t="s">
        <v>2350</v>
      </c>
      <c r="P74" s="9" t="s">
        <v>2350</v>
      </c>
      <c r="Q74" s="26" t="str">
        <f t="shared" si="13"/>
        <v/>
      </c>
      <c r="R74" t="s">
        <v>1619</v>
      </c>
      <c r="S74" s="15">
        <v>41765</v>
      </c>
      <c r="U74" t="s">
        <v>1621</v>
      </c>
      <c r="V74" t="s">
        <v>1627</v>
      </c>
      <c r="W74" s="17">
        <v>3.9</v>
      </c>
      <c r="X74" s="10">
        <f t="shared" si="14"/>
        <v>1</v>
      </c>
      <c r="Y74" s="10">
        <f t="shared" si="15"/>
        <v>0</v>
      </c>
      <c r="Z74" s="10">
        <f t="shared" si="16"/>
        <v>1</v>
      </c>
      <c r="AA74">
        <f t="shared" si="9"/>
        <v>0</v>
      </c>
      <c r="AB74">
        <f t="shared" si="17"/>
        <v>0</v>
      </c>
      <c r="AC74">
        <f t="shared" si="10"/>
        <v>0</v>
      </c>
    </row>
    <row r="75" spans="1:29" x14ac:dyDescent="0.35">
      <c r="A75" t="s">
        <v>91</v>
      </c>
      <c r="B75" t="s">
        <v>482</v>
      </c>
      <c r="C75" t="s">
        <v>1896</v>
      </c>
      <c r="D75" t="s">
        <v>1778</v>
      </c>
      <c r="E75" t="s">
        <v>1897</v>
      </c>
      <c r="F75" t="s">
        <v>1027</v>
      </c>
      <c r="G75" t="s">
        <v>1028</v>
      </c>
      <c r="H75" t="s">
        <v>1039</v>
      </c>
      <c r="I75" t="s">
        <v>1042</v>
      </c>
      <c r="J75" t="s">
        <v>1742</v>
      </c>
      <c r="K75" s="9">
        <v>45314</v>
      </c>
      <c r="L75" s="20">
        <f t="shared" si="11"/>
        <v>45292</v>
      </c>
      <c r="M75" s="10">
        <f t="shared" si="12"/>
        <v>2024</v>
      </c>
      <c r="N75" s="9" t="s">
        <v>2350</v>
      </c>
      <c r="O75" s="9" t="s">
        <v>2350</v>
      </c>
      <c r="P75" s="9" t="s">
        <v>2350</v>
      </c>
      <c r="Q75" s="26" t="str">
        <f t="shared" si="13"/>
        <v/>
      </c>
      <c r="R75" t="s">
        <v>1616</v>
      </c>
      <c r="S75" s="15">
        <v>51338</v>
      </c>
      <c r="U75" t="s">
        <v>1622</v>
      </c>
      <c r="V75" t="s">
        <v>1628</v>
      </c>
      <c r="W75" s="17">
        <v>3.4</v>
      </c>
      <c r="X75" s="10">
        <f t="shared" si="14"/>
        <v>1</v>
      </c>
      <c r="Y75" s="10">
        <f t="shared" si="15"/>
        <v>0</v>
      </c>
      <c r="Z75" s="10">
        <f t="shared" si="16"/>
        <v>0</v>
      </c>
      <c r="AA75">
        <f t="shared" si="9"/>
        <v>0</v>
      </c>
      <c r="AB75">
        <f t="shared" si="17"/>
        <v>0</v>
      </c>
      <c r="AC75">
        <f t="shared" si="10"/>
        <v>0</v>
      </c>
    </row>
    <row r="76" spans="1:29" x14ac:dyDescent="0.35">
      <c r="A76" t="s">
        <v>92</v>
      </c>
      <c r="B76" t="s">
        <v>483</v>
      </c>
      <c r="C76" t="s">
        <v>697</v>
      </c>
      <c r="D76" t="s">
        <v>1898</v>
      </c>
      <c r="E76" t="s">
        <v>1899</v>
      </c>
      <c r="F76" t="s">
        <v>1027</v>
      </c>
      <c r="G76" t="s">
        <v>1030</v>
      </c>
      <c r="H76" t="s">
        <v>1741</v>
      </c>
      <c r="I76" t="s">
        <v>1045</v>
      </c>
      <c r="J76" t="s">
        <v>1742</v>
      </c>
      <c r="K76" s="9">
        <v>45543</v>
      </c>
      <c r="L76" s="20">
        <f t="shared" si="11"/>
        <v>45536</v>
      </c>
      <c r="M76" s="10">
        <f t="shared" si="12"/>
        <v>2024</v>
      </c>
      <c r="N76" s="9" t="s">
        <v>2350</v>
      </c>
      <c r="O76" s="9" t="s">
        <v>2350</v>
      </c>
      <c r="P76" s="9" t="s">
        <v>2350</v>
      </c>
      <c r="Q76" s="26" t="str">
        <f t="shared" si="13"/>
        <v/>
      </c>
      <c r="R76" t="s">
        <v>1616</v>
      </c>
      <c r="S76" s="15">
        <v>44062</v>
      </c>
      <c r="U76" t="s">
        <v>1625</v>
      </c>
      <c r="V76" t="s">
        <v>1627</v>
      </c>
      <c r="W76" s="17">
        <v>3.2</v>
      </c>
      <c r="X76" s="10">
        <f t="shared" si="14"/>
        <v>1</v>
      </c>
      <c r="Y76" s="10">
        <f t="shared" si="15"/>
        <v>0</v>
      </c>
      <c r="Z76" s="10">
        <f t="shared" si="16"/>
        <v>0</v>
      </c>
      <c r="AA76">
        <f t="shared" si="9"/>
        <v>0</v>
      </c>
      <c r="AB76">
        <f t="shared" si="17"/>
        <v>0</v>
      </c>
      <c r="AC76">
        <f t="shared" si="10"/>
        <v>0</v>
      </c>
    </row>
    <row r="77" spans="1:29" x14ac:dyDescent="0.35">
      <c r="A77" t="s">
        <v>93</v>
      </c>
      <c r="B77" t="s">
        <v>480</v>
      </c>
      <c r="C77" t="s">
        <v>698</v>
      </c>
      <c r="D77" t="s">
        <v>1900</v>
      </c>
      <c r="E77" t="s">
        <v>1901</v>
      </c>
      <c r="F77" t="s">
        <v>1025</v>
      </c>
      <c r="G77" t="s">
        <v>1030</v>
      </c>
      <c r="H77" t="s">
        <v>1037</v>
      </c>
      <c r="I77" t="s">
        <v>1045</v>
      </c>
      <c r="J77" t="s">
        <v>1049</v>
      </c>
      <c r="K77" s="9">
        <v>45758</v>
      </c>
      <c r="L77" s="20">
        <f t="shared" si="11"/>
        <v>45748</v>
      </c>
      <c r="M77" s="10">
        <f t="shared" si="12"/>
        <v>2025</v>
      </c>
      <c r="N77" s="9" t="s">
        <v>2350</v>
      </c>
      <c r="O77" s="9" t="s">
        <v>2350</v>
      </c>
      <c r="P77" s="9" t="s">
        <v>2350</v>
      </c>
      <c r="Q77" s="26" t="str">
        <f t="shared" si="13"/>
        <v/>
      </c>
      <c r="R77" t="s">
        <v>1617</v>
      </c>
      <c r="S77" s="15">
        <v>46574</v>
      </c>
      <c r="U77" t="s">
        <v>1625</v>
      </c>
      <c r="V77" t="s">
        <v>1626</v>
      </c>
      <c r="W77" s="17">
        <v>3.3</v>
      </c>
      <c r="X77" s="10">
        <f t="shared" si="14"/>
        <v>1</v>
      </c>
      <c r="Y77" s="10">
        <f t="shared" si="15"/>
        <v>1</v>
      </c>
      <c r="Z77" s="10">
        <f t="shared" si="16"/>
        <v>0</v>
      </c>
      <c r="AA77">
        <f t="shared" si="9"/>
        <v>0</v>
      </c>
      <c r="AB77">
        <f t="shared" si="17"/>
        <v>0</v>
      </c>
      <c r="AC77">
        <f t="shared" si="10"/>
        <v>0</v>
      </c>
    </row>
    <row r="78" spans="1:29" x14ac:dyDescent="0.35">
      <c r="A78" t="s">
        <v>94</v>
      </c>
      <c r="B78" t="s">
        <v>484</v>
      </c>
      <c r="C78" t="s">
        <v>1902</v>
      </c>
      <c r="D78" t="s">
        <v>1903</v>
      </c>
      <c r="E78" t="s">
        <v>1904</v>
      </c>
      <c r="F78" t="s">
        <v>1024</v>
      </c>
      <c r="G78" t="s">
        <v>1032</v>
      </c>
      <c r="H78" t="s">
        <v>1034</v>
      </c>
      <c r="I78" t="s">
        <v>1042</v>
      </c>
      <c r="J78" t="s">
        <v>1742</v>
      </c>
      <c r="K78" s="9">
        <v>45613</v>
      </c>
      <c r="L78" s="20">
        <f t="shared" si="11"/>
        <v>45597</v>
      </c>
      <c r="M78" s="10">
        <f t="shared" si="12"/>
        <v>2024</v>
      </c>
      <c r="N78" s="9" t="s">
        <v>2350</v>
      </c>
      <c r="O78" s="9" t="s">
        <v>2350</v>
      </c>
      <c r="P78" s="9" t="s">
        <v>2350</v>
      </c>
      <c r="Q78" s="26" t="str">
        <f t="shared" si="13"/>
        <v/>
      </c>
      <c r="R78" t="s">
        <v>1619</v>
      </c>
      <c r="S78" s="15">
        <v>32625</v>
      </c>
      <c r="U78" t="s">
        <v>1623</v>
      </c>
      <c r="V78" t="s">
        <v>1628</v>
      </c>
      <c r="W78" s="17">
        <v>2.2999999999999998</v>
      </c>
      <c r="X78" s="10">
        <f t="shared" si="14"/>
        <v>1</v>
      </c>
      <c r="Y78" s="10">
        <f t="shared" si="15"/>
        <v>0</v>
      </c>
      <c r="Z78" s="10">
        <f t="shared" si="16"/>
        <v>1</v>
      </c>
      <c r="AA78">
        <f t="shared" si="9"/>
        <v>0</v>
      </c>
      <c r="AB78">
        <f t="shared" si="17"/>
        <v>0</v>
      </c>
      <c r="AC78">
        <f t="shared" si="10"/>
        <v>0</v>
      </c>
    </row>
    <row r="79" spans="1:29" x14ac:dyDescent="0.35">
      <c r="A79" t="s">
        <v>95</v>
      </c>
      <c r="B79" t="s">
        <v>480</v>
      </c>
      <c r="C79" t="s">
        <v>700</v>
      </c>
      <c r="D79" t="s">
        <v>1905</v>
      </c>
      <c r="E79" t="s">
        <v>1763</v>
      </c>
      <c r="F79" t="s">
        <v>1024</v>
      </c>
      <c r="G79" t="s">
        <v>1032</v>
      </c>
      <c r="H79" t="s">
        <v>1035</v>
      </c>
      <c r="I79" t="s">
        <v>1044</v>
      </c>
      <c r="J79" t="s">
        <v>1742</v>
      </c>
      <c r="K79" s="9">
        <v>45589</v>
      </c>
      <c r="L79" s="20">
        <f t="shared" si="11"/>
        <v>45566</v>
      </c>
      <c r="M79" s="10">
        <f t="shared" si="12"/>
        <v>2024</v>
      </c>
      <c r="N79" s="9" t="s">
        <v>2350</v>
      </c>
      <c r="O79" s="9" t="s">
        <v>2350</v>
      </c>
      <c r="P79" s="9" t="s">
        <v>2350</v>
      </c>
      <c r="Q79" s="26" t="str">
        <f t="shared" si="13"/>
        <v/>
      </c>
      <c r="R79" t="s">
        <v>1619</v>
      </c>
      <c r="S79" s="15">
        <v>31162</v>
      </c>
      <c r="U79" t="s">
        <v>1625</v>
      </c>
      <c r="V79" t="s">
        <v>1627</v>
      </c>
      <c r="W79" s="17">
        <v>2.9</v>
      </c>
      <c r="X79" s="10">
        <f t="shared" si="14"/>
        <v>1</v>
      </c>
      <c r="Y79" s="10">
        <f t="shared" si="15"/>
        <v>0</v>
      </c>
      <c r="Z79" s="10">
        <f t="shared" si="16"/>
        <v>1</v>
      </c>
      <c r="AA79">
        <f t="shared" si="9"/>
        <v>0</v>
      </c>
      <c r="AB79">
        <f t="shared" si="17"/>
        <v>0</v>
      </c>
      <c r="AC79">
        <f t="shared" si="10"/>
        <v>0</v>
      </c>
    </row>
    <row r="80" spans="1:29" x14ac:dyDescent="0.35">
      <c r="A80" t="s">
        <v>96</v>
      </c>
      <c r="B80" t="s">
        <v>435</v>
      </c>
      <c r="C80" t="s">
        <v>701</v>
      </c>
      <c r="D80" t="s">
        <v>1906</v>
      </c>
      <c r="E80" t="s">
        <v>1907</v>
      </c>
      <c r="F80" t="s">
        <v>1025</v>
      </c>
      <c r="G80" t="s">
        <v>1028</v>
      </c>
      <c r="H80" t="s">
        <v>1741</v>
      </c>
      <c r="I80" t="s">
        <v>1045</v>
      </c>
      <c r="J80" t="s">
        <v>1049</v>
      </c>
      <c r="K80" s="9">
        <v>45642</v>
      </c>
      <c r="L80" s="20">
        <f t="shared" si="11"/>
        <v>45627</v>
      </c>
      <c r="M80" s="10">
        <f t="shared" si="12"/>
        <v>2024</v>
      </c>
      <c r="N80" s="9" t="s">
        <v>2350</v>
      </c>
      <c r="O80" s="9" t="s">
        <v>2350</v>
      </c>
      <c r="P80" s="9" t="s">
        <v>2350</v>
      </c>
      <c r="Q80" s="26" t="str">
        <f t="shared" si="13"/>
        <v/>
      </c>
      <c r="R80" t="s">
        <v>1619</v>
      </c>
      <c r="S80" s="15">
        <v>45762</v>
      </c>
      <c r="U80" t="s">
        <v>1621</v>
      </c>
      <c r="V80" t="s">
        <v>1628</v>
      </c>
      <c r="W80" s="17">
        <v>3.8</v>
      </c>
      <c r="X80" s="10">
        <f t="shared" si="14"/>
        <v>1</v>
      </c>
      <c r="Y80" s="10">
        <f t="shared" si="15"/>
        <v>0</v>
      </c>
      <c r="Z80" s="10">
        <f t="shared" si="16"/>
        <v>1</v>
      </c>
      <c r="AA80">
        <f t="shared" si="9"/>
        <v>0</v>
      </c>
      <c r="AB80">
        <f t="shared" si="17"/>
        <v>0</v>
      </c>
      <c r="AC80">
        <f t="shared" si="10"/>
        <v>0</v>
      </c>
    </row>
    <row r="81" spans="1:29" x14ac:dyDescent="0.35">
      <c r="A81" t="s">
        <v>97</v>
      </c>
      <c r="B81" t="s">
        <v>485</v>
      </c>
      <c r="C81" t="s">
        <v>1908</v>
      </c>
      <c r="D81" t="s">
        <v>1909</v>
      </c>
      <c r="E81" t="s">
        <v>1910</v>
      </c>
      <c r="F81" t="s">
        <v>1023</v>
      </c>
      <c r="G81" t="s">
        <v>1029</v>
      </c>
      <c r="H81" t="s">
        <v>1039</v>
      </c>
      <c r="I81" t="s">
        <v>1044</v>
      </c>
      <c r="J81" t="s">
        <v>1049</v>
      </c>
      <c r="K81" s="9">
        <v>45393</v>
      </c>
      <c r="L81" s="20">
        <f t="shared" si="11"/>
        <v>45383</v>
      </c>
      <c r="M81" s="10">
        <f t="shared" si="12"/>
        <v>2024</v>
      </c>
      <c r="N81" s="9">
        <v>45405</v>
      </c>
      <c r="O81" s="9">
        <v>45414</v>
      </c>
      <c r="P81" s="9" t="s">
        <v>2350</v>
      </c>
      <c r="Q81" s="26" t="str">
        <f t="shared" si="13"/>
        <v/>
      </c>
      <c r="R81" t="s">
        <v>1618</v>
      </c>
      <c r="S81" s="15">
        <v>47874</v>
      </c>
      <c r="T81" s="15">
        <v>49964</v>
      </c>
      <c r="U81" t="s">
        <v>1622</v>
      </c>
      <c r="V81" t="s">
        <v>1628</v>
      </c>
      <c r="X81" s="10">
        <f t="shared" si="14"/>
        <v>1</v>
      </c>
      <c r="Y81" s="10">
        <f t="shared" si="15"/>
        <v>0</v>
      </c>
      <c r="Z81" s="10">
        <f t="shared" si="16"/>
        <v>0</v>
      </c>
      <c r="AA81">
        <f t="shared" si="9"/>
        <v>1</v>
      </c>
      <c r="AB81">
        <f t="shared" si="17"/>
        <v>1</v>
      </c>
      <c r="AC81">
        <f t="shared" si="10"/>
        <v>0</v>
      </c>
    </row>
    <row r="82" spans="1:29" x14ac:dyDescent="0.35">
      <c r="A82" t="s">
        <v>98</v>
      </c>
      <c r="B82" t="s">
        <v>486</v>
      </c>
      <c r="C82" t="s">
        <v>703</v>
      </c>
      <c r="D82" t="s">
        <v>1911</v>
      </c>
      <c r="E82" t="s">
        <v>1912</v>
      </c>
      <c r="F82" t="s">
        <v>1023</v>
      </c>
      <c r="G82" t="s">
        <v>1031</v>
      </c>
      <c r="H82" t="s">
        <v>1034</v>
      </c>
      <c r="I82" t="s">
        <v>1044</v>
      </c>
      <c r="J82" t="s">
        <v>1049</v>
      </c>
      <c r="K82" s="9">
        <v>45626</v>
      </c>
      <c r="L82" s="20">
        <f t="shared" si="11"/>
        <v>45597</v>
      </c>
      <c r="M82" s="10">
        <f t="shared" si="12"/>
        <v>2024</v>
      </c>
      <c r="N82" s="9" t="s">
        <v>2350</v>
      </c>
      <c r="O82" s="9" t="s">
        <v>2350</v>
      </c>
      <c r="P82" s="9" t="s">
        <v>2350</v>
      </c>
      <c r="Q82" s="26" t="str">
        <f t="shared" si="13"/>
        <v/>
      </c>
      <c r="R82" t="s">
        <v>1619</v>
      </c>
      <c r="S82" s="15">
        <v>31908</v>
      </c>
      <c r="U82" t="s">
        <v>1624</v>
      </c>
      <c r="V82" t="s">
        <v>1626</v>
      </c>
      <c r="W82" s="17">
        <v>3</v>
      </c>
      <c r="X82" s="10">
        <f t="shared" si="14"/>
        <v>1</v>
      </c>
      <c r="Y82" s="10">
        <f t="shared" si="15"/>
        <v>0</v>
      </c>
      <c r="Z82" s="10">
        <f t="shared" si="16"/>
        <v>1</v>
      </c>
      <c r="AA82">
        <f t="shared" si="9"/>
        <v>0</v>
      </c>
      <c r="AB82">
        <f t="shared" si="17"/>
        <v>0</v>
      </c>
      <c r="AC82">
        <f t="shared" si="10"/>
        <v>0</v>
      </c>
    </row>
    <row r="83" spans="1:29" x14ac:dyDescent="0.35">
      <c r="A83" t="s">
        <v>99</v>
      </c>
      <c r="B83" t="s">
        <v>487</v>
      </c>
      <c r="C83" t="s">
        <v>1913</v>
      </c>
      <c r="D83" t="s">
        <v>1914</v>
      </c>
      <c r="E83" t="s">
        <v>1915</v>
      </c>
      <c r="F83" t="s">
        <v>1023</v>
      </c>
      <c r="G83" t="s">
        <v>1030</v>
      </c>
      <c r="H83" t="s">
        <v>1741</v>
      </c>
      <c r="I83" t="s">
        <v>1043</v>
      </c>
      <c r="J83" t="s">
        <v>1048</v>
      </c>
      <c r="K83" s="9">
        <v>45528</v>
      </c>
      <c r="L83" s="20">
        <f t="shared" si="11"/>
        <v>45505</v>
      </c>
      <c r="M83" s="10">
        <f t="shared" si="12"/>
        <v>2024</v>
      </c>
      <c r="N83" s="9" t="s">
        <v>2350</v>
      </c>
      <c r="O83" s="9" t="s">
        <v>2350</v>
      </c>
      <c r="P83" s="9" t="s">
        <v>2350</v>
      </c>
      <c r="Q83" s="26" t="str">
        <f t="shared" si="13"/>
        <v/>
      </c>
      <c r="R83" t="s">
        <v>1619</v>
      </c>
      <c r="S83" s="15">
        <v>49458</v>
      </c>
      <c r="U83" t="s">
        <v>1625</v>
      </c>
      <c r="V83" t="s">
        <v>1627</v>
      </c>
      <c r="W83" s="17">
        <v>4.7</v>
      </c>
      <c r="X83" s="10">
        <f t="shared" si="14"/>
        <v>1</v>
      </c>
      <c r="Y83" s="10">
        <f t="shared" si="15"/>
        <v>0</v>
      </c>
      <c r="Z83" s="10">
        <f t="shared" si="16"/>
        <v>1</v>
      </c>
      <c r="AA83">
        <f t="shared" si="9"/>
        <v>0</v>
      </c>
      <c r="AB83">
        <f t="shared" si="17"/>
        <v>0</v>
      </c>
      <c r="AC83">
        <f t="shared" si="10"/>
        <v>0</v>
      </c>
    </row>
    <row r="84" spans="1:29" x14ac:dyDescent="0.35">
      <c r="A84" t="s">
        <v>100</v>
      </c>
      <c r="B84" t="s">
        <v>488</v>
      </c>
      <c r="C84" t="s">
        <v>705</v>
      </c>
      <c r="D84" t="s">
        <v>1916</v>
      </c>
      <c r="E84" t="s">
        <v>1917</v>
      </c>
      <c r="F84" t="s">
        <v>1024</v>
      </c>
      <c r="G84" t="s">
        <v>1032</v>
      </c>
      <c r="H84" t="s">
        <v>1035</v>
      </c>
      <c r="I84" t="s">
        <v>1042</v>
      </c>
      <c r="J84" t="s">
        <v>1048</v>
      </c>
      <c r="K84" s="9">
        <v>45468</v>
      </c>
      <c r="L84" s="20">
        <f t="shared" si="11"/>
        <v>45444</v>
      </c>
      <c r="M84" s="10">
        <f t="shared" si="12"/>
        <v>2024</v>
      </c>
      <c r="N84" s="9">
        <v>45496</v>
      </c>
      <c r="O84" s="9">
        <v>45487</v>
      </c>
      <c r="P84" s="9" t="s">
        <v>2350</v>
      </c>
      <c r="Q84" s="26" t="str">
        <f t="shared" si="13"/>
        <v/>
      </c>
      <c r="R84" t="s">
        <v>1618</v>
      </c>
      <c r="S84" s="15">
        <v>41675</v>
      </c>
      <c r="T84" s="15">
        <v>43986</v>
      </c>
      <c r="U84" t="s">
        <v>1622</v>
      </c>
      <c r="V84" t="s">
        <v>1626</v>
      </c>
      <c r="W84" s="17">
        <v>3.7</v>
      </c>
      <c r="X84" s="10">
        <f t="shared" si="14"/>
        <v>1</v>
      </c>
      <c r="Y84" s="10">
        <f t="shared" si="15"/>
        <v>0</v>
      </c>
      <c r="Z84" s="10">
        <f t="shared" si="16"/>
        <v>0</v>
      </c>
      <c r="AA84">
        <f t="shared" si="9"/>
        <v>1</v>
      </c>
      <c r="AB84">
        <f t="shared" si="17"/>
        <v>1</v>
      </c>
      <c r="AC84">
        <f t="shared" si="10"/>
        <v>0</v>
      </c>
    </row>
    <row r="85" spans="1:29" x14ac:dyDescent="0.35">
      <c r="A85" t="s">
        <v>101</v>
      </c>
      <c r="B85" t="s">
        <v>489</v>
      </c>
      <c r="C85" t="s">
        <v>706</v>
      </c>
      <c r="D85" t="s">
        <v>1918</v>
      </c>
      <c r="E85" t="s">
        <v>1919</v>
      </c>
      <c r="F85" t="s">
        <v>1022</v>
      </c>
      <c r="G85" t="s">
        <v>1031</v>
      </c>
      <c r="H85" t="s">
        <v>1040</v>
      </c>
      <c r="I85" t="s">
        <v>1042</v>
      </c>
      <c r="J85" t="s">
        <v>1742</v>
      </c>
      <c r="K85" s="9">
        <v>45552</v>
      </c>
      <c r="L85" s="20">
        <f t="shared" si="11"/>
        <v>45536</v>
      </c>
      <c r="M85" s="10">
        <f t="shared" si="12"/>
        <v>2024</v>
      </c>
      <c r="N85" s="9">
        <v>45559</v>
      </c>
      <c r="O85" s="9" t="s">
        <v>2350</v>
      </c>
      <c r="P85" s="9" t="s">
        <v>2350</v>
      </c>
      <c r="Q85" s="26" t="str">
        <f t="shared" si="13"/>
        <v/>
      </c>
      <c r="R85" t="s">
        <v>1615</v>
      </c>
      <c r="S85" s="15">
        <v>35356</v>
      </c>
      <c r="U85" t="s">
        <v>1624</v>
      </c>
      <c r="V85" t="s">
        <v>1626</v>
      </c>
      <c r="W85" s="17">
        <v>4.5</v>
      </c>
      <c r="X85" s="10">
        <f t="shared" si="14"/>
        <v>1</v>
      </c>
      <c r="Y85" s="10">
        <f t="shared" si="15"/>
        <v>0</v>
      </c>
      <c r="Z85" s="10">
        <f t="shared" si="16"/>
        <v>0</v>
      </c>
      <c r="AA85">
        <f t="shared" si="9"/>
        <v>1</v>
      </c>
      <c r="AB85">
        <f t="shared" si="17"/>
        <v>0</v>
      </c>
      <c r="AC85">
        <f t="shared" si="10"/>
        <v>0</v>
      </c>
    </row>
    <row r="86" spans="1:29" x14ac:dyDescent="0.35">
      <c r="A86" t="s">
        <v>102</v>
      </c>
      <c r="B86" t="s">
        <v>452</v>
      </c>
      <c r="C86" t="s">
        <v>707</v>
      </c>
      <c r="D86" t="s">
        <v>1920</v>
      </c>
      <c r="E86" t="s">
        <v>1921</v>
      </c>
      <c r="F86" t="s">
        <v>1024</v>
      </c>
      <c r="G86" t="s">
        <v>1031</v>
      </c>
      <c r="H86" t="s">
        <v>1039</v>
      </c>
      <c r="I86" t="s">
        <v>1044</v>
      </c>
      <c r="J86" t="s">
        <v>1049</v>
      </c>
      <c r="K86" s="9">
        <v>45473</v>
      </c>
      <c r="L86" s="20">
        <f t="shared" si="11"/>
        <v>45444</v>
      </c>
      <c r="M86" s="10">
        <f t="shared" si="12"/>
        <v>2024</v>
      </c>
      <c r="N86" s="9">
        <v>45485</v>
      </c>
      <c r="O86" s="9">
        <v>45504</v>
      </c>
      <c r="P86" s="9">
        <v>45499</v>
      </c>
      <c r="Q86" s="26">
        <f t="shared" si="13"/>
        <v>26</v>
      </c>
      <c r="R86" t="s">
        <v>1620</v>
      </c>
      <c r="S86" s="15">
        <v>47308</v>
      </c>
      <c r="T86" s="15">
        <v>49200</v>
      </c>
      <c r="U86" t="s">
        <v>1625</v>
      </c>
      <c r="V86" t="s">
        <v>1628</v>
      </c>
      <c r="W86" s="17">
        <v>4.5</v>
      </c>
      <c r="X86" s="10">
        <f t="shared" si="14"/>
        <v>1</v>
      </c>
      <c r="Y86" s="10">
        <f t="shared" si="15"/>
        <v>0</v>
      </c>
      <c r="Z86" s="10">
        <f t="shared" si="16"/>
        <v>0</v>
      </c>
      <c r="AA86">
        <f t="shared" si="9"/>
        <v>1</v>
      </c>
      <c r="AB86">
        <f t="shared" si="17"/>
        <v>0</v>
      </c>
      <c r="AC86">
        <f t="shared" si="10"/>
        <v>1</v>
      </c>
    </row>
    <row r="87" spans="1:29" x14ac:dyDescent="0.35">
      <c r="A87" t="s">
        <v>103</v>
      </c>
      <c r="B87" t="s">
        <v>490</v>
      </c>
      <c r="C87" t="s">
        <v>708</v>
      </c>
      <c r="D87" t="s">
        <v>1922</v>
      </c>
      <c r="E87" t="s">
        <v>1805</v>
      </c>
      <c r="F87" t="s">
        <v>1023</v>
      </c>
      <c r="G87" t="s">
        <v>1031</v>
      </c>
      <c r="H87" t="s">
        <v>1040</v>
      </c>
      <c r="I87" t="s">
        <v>1041</v>
      </c>
      <c r="J87" t="s">
        <v>1051</v>
      </c>
      <c r="K87" s="9">
        <v>45618</v>
      </c>
      <c r="L87" s="20">
        <f t="shared" si="11"/>
        <v>45597</v>
      </c>
      <c r="M87" s="10">
        <f t="shared" si="12"/>
        <v>2024</v>
      </c>
      <c r="N87" s="9">
        <v>45630</v>
      </c>
      <c r="O87" s="9" t="s">
        <v>2350</v>
      </c>
      <c r="P87" s="9" t="s">
        <v>2350</v>
      </c>
      <c r="Q87" s="26" t="str">
        <f t="shared" si="13"/>
        <v/>
      </c>
      <c r="R87" t="s">
        <v>1615</v>
      </c>
      <c r="S87" s="15">
        <v>35437</v>
      </c>
      <c r="U87" t="s">
        <v>1623</v>
      </c>
      <c r="V87" t="s">
        <v>1628</v>
      </c>
      <c r="W87" s="17">
        <v>4.2</v>
      </c>
      <c r="X87" s="10">
        <f t="shared" si="14"/>
        <v>1</v>
      </c>
      <c r="Y87" s="10">
        <f t="shared" si="15"/>
        <v>0</v>
      </c>
      <c r="Z87" s="10">
        <f t="shared" si="16"/>
        <v>0</v>
      </c>
      <c r="AA87">
        <f t="shared" si="9"/>
        <v>1</v>
      </c>
      <c r="AB87">
        <f t="shared" si="17"/>
        <v>0</v>
      </c>
      <c r="AC87">
        <f t="shared" si="10"/>
        <v>0</v>
      </c>
    </row>
    <row r="88" spans="1:29" x14ac:dyDescent="0.35">
      <c r="A88" t="s">
        <v>104</v>
      </c>
      <c r="B88" t="s">
        <v>491</v>
      </c>
      <c r="C88" t="s">
        <v>709</v>
      </c>
      <c r="D88" t="s">
        <v>1923</v>
      </c>
      <c r="E88" t="s">
        <v>1924</v>
      </c>
      <c r="F88" t="s">
        <v>1027</v>
      </c>
      <c r="G88" t="s">
        <v>1028</v>
      </c>
      <c r="H88" t="s">
        <v>1039</v>
      </c>
      <c r="I88" t="s">
        <v>1043</v>
      </c>
      <c r="J88" t="s">
        <v>1048</v>
      </c>
      <c r="K88" s="9">
        <v>45499</v>
      </c>
      <c r="L88" s="20">
        <f t="shared" si="11"/>
        <v>45474</v>
      </c>
      <c r="M88" s="10">
        <f t="shared" si="12"/>
        <v>2024</v>
      </c>
      <c r="N88" s="9">
        <v>45524</v>
      </c>
      <c r="O88" s="9" t="s">
        <v>2350</v>
      </c>
      <c r="P88" s="9" t="s">
        <v>2350</v>
      </c>
      <c r="Q88" s="26" t="str">
        <f t="shared" si="13"/>
        <v/>
      </c>
      <c r="R88" t="s">
        <v>1615</v>
      </c>
      <c r="S88" s="15">
        <v>29033</v>
      </c>
      <c r="U88" t="s">
        <v>1622</v>
      </c>
      <c r="V88" t="s">
        <v>1628</v>
      </c>
      <c r="W88" s="17">
        <v>4.8</v>
      </c>
      <c r="X88" s="10">
        <f t="shared" si="14"/>
        <v>1</v>
      </c>
      <c r="Y88" s="10">
        <f t="shared" si="15"/>
        <v>0</v>
      </c>
      <c r="Z88" s="10">
        <f t="shared" si="16"/>
        <v>0</v>
      </c>
      <c r="AA88">
        <f t="shared" si="9"/>
        <v>1</v>
      </c>
      <c r="AB88">
        <f t="shared" si="17"/>
        <v>0</v>
      </c>
      <c r="AC88">
        <f t="shared" si="10"/>
        <v>0</v>
      </c>
    </row>
    <row r="89" spans="1:29" x14ac:dyDescent="0.35">
      <c r="A89" t="s">
        <v>105</v>
      </c>
      <c r="B89" t="s">
        <v>492</v>
      </c>
      <c r="C89" t="s">
        <v>710</v>
      </c>
      <c r="D89" t="s">
        <v>1925</v>
      </c>
      <c r="E89" t="s">
        <v>1926</v>
      </c>
      <c r="F89" t="s">
        <v>1023</v>
      </c>
      <c r="G89" t="s">
        <v>1028</v>
      </c>
      <c r="H89" t="s">
        <v>1036</v>
      </c>
      <c r="I89" t="s">
        <v>1045</v>
      </c>
      <c r="J89" t="s">
        <v>1050</v>
      </c>
      <c r="K89" s="9">
        <v>45704</v>
      </c>
      <c r="L89" s="20">
        <f t="shared" si="11"/>
        <v>45689</v>
      </c>
      <c r="M89" s="10">
        <f t="shared" si="12"/>
        <v>2025</v>
      </c>
      <c r="N89" s="9" t="s">
        <v>2350</v>
      </c>
      <c r="O89" s="9" t="s">
        <v>2350</v>
      </c>
      <c r="P89" s="9" t="s">
        <v>2350</v>
      </c>
      <c r="Q89" s="26" t="str">
        <f t="shared" si="13"/>
        <v/>
      </c>
      <c r="R89" t="s">
        <v>1616</v>
      </c>
      <c r="S89" s="15">
        <v>43841</v>
      </c>
      <c r="U89" t="s">
        <v>1625</v>
      </c>
      <c r="V89" t="s">
        <v>1626</v>
      </c>
      <c r="W89" s="17">
        <v>4.5999999999999996</v>
      </c>
      <c r="X89" s="10">
        <f t="shared" si="14"/>
        <v>1</v>
      </c>
      <c r="Y89" s="10">
        <f t="shared" si="15"/>
        <v>0</v>
      </c>
      <c r="Z89" s="10">
        <f t="shared" si="16"/>
        <v>0</v>
      </c>
      <c r="AA89">
        <f t="shared" si="9"/>
        <v>0</v>
      </c>
      <c r="AB89">
        <f t="shared" si="17"/>
        <v>0</v>
      </c>
      <c r="AC89">
        <f t="shared" si="10"/>
        <v>0</v>
      </c>
    </row>
    <row r="90" spans="1:29" x14ac:dyDescent="0.35">
      <c r="A90" t="s">
        <v>106</v>
      </c>
      <c r="B90" t="s">
        <v>493</v>
      </c>
      <c r="C90" t="s">
        <v>711</v>
      </c>
      <c r="D90" t="s">
        <v>1927</v>
      </c>
      <c r="E90" t="s">
        <v>1877</v>
      </c>
      <c r="F90" t="s">
        <v>1027</v>
      </c>
      <c r="G90" t="s">
        <v>1030</v>
      </c>
      <c r="H90" t="s">
        <v>1035</v>
      </c>
      <c r="I90" t="s">
        <v>1044</v>
      </c>
      <c r="J90" t="s">
        <v>1049</v>
      </c>
      <c r="K90" s="9">
        <v>45583</v>
      </c>
      <c r="L90" s="20">
        <f t="shared" si="11"/>
        <v>45566</v>
      </c>
      <c r="M90" s="10">
        <f t="shared" si="12"/>
        <v>2024</v>
      </c>
      <c r="N90" s="9" t="s">
        <v>2350</v>
      </c>
      <c r="O90" s="9" t="s">
        <v>2350</v>
      </c>
      <c r="P90" s="9" t="s">
        <v>2350</v>
      </c>
      <c r="Q90" s="26" t="str">
        <f t="shared" si="13"/>
        <v/>
      </c>
      <c r="R90" t="s">
        <v>1616</v>
      </c>
      <c r="S90" s="15">
        <v>28352</v>
      </c>
      <c r="U90" t="s">
        <v>1622</v>
      </c>
      <c r="V90" t="s">
        <v>1626</v>
      </c>
      <c r="W90" s="17">
        <v>3.1</v>
      </c>
      <c r="X90" s="10">
        <f t="shared" si="14"/>
        <v>1</v>
      </c>
      <c r="Y90" s="10">
        <f t="shared" si="15"/>
        <v>0</v>
      </c>
      <c r="Z90" s="10">
        <f t="shared" si="16"/>
        <v>0</v>
      </c>
      <c r="AA90">
        <f t="shared" si="9"/>
        <v>0</v>
      </c>
      <c r="AB90">
        <f t="shared" si="17"/>
        <v>0</v>
      </c>
      <c r="AC90">
        <f t="shared" si="10"/>
        <v>0</v>
      </c>
    </row>
    <row r="91" spans="1:29" x14ac:dyDescent="0.35">
      <c r="A91" t="s">
        <v>107</v>
      </c>
      <c r="B91" t="s">
        <v>494</v>
      </c>
      <c r="C91" t="s">
        <v>712</v>
      </c>
      <c r="D91" t="s">
        <v>1928</v>
      </c>
      <c r="E91" t="s">
        <v>1812</v>
      </c>
      <c r="F91" t="s">
        <v>1022</v>
      </c>
      <c r="G91" t="s">
        <v>1029</v>
      </c>
      <c r="H91" t="s">
        <v>1035</v>
      </c>
      <c r="I91" t="s">
        <v>1044</v>
      </c>
      <c r="J91" t="s">
        <v>1048</v>
      </c>
      <c r="K91" s="9">
        <v>45767</v>
      </c>
      <c r="L91" s="20">
        <f t="shared" si="11"/>
        <v>45748</v>
      </c>
      <c r="M91" s="10">
        <f t="shared" si="12"/>
        <v>2025</v>
      </c>
      <c r="N91" s="9">
        <v>45795</v>
      </c>
      <c r="O91" s="9" t="s">
        <v>2350</v>
      </c>
      <c r="P91" s="9" t="s">
        <v>2350</v>
      </c>
      <c r="Q91" s="26" t="str">
        <f t="shared" si="13"/>
        <v/>
      </c>
      <c r="R91" t="s">
        <v>1615</v>
      </c>
      <c r="S91" s="15">
        <v>36244</v>
      </c>
      <c r="U91" t="s">
        <v>1621</v>
      </c>
      <c r="V91" t="s">
        <v>1626</v>
      </c>
      <c r="W91" s="17">
        <v>3.2</v>
      </c>
      <c r="X91" s="10">
        <f t="shared" si="14"/>
        <v>1</v>
      </c>
      <c r="Y91" s="10">
        <f t="shared" si="15"/>
        <v>0</v>
      </c>
      <c r="Z91" s="10">
        <f t="shared" si="16"/>
        <v>0</v>
      </c>
      <c r="AA91">
        <f t="shared" si="9"/>
        <v>1</v>
      </c>
      <c r="AB91">
        <f t="shared" si="17"/>
        <v>0</v>
      </c>
      <c r="AC91">
        <f t="shared" si="10"/>
        <v>0</v>
      </c>
    </row>
    <row r="92" spans="1:29" x14ac:dyDescent="0.35">
      <c r="A92" t="s">
        <v>108</v>
      </c>
      <c r="B92" t="s">
        <v>443</v>
      </c>
      <c r="C92" t="s">
        <v>1929</v>
      </c>
      <c r="D92" t="s">
        <v>1781</v>
      </c>
      <c r="E92" t="s">
        <v>1930</v>
      </c>
      <c r="F92" t="s">
        <v>1025</v>
      </c>
      <c r="G92" t="s">
        <v>1029</v>
      </c>
      <c r="H92" t="s">
        <v>1037</v>
      </c>
      <c r="I92" t="s">
        <v>1042</v>
      </c>
      <c r="J92" t="s">
        <v>1742</v>
      </c>
      <c r="K92" s="9">
        <v>45572</v>
      </c>
      <c r="L92" s="20">
        <f t="shared" si="11"/>
        <v>45566</v>
      </c>
      <c r="M92" s="10">
        <f t="shared" si="12"/>
        <v>2024</v>
      </c>
      <c r="N92" s="9">
        <v>45597</v>
      </c>
      <c r="O92" s="9" t="s">
        <v>2350</v>
      </c>
      <c r="P92" s="9" t="s">
        <v>2350</v>
      </c>
      <c r="Q92" s="26" t="str">
        <f t="shared" si="13"/>
        <v/>
      </c>
      <c r="R92" t="s">
        <v>1615</v>
      </c>
      <c r="S92" s="15">
        <v>44770</v>
      </c>
      <c r="U92" t="s">
        <v>1622</v>
      </c>
      <c r="V92" t="s">
        <v>1626</v>
      </c>
      <c r="W92" s="17">
        <v>3.8</v>
      </c>
      <c r="X92" s="10">
        <f t="shared" si="14"/>
        <v>1</v>
      </c>
      <c r="Y92" s="10">
        <f t="shared" si="15"/>
        <v>0</v>
      </c>
      <c r="Z92" s="10">
        <f t="shared" si="16"/>
        <v>0</v>
      </c>
      <c r="AA92">
        <f t="shared" si="9"/>
        <v>1</v>
      </c>
      <c r="AB92">
        <f t="shared" si="17"/>
        <v>0</v>
      </c>
      <c r="AC92">
        <f t="shared" si="10"/>
        <v>0</v>
      </c>
    </row>
    <row r="93" spans="1:29" x14ac:dyDescent="0.35">
      <c r="A93" t="s">
        <v>109</v>
      </c>
      <c r="B93" t="s">
        <v>495</v>
      </c>
      <c r="C93" t="s">
        <v>714</v>
      </c>
      <c r="D93" t="s">
        <v>1931</v>
      </c>
      <c r="E93" t="s">
        <v>1881</v>
      </c>
      <c r="F93" t="s">
        <v>1025</v>
      </c>
      <c r="G93" t="s">
        <v>1031</v>
      </c>
      <c r="H93" t="s">
        <v>1036</v>
      </c>
      <c r="I93" t="s">
        <v>1042</v>
      </c>
      <c r="J93" t="s">
        <v>1049</v>
      </c>
      <c r="K93" s="9">
        <v>45372</v>
      </c>
      <c r="L93" s="20">
        <f t="shared" si="11"/>
        <v>45352</v>
      </c>
      <c r="M93" s="10">
        <f t="shared" si="12"/>
        <v>2024</v>
      </c>
      <c r="N93" s="9" t="s">
        <v>2350</v>
      </c>
      <c r="O93" s="9" t="s">
        <v>2350</v>
      </c>
      <c r="P93" s="9" t="s">
        <v>2350</v>
      </c>
      <c r="Q93" s="26" t="str">
        <f t="shared" si="13"/>
        <v/>
      </c>
      <c r="R93" t="s">
        <v>1616</v>
      </c>
      <c r="S93" s="15">
        <v>29639</v>
      </c>
      <c r="U93" t="s">
        <v>1622</v>
      </c>
      <c r="V93" t="s">
        <v>1628</v>
      </c>
      <c r="W93" s="17">
        <v>4.3</v>
      </c>
      <c r="X93" s="10">
        <f t="shared" si="14"/>
        <v>1</v>
      </c>
      <c r="Y93" s="10">
        <f t="shared" si="15"/>
        <v>0</v>
      </c>
      <c r="Z93" s="10">
        <f t="shared" si="16"/>
        <v>0</v>
      </c>
      <c r="AA93">
        <f t="shared" si="9"/>
        <v>0</v>
      </c>
      <c r="AB93">
        <f t="shared" si="17"/>
        <v>0</v>
      </c>
      <c r="AC93">
        <f t="shared" si="10"/>
        <v>0</v>
      </c>
    </row>
    <row r="94" spans="1:29" x14ac:dyDescent="0.35">
      <c r="A94" t="s">
        <v>110</v>
      </c>
      <c r="B94" t="s">
        <v>496</v>
      </c>
      <c r="C94" t="s">
        <v>715</v>
      </c>
      <c r="D94" t="s">
        <v>1932</v>
      </c>
      <c r="E94" t="s">
        <v>1933</v>
      </c>
      <c r="F94" t="s">
        <v>1022</v>
      </c>
      <c r="G94" t="s">
        <v>1029</v>
      </c>
      <c r="H94" t="s">
        <v>1039</v>
      </c>
      <c r="I94" t="s">
        <v>1041</v>
      </c>
      <c r="J94" t="s">
        <v>1048</v>
      </c>
      <c r="K94" s="9">
        <v>45626</v>
      </c>
      <c r="L94" s="20">
        <f t="shared" si="11"/>
        <v>45597</v>
      </c>
      <c r="M94" s="10">
        <f t="shared" si="12"/>
        <v>2024</v>
      </c>
      <c r="N94" s="9">
        <v>45634</v>
      </c>
      <c r="O94" s="9" t="s">
        <v>2350</v>
      </c>
      <c r="P94" s="9" t="s">
        <v>2350</v>
      </c>
      <c r="Q94" s="26" t="str">
        <f t="shared" si="13"/>
        <v/>
      </c>
      <c r="R94" t="s">
        <v>1615</v>
      </c>
      <c r="S94" s="15">
        <v>44653</v>
      </c>
      <c r="U94" t="s">
        <v>1621</v>
      </c>
      <c r="V94" t="s">
        <v>1626</v>
      </c>
      <c r="W94" s="17">
        <v>2.7</v>
      </c>
      <c r="X94" s="10">
        <f t="shared" si="14"/>
        <v>1</v>
      </c>
      <c r="Y94" s="10">
        <f t="shared" si="15"/>
        <v>0</v>
      </c>
      <c r="Z94" s="10">
        <f t="shared" si="16"/>
        <v>0</v>
      </c>
      <c r="AA94">
        <f t="shared" si="9"/>
        <v>1</v>
      </c>
      <c r="AB94">
        <f t="shared" si="17"/>
        <v>0</v>
      </c>
      <c r="AC94">
        <f t="shared" si="10"/>
        <v>0</v>
      </c>
    </row>
    <row r="95" spans="1:29" x14ac:dyDescent="0.35">
      <c r="A95" t="s">
        <v>111</v>
      </c>
      <c r="B95" t="s">
        <v>431</v>
      </c>
      <c r="C95" t="s">
        <v>716</v>
      </c>
      <c r="D95" t="s">
        <v>1839</v>
      </c>
      <c r="E95" t="s">
        <v>1934</v>
      </c>
      <c r="F95" t="s">
        <v>1023</v>
      </c>
      <c r="G95" t="s">
        <v>1028</v>
      </c>
      <c r="H95" t="s">
        <v>1039</v>
      </c>
      <c r="I95" t="s">
        <v>1042</v>
      </c>
      <c r="J95" t="s">
        <v>1742</v>
      </c>
      <c r="K95" s="9">
        <v>45491</v>
      </c>
      <c r="L95" s="20">
        <f t="shared" si="11"/>
        <v>45474</v>
      </c>
      <c r="M95" s="10">
        <f t="shared" si="12"/>
        <v>2024</v>
      </c>
      <c r="N95" s="9" t="s">
        <v>2350</v>
      </c>
      <c r="O95" s="9" t="s">
        <v>2350</v>
      </c>
      <c r="P95" s="9" t="s">
        <v>2350</v>
      </c>
      <c r="Q95" s="26" t="str">
        <f t="shared" si="13"/>
        <v/>
      </c>
      <c r="R95" t="s">
        <v>1616</v>
      </c>
      <c r="S95" s="15">
        <v>50131</v>
      </c>
      <c r="U95" t="s">
        <v>1624</v>
      </c>
      <c r="V95" t="s">
        <v>1626</v>
      </c>
      <c r="W95" s="17">
        <v>4.2</v>
      </c>
      <c r="X95" s="10">
        <f t="shared" si="14"/>
        <v>1</v>
      </c>
      <c r="Y95" s="10">
        <f t="shared" si="15"/>
        <v>0</v>
      </c>
      <c r="Z95" s="10">
        <f t="shared" si="16"/>
        <v>0</v>
      </c>
      <c r="AA95">
        <f t="shared" si="9"/>
        <v>0</v>
      </c>
      <c r="AB95">
        <f t="shared" si="17"/>
        <v>0</v>
      </c>
      <c r="AC95">
        <f t="shared" si="10"/>
        <v>0</v>
      </c>
    </row>
    <row r="96" spans="1:29" x14ac:dyDescent="0.35">
      <c r="A96" t="s">
        <v>112</v>
      </c>
      <c r="B96" t="s">
        <v>497</v>
      </c>
      <c r="C96" t="s">
        <v>1935</v>
      </c>
      <c r="D96" t="s">
        <v>1936</v>
      </c>
      <c r="E96" t="s">
        <v>1891</v>
      </c>
      <c r="F96" t="s">
        <v>1026</v>
      </c>
      <c r="G96" t="s">
        <v>1028</v>
      </c>
      <c r="H96" t="s">
        <v>1040</v>
      </c>
      <c r="I96" t="s">
        <v>1044</v>
      </c>
      <c r="J96" t="s">
        <v>1742</v>
      </c>
      <c r="K96" s="9">
        <v>45716</v>
      </c>
      <c r="L96" s="20">
        <f t="shared" si="11"/>
        <v>45689</v>
      </c>
      <c r="M96" s="10">
        <f t="shared" si="12"/>
        <v>2025</v>
      </c>
      <c r="N96" s="9">
        <v>45743</v>
      </c>
      <c r="O96" s="9" t="s">
        <v>2350</v>
      </c>
      <c r="P96" s="9" t="s">
        <v>2350</v>
      </c>
      <c r="Q96" s="26" t="str">
        <f t="shared" si="13"/>
        <v/>
      </c>
      <c r="R96" t="s">
        <v>1615</v>
      </c>
      <c r="S96" s="15">
        <v>29691</v>
      </c>
      <c r="U96" t="s">
        <v>1624</v>
      </c>
      <c r="V96" t="s">
        <v>1627</v>
      </c>
      <c r="W96" s="17">
        <v>2.9</v>
      </c>
      <c r="X96" s="10">
        <f t="shared" si="14"/>
        <v>1</v>
      </c>
      <c r="Y96" s="10">
        <f t="shared" si="15"/>
        <v>0</v>
      </c>
      <c r="Z96" s="10">
        <f t="shared" si="16"/>
        <v>0</v>
      </c>
      <c r="AA96">
        <f t="shared" si="9"/>
        <v>1</v>
      </c>
      <c r="AB96">
        <f t="shared" si="17"/>
        <v>0</v>
      </c>
      <c r="AC96">
        <f t="shared" si="10"/>
        <v>0</v>
      </c>
    </row>
    <row r="97" spans="1:29" x14ac:dyDescent="0.35">
      <c r="A97" t="s">
        <v>113</v>
      </c>
      <c r="B97" t="s">
        <v>491</v>
      </c>
      <c r="C97" t="s">
        <v>1937</v>
      </c>
      <c r="D97" t="s">
        <v>1813</v>
      </c>
      <c r="E97" t="s">
        <v>1938</v>
      </c>
      <c r="F97" t="s">
        <v>1027</v>
      </c>
      <c r="G97" t="s">
        <v>1028</v>
      </c>
      <c r="H97" t="s">
        <v>1741</v>
      </c>
      <c r="I97" t="s">
        <v>1042</v>
      </c>
      <c r="J97" t="s">
        <v>1742</v>
      </c>
      <c r="K97" s="9">
        <v>45422</v>
      </c>
      <c r="L97" s="20">
        <f t="shared" si="11"/>
        <v>45413</v>
      </c>
      <c r="M97" s="10">
        <f t="shared" si="12"/>
        <v>2024</v>
      </c>
      <c r="N97" s="9" t="s">
        <v>2350</v>
      </c>
      <c r="O97" s="9" t="s">
        <v>2350</v>
      </c>
      <c r="P97" s="9" t="s">
        <v>2350</v>
      </c>
      <c r="Q97" s="26" t="str">
        <f t="shared" si="13"/>
        <v/>
      </c>
      <c r="R97" t="s">
        <v>1616</v>
      </c>
      <c r="S97" s="15">
        <v>45176</v>
      </c>
      <c r="U97" t="s">
        <v>1623</v>
      </c>
      <c r="V97" t="s">
        <v>1628</v>
      </c>
      <c r="W97" s="17">
        <v>3.5</v>
      </c>
      <c r="X97" s="10">
        <f t="shared" si="14"/>
        <v>1</v>
      </c>
      <c r="Y97" s="10">
        <f t="shared" si="15"/>
        <v>0</v>
      </c>
      <c r="Z97" s="10">
        <f t="shared" si="16"/>
        <v>0</v>
      </c>
      <c r="AA97">
        <f t="shared" si="9"/>
        <v>0</v>
      </c>
      <c r="AB97">
        <f t="shared" si="17"/>
        <v>0</v>
      </c>
      <c r="AC97">
        <f t="shared" si="10"/>
        <v>0</v>
      </c>
    </row>
    <row r="98" spans="1:29" x14ac:dyDescent="0.35">
      <c r="A98" t="s">
        <v>114</v>
      </c>
      <c r="B98" t="s">
        <v>498</v>
      </c>
      <c r="C98" t="s">
        <v>1939</v>
      </c>
      <c r="D98" t="s">
        <v>1802</v>
      </c>
      <c r="E98" t="s">
        <v>1940</v>
      </c>
      <c r="F98" t="s">
        <v>1025</v>
      </c>
      <c r="G98" t="s">
        <v>1031</v>
      </c>
      <c r="H98" t="s">
        <v>1034</v>
      </c>
      <c r="I98" t="s">
        <v>1045</v>
      </c>
      <c r="J98" t="s">
        <v>1742</v>
      </c>
      <c r="K98" s="9">
        <v>45454</v>
      </c>
      <c r="L98" s="20">
        <f t="shared" si="11"/>
        <v>45444</v>
      </c>
      <c r="M98" s="10">
        <f t="shared" si="12"/>
        <v>2024</v>
      </c>
      <c r="N98" s="9">
        <v>45465</v>
      </c>
      <c r="O98" s="9">
        <v>45479</v>
      </c>
      <c r="P98" s="9">
        <v>45510</v>
      </c>
      <c r="Q98" s="26">
        <f t="shared" si="13"/>
        <v>56</v>
      </c>
      <c r="R98" t="s">
        <v>1620</v>
      </c>
      <c r="S98" s="15">
        <v>30117</v>
      </c>
      <c r="T98" s="15">
        <v>33263</v>
      </c>
      <c r="U98" t="s">
        <v>1621</v>
      </c>
      <c r="V98" t="s">
        <v>1627</v>
      </c>
      <c r="W98" s="17">
        <v>2.5</v>
      </c>
      <c r="X98" s="10">
        <f t="shared" si="14"/>
        <v>1</v>
      </c>
      <c r="Y98" s="10">
        <f t="shared" si="15"/>
        <v>0</v>
      </c>
      <c r="Z98" s="10">
        <f t="shared" si="16"/>
        <v>0</v>
      </c>
      <c r="AA98">
        <f t="shared" si="9"/>
        <v>1</v>
      </c>
      <c r="AB98">
        <f t="shared" si="17"/>
        <v>0</v>
      </c>
      <c r="AC98">
        <f t="shared" si="10"/>
        <v>1</v>
      </c>
    </row>
    <row r="99" spans="1:29" x14ac:dyDescent="0.35">
      <c r="A99" t="s">
        <v>115</v>
      </c>
      <c r="B99" t="s">
        <v>432</v>
      </c>
      <c r="C99" t="s">
        <v>1941</v>
      </c>
      <c r="D99" t="s">
        <v>1898</v>
      </c>
      <c r="E99" t="s">
        <v>1942</v>
      </c>
      <c r="F99" t="s">
        <v>1027</v>
      </c>
      <c r="G99" t="s">
        <v>1028</v>
      </c>
      <c r="H99" t="s">
        <v>1741</v>
      </c>
      <c r="I99" t="s">
        <v>1045</v>
      </c>
      <c r="J99" t="s">
        <v>1742</v>
      </c>
      <c r="K99" s="9">
        <v>45476</v>
      </c>
      <c r="L99" s="20">
        <f t="shared" si="11"/>
        <v>45474</v>
      </c>
      <c r="M99" s="10">
        <f t="shared" si="12"/>
        <v>2024</v>
      </c>
      <c r="N99" s="9">
        <v>45482</v>
      </c>
      <c r="O99" s="9" t="s">
        <v>2350</v>
      </c>
      <c r="P99" s="9" t="s">
        <v>2350</v>
      </c>
      <c r="Q99" s="26" t="str">
        <f t="shared" si="13"/>
        <v/>
      </c>
      <c r="R99" t="s">
        <v>1615</v>
      </c>
      <c r="S99" s="15">
        <v>31037</v>
      </c>
      <c r="U99" t="s">
        <v>1623</v>
      </c>
      <c r="V99" t="s">
        <v>1627</v>
      </c>
      <c r="W99" s="17">
        <v>3</v>
      </c>
      <c r="X99" s="10">
        <f t="shared" si="14"/>
        <v>1</v>
      </c>
      <c r="Y99" s="10">
        <f t="shared" si="15"/>
        <v>0</v>
      </c>
      <c r="Z99" s="10">
        <f t="shared" si="16"/>
        <v>0</v>
      </c>
      <c r="AA99">
        <f t="shared" si="9"/>
        <v>1</v>
      </c>
      <c r="AB99">
        <f t="shared" si="17"/>
        <v>0</v>
      </c>
      <c r="AC99">
        <f t="shared" si="10"/>
        <v>0</v>
      </c>
    </row>
    <row r="100" spans="1:29" x14ac:dyDescent="0.35">
      <c r="A100" t="s">
        <v>116</v>
      </c>
      <c r="B100" t="s">
        <v>499</v>
      </c>
      <c r="C100" t="s">
        <v>721</v>
      </c>
      <c r="D100" t="s">
        <v>1943</v>
      </c>
      <c r="E100" t="s">
        <v>1818</v>
      </c>
      <c r="F100" t="s">
        <v>1026</v>
      </c>
      <c r="G100" t="s">
        <v>1028</v>
      </c>
      <c r="H100" t="s">
        <v>1037</v>
      </c>
      <c r="I100" t="s">
        <v>1041</v>
      </c>
      <c r="J100" t="s">
        <v>1742</v>
      </c>
      <c r="K100" s="9">
        <v>45707</v>
      </c>
      <c r="L100" s="20">
        <f t="shared" si="11"/>
        <v>45689</v>
      </c>
      <c r="M100" s="10">
        <f t="shared" si="12"/>
        <v>2025</v>
      </c>
      <c r="N100" s="9">
        <v>45734</v>
      </c>
      <c r="O100" s="9" t="s">
        <v>2350</v>
      </c>
      <c r="P100" s="9" t="s">
        <v>2350</v>
      </c>
      <c r="Q100" s="26" t="str">
        <f t="shared" si="13"/>
        <v/>
      </c>
      <c r="R100" t="s">
        <v>1615</v>
      </c>
      <c r="S100" s="15">
        <v>34556</v>
      </c>
      <c r="U100" t="s">
        <v>1622</v>
      </c>
      <c r="V100" t="s">
        <v>1627</v>
      </c>
      <c r="W100" s="17">
        <v>3.7</v>
      </c>
      <c r="X100" s="10">
        <f t="shared" si="14"/>
        <v>1</v>
      </c>
      <c r="Y100" s="10">
        <f t="shared" si="15"/>
        <v>0</v>
      </c>
      <c r="Z100" s="10">
        <f t="shared" si="16"/>
        <v>0</v>
      </c>
      <c r="AA100">
        <f t="shared" si="9"/>
        <v>1</v>
      </c>
      <c r="AB100">
        <f t="shared" si="17"/>
        <v>0</v>
      </c>
      <c r="AC100">
        <f t="shared" si="10"/>
        <v>0</v>
      </c>
    </row>
    <row r="101" spans="1:29" x14ac:dyDescent="0.35">
      <c r="A101" t="s">
        <v>117</v>
      </c>
      <c r="B101" t="s">
        <v>500</v>
      </c>
      <c r="C101" t="s">
        <v>722</v>
      </c>
      <c r="D101" t="s">
        <v>1944</v>
      </c>
      <c r="E101" t="s">
        <v>1945</v>
      </c>
      <c r="F101" t="s">
        <v>1027</v>
      </c>
      <c r="G101" t="s">
        <v>1032</v>
      </c>
      <c r="H101" t="s">
        <v>1741</v>
      </c>
      <c r="I101" t="s">
        <v>1041</v>
      </c>
      <c r="J101" t="s">
        <v>1049</v>
      </c>
      <c r="K101" s="9">
        <v>45476</v>
      </c>
      <c r="L101" s="20">
        <f t="shared" si="11"/>
        <v>45474</v>
      </c>
      <c r="M101" s="10">
        <f t="shared" si="12"/>
        <v>2024</v>
      </c>
      <c r="N101" s="9" t="s">
        <v>2350</v>
      </c>
      <c r="O101" s="9" t="s">
        <v>2350</v>
      </c>
      <c r="P101" s="9" t="s">
        <v>2350</v>
      </c>
      <c r="Q101" s="26" t="str">
        <f t="shared" si="13"/>
        <v/>
      </c>
      <c r="R101" t="s">
        <v>1616</v>
      </c>
      <c r="S101" s="15">
        <v>51375</v>
      </c>
      <c r="U101" t="s">
        <v>1624</v>
      </c>
      <c r="V101" t="s">
        <v>1626</v>
      </c>
      <c r="W101" s="17">
        <v>3.6</v>
      </c>
      <c r="X101" s="10">
        <f t="shared" si="14"/>
        <v>1</v>
      </c>
      <c r="Y101" s="10">
        <f t="shared" si="15"/>
        <v>0</v>
      </c>
      <c r="Z101" s="10">
        <f t="shared" si="16"/>
        <v>0</v>
      </c>
      <c r="AA101">
        <f t="shared" si="9"/>
        <v>0</v>
      </c>
      <c r="AB101">
        <f t="shared" si="17"/>
        <v>0</v>
      </c>
      <c r="AC101">
        <f t="shared" si="10"/>
        <v>0</v>
      </c>
    </row>
    <row r="102" spans="1:29" x14ac:dyDescent="0.35">
      <c r="A102" t="s">
        <v>118</v>
      </c>
      <c r="B102" t="s">
        <v>501</v>
      </c>
      <c r="C102" t="s">
        <v>723</v>
      </c>
      <c r="D102" t="s">
        <v>1946</v>
      </c>
      <c r="E102" t="s">
        <v>1763</v>
      </c>
      <c r="F102" t="s">
        <v>1025</v>
      </c>
      <c r="G102" t="s">
        <v>1032</v>
      </c>
      <c r="H102" t="s">
        <v>1039</v>
      </c>
      <c r="I102" t="s">
        <v>1042</v>
      </c>
      <c r="J102" t="s">
        <v>1051</v>
      </c>
      <c r="K102" s="9">
        <v>45549</v>
      </c>
      <c r="L102" s="20">
        <f t="shared" si="11"/>
        <v>45536</v>
      </c>
      <c r="M102" s="10">
        <f t="shared" si="12"/>
        <v>2024</v>
      </c>
      <c r="N102" s="9" t="s">
        <v>2350</v>
      </c>
      <c r="O102" s="9" t="s">
        <v>2350</v>
      </c>
      <c r="P102" s="9" t="s">
        <v>2350</v>
      </c>
      <c r="Q102" s="26" t="str">
        <f t="shared" si="13"/>
        <v/>
      </c>
      <c r="R102" t="s">
        <v>1619</v>
      </c>
      <c r="S102" s="15">
        <v>36335</v>
      </c>
      <c r="U102" t="s">
        <v>1622</v>
      </c>
      <c r="V102" t="s">
        <v>1627</v>
      </c>
      <c r="W102" s="17">
        <v>4.5999999999999996</v>
      </c>
      <c r="X102" s="10">
        <f t="shared" si="14"/>
        <v>1</v>
      </c>
      <c r="Y102" s="10">
        <f t="shared" si="15"/>
        <v>0</v>
      </c>
      <c r="Z102" s="10">
        <f t="shared" si="16"/>
        <v>1</v>
      </c>
      <c r="AA102">
        <f t="shared" si="9"/>
        <v>0</v>
      </c>
      <c r="AB102">
        <f t="shared" si="17"/>
        <v>0</v>
      </c>
      <c r="AC102">
        <f t="shared" si="10"/>
        <v>0</v>
      </c>
    </row>
    <row r="103" spans="1:29" x14ac:dyDescent="0.35">
      <c r="A103" t="s">
        <v>119</v>
      </c>
      <c r="B103" t="s">
        <v>502</v>
      </c>
      <c r="C103" t="s">
        <v>724</v>
      </c>
      <c r="D103" t="s">
        <v>1947</v>
      </c>
      <c r="E103" t="s">
        <v>1948</v>
      </c>
      <c r="F103" t="s">
        <v>1022</v>
      </c>
      <c r="G103" t="s">
        <v>1028</v>
      </c>
      <c r="H103" t="s">
        <v>1037</v>
      </c>
      <c r="I103" t="s">
        <v>1044</v>
      </c>
      <c r="J103" t="s">
        <v>1742</v>
      </c>
      <c r="K103" s="9">
        <v>45739</v>
      </c>
      <c r="L103" s="20">
        <f t="shared" si="11"/>
        <v>45717</v>
      </c>
      <c r="M103" s="10">
        <f t="shared" si="12"/>
        <v>2025</v>
      </c>
      <c r="N103" s="9">
        <v>45755</v>
      </c>
      <c r="O103" s="9">
        <v>45764</v>
      </c>
      <c r="P103" s="9" t="s">
        <v>2350</v>
      </c>
      <c r="Q103" s="26" t="str">
        <f t="shared" si="13"/>
        <v/>
      </c>
      <c r="R103" t="s">
        <v>1618</v>
      </c>
      <c r="S103" s="15">
        <v>41843</v>
      </c>
      <c r="T103" s="15">
        <v>38877</v>
      </c>
      <c r="U103" t="s">
        <v>1625</v>
      </c>
      <c r="V103" t="s">
        <v>1627</v>
      </c>
      <c r="W103" s="17">
        <v>3.2</v>
      </c>
      <c r="X103" s="10">
        <f t="shared" si="14"/>
        <v>1</v>
      </c>
      <c r="Y103" s="10">
        <f t="shared" si="15"/>
        <v>0</v>
      </c>
      <c r="Z103" s="10">
        <f t="shared" si="16"/>
        <v>0</v>
      </c>
      <c r="AA103">
        <f t="shared" si="9"/>
        <v>1</v>
      </c>
      <c r="AB103">
        <f t="shared" si="17"/>
        <v>1</v>
      </c>
      <c r="AC103">
        <f t="shared" si="10"/>
        <v>0</v>
      </c>
    </row>
    <row r="104" spans="1:29" x14ac:dyDescent="0.35">
      <c r="A104" t="s">
        <v>120</v>
      </c>
      <c r="B104" t="s">
        <v>503</v>
      </c>
      <c r="C104" t="s">
        <v>1949</v>
      </c>
      <c r="D104" t="s">
        <v>1798</v>
      </c>
      <c r="E104" t="s">
        <v>1950</v>
      </c>
      <c r="F104" t="s">
        <v>1026</v>
      </c>
      <c r="G104" t="s">
        <v>1028</v>
      </c>
      <c r="H104" t="s">
        <v>1741</v>
      </c>
      <c r="I104" t="s">
        <v>1041</v>
      </c>
      <c r="J104" t="s">
        <v>1742</v>
      </c>
      <c r="K104" s="9">
        <v>45614</v>
      </c>
      <c r="L104" s="20">
        <f t="shared" si="11"/>
        <v>45597</v>
      </c>
      <c r="M104" s="10">
        <f t="shared" si="12"/>
        <v>2024</v>
      </c>
      <c r="N104" s="9">
        <v>45624</v>
      </c>
      <c r="O104" s="9">
        <v>45651</v>
      </c>
      <c r="P104" s="9">
        <v>45654</v>
      </c>
      <c r="Q104" s="26">
        <f t="shared" si="13"/>
        <v>40</v>
      </c>
      <c r="R104" t="s">
        <v>1620</v>
      </c>
      <c r="S104" s="15">
        <v>38124</v>
      </c>
      <c r="T104" s="15">
        <v>40408</v>
      </c>
      <c r="U104" t="s">
        <v>1624</v>
      </c>
      <c r="V104" t="s">
        <v>1628</v>
      </c>
      <c r="W104" s="17">
        <v>2.4</v>
      </c>
      <c r="X104" s="10">
        <f t="shared" si="14"/>
        <v>1</v>
      </c>
      <c r="Y104" s="10">
        <f t="shared" si="15"/>
        <v>0</v>
      </c>
      <c r="Z104" s="10">
        <f t="shared" si="16"/>
        <v>0</v>
      </c>
      <c r="AA104">
        <f t="shared" si="9"/>
        <v>1</v>
      </c>
      <c r="AB104">
        <f t="shared" si="17"/>
        <v>0</v>
      </c>
      <c r="AC104">
        <f t="shared" si="10"/>
        <v>1</v>
      </c>
    </row>
    <row r="105" spans="1:29" x14ac:dyDescent="0.35">
      <c r="A105" t="s">
        <v>121</v>
      </c>
      <c r="B105" t="s">
        <v>504</v>
      </c>
      <c r="C105" t="s">
        <v>1951</v>
      </c>
      <c r="D105" t="s">
        <v>1755</v>
      </c>
      <c r="E105" t="s">
        <v>1926</v>
      </c>
      <c r="F105" t="s">
        <v>1026</v>
      </c>
      <c r="G105" t="s">
        <v>1029</v>
      </c>
      <c r="H105" t="s">
        <v>1037</v>
      </c>
      <c r="I105" t="s">
        <v>1043</v>
      </c>
      <c r="J105" t="s">
        <v>1742</v>
      </c>
      <c r="K105" s="9">
        <v>45709</v>
      </c>
      <c r="L105" s="20">
        <f t="shared" si="11"/>
        <v>45689</v>
      </c>
      <c r="M105" s="10">
        <f t="shared" si="12"/>
        <v>2025</v>
      </c>
      <c r="N105" s="9" t="s">
        <v>2350</v>
      </c>
      <c r="O105" s="9" t="s">
        <v>2350</v>
      </c>
      <c r="P105" s="9" t="s">
        <v>2350</v>
      </c>
      <c r="Q105" s="26" t="str">
        <f t="shared" si="13"/>
        <v/>
      </c>
      <c r="R105" t="s">
        <v>1619</v>
      </c>
      <c r="S105" s="15">
        <v>37650</v>
      </c>
      <c r="U105" t="s">
        <v>1625</v>
      </c>
      <c r="V105" t="s">
        <v>1626</v>
      </c>
      <c r="W105" s="17">
        <v>3.9</v>
      </c>
      <c r="X105" s="10">
        <f t="shared" si="14"/>
        <v>1</v>
      </c>
      <c r="Y105" s="10">
        <f t="shared" si="15"/>
        <v>0</v>
      </c>
      <c r="Z105" s="10">
        <f t="shared" si="16"/>
        <v>1</v>
      </c>
      <c r="AA105">
        <f t="shared" si="9"/>
        <v>0</v>
      </c>
      <c r="AB105">
        <f t="shared" si="17"/>
        <v>0</v>
      </c>
      <c r="AC105">
        <f t="shared" si="10"/>
        <v>0</v>
      </c>
    </row>
    <row r="106" spans="1:29" x14ac:dyDescent="0.35">
      <c r="A106" t="s">
        <v>122</v>
      </c>
      <c r="B106" t="s">
        <v>505</v>
      </c>
      <c r="C106" t="s">
        <v>1952</v>
      </c>
      <c r="D106" t="s">
        <v>1953</v>
      </c>
      <c r="E106" t="s">
        <v>1954</v>
      </c>
      <c r="F106" t="s">
        <v>1024</v>
      </c>
      <c r="G106" t="s">
        <v>1029</v>
      </c>
      <c r="H106" t="s">
        <v>1037</v>
      </c>
      <c r="I106" t="s">
        <v>1041</v>
      </c>
      <c r="J106" t="s">
        <v>1049</v>
      </c>
      <c r="K106" s="9">
        <v>45348</v>
      </c>
      <c r="L106" s="20">
        <f t="shared" si="11"/>
        <v>45323</v>
      </c>
      <c r="M106" s="10">
        <f t="shared" si="12"/>
        <v>2024</v>
      </c>
      <c r="N106" s="9" t="s">
        <v>2350</v>
      </c>
      <c r="O106" s="9" t="s">
        <v>2350</v>
      </c>
      <c r="P106" s="9" t="s">
        <v>2350</v>
      </c>
      <c r="Q106" s="26" t="str">
        <f t="shared" si="13"/>
        <v/>
      </c>
      <c r="R106" t="s">
        <v>1616</v>
      </c>
      <c r="S106" s="15">
        <v>46953</v>
      </c>
      <c r="U106" t="s">
        <v>1621</v>
      </c>
      <c r="V106" t="s">
        <v>1626</v>
      </c>
      <c r="W106" s="17">
        <v>4.7</v>
      </c>
      <c r="X106" s="10">
        <f t="shared" si="14"/>
        <v>1</v>
      </c>
      <c r="Y106" s="10">
        <f t="shared" si="15"/>
        <v>0</v>
      </c>
      <c r="Z106" s="10">
        <f t="shared" si="16"/>
        <v>0</v>
      </c>
      <c r="AA106">
        <f t="shared" si="9"/>
        <v>0</v>
      </c>
      <c r="AB106">
        <f t="shared" si="17"/>
        <v>0</v>
      </c>
      <c r="AC106">
        <f t="shared" si="10"/>
        <v>0</v>
      </c>
    </row>
    <row r="107" spans="1:29" x14ac:dyDescent="0.35">
      <c r="A107" t="s">
        <v>123</v>
      </c>
      <c r="B107" t="s">
        <v>506</v>
      </c>
      <c r="C107" t="s">
        <v>728</v>
      </c>
      <c r="D107" t="s">
        <v>1955</v>
      </c>
      <c r="E107" t="s">
        <v>1956</v>
      </c>
      <c r="F107" t="s">
        <v>1025</v>
      </c>
      <c r="G107" t="s">
        <v>1032</v>
      </c>
      <c r="H107" t="s">
        <v>1040</v>
      </c>
      <c r="I107" t="s">
        <v>1044</v>
      </c>
      <c r="J107" t="s">
        <v>1051</v>
      </c>
      <c r="K107" s="9">
        <v>45365</v>
      </c>
      <c r="L107" s="20">
        <f t="shared" si="11"/>
        <v>45352</v>
      </c>
      <c r="M107" s="10">
        <f t="shared" si="12"/>
        <v>2024</v>
      </c>
      <c r="N107" s="9" t="s">
        <v>2350</v>
      </c>
      <c r="O107" s="9" t="s">
        <v>2350</v>
      </c>
      <c r="P107" s="9" t="s">
        <v>2350</v>
      </c>
      <c r="Q107" s="26" t="str">
        <f t="shared" si="13"/>
        <v/>
      </c>
      <c r="R107" t="s">
        <v>1616</v>
      </c>
      <c r="S107" s="15">
        <v>28955</v>
      </c>
      <c r="U107" t="s">
        <v>1621</v>
      </c>
      <c r="V107" t="s">
        <v>1626</v>
      </c>
      <c r="W107" s="17">
        <v>3.7</v>
      </c>
      <c r="X107" s="10">
        <f t="shared" si="14"/>
        <v>1</v>
      </c>
      <c r="Y107" s="10">
        <f t="shared" si="15"/>
        <v>0</v>
      </c>
      <c r="Z107" s="10">
        <f t="shared" si="16"/>
        <v>0</v>
      </c>
      <c r="AA107">
        <f t="shared" si="9"/>
        <v>0</v>
      </c>
      <c r="AB107">
        <f t="shared" si="17"/>
        <v>0</v>
      </c>
      <c r="AC107">
        <f t="shared" si="10"/>
        <v>0</v>
      </c>
    </row>
    <row r="108" spans="1:29" x14ac:dyDescent="0.35">
      <c r="A108" t="s">
        <v>124</v>
      </c>
      <c r="B108" t="s">
        <v>507</v>
      </c>
      <c r="C108" t="s">
        <v>729</v>
      </c>
      <c r="D108" t="s">
        <v>1957</v>
      </c>
      <c r="E108" t="s">
        <v>1752</v>
      </c>
      <c r="F108" t="s">
        <v>1025</v>
      </c>
      <c r="G108" t="s">
        <v>1029</v>
      </c>
      <c r="H108" t="s">
        <v>1039</v>
      </c>
      <c r="I108" t="s">
        <v>1044</v>
      </c>
      <c r="J108" t="s">
        <v>1050</v>
      </c>
      <c r="K108" s="9">
        <v>45447</v>
      </c>
      <c r="L108" s="20">
        <f t="shared" si="11"/>
        <v>45444</v>
      </c>
      <c r="M108" s="10">
        <f t="shared" si="12"/>
        <v>2024</v>
      </c>
      <c r="N108" s="9">
        <v>45472</v>
      </c>
      <c r="O108" s="9">
        <v>45480</v>
      </c>
      <c r="P108" s="9" t="s">
        <v>2350</v>
      </c>
      <c r="Q108" s="26" t="str">
        <f t="shared" si="13"/>
        <v/>
      </c>
      <c r="R108" t="s">
        <v>1618</v>
      </c>
      <c r="S108" s="15">
        <v>37558</v>
      </c>
      <c r="T108" s="15">
        <v>39981</v>
      </c>
      <c r="U108" t="s">
        <v>1622</v>
      </c>
      <c r="V108" t="s">
        <v>1626</v>
      </c>
      <c r="W108" s="17">
        <v>2.4</v>
      </c>
      <c r="X108" s="10">
        <f t="shared" si="14"/>
        <v>1</v>
      </c>
      <c r="Y108" s="10">
        <f t="shared" si="15"/>
        <v>0</v>
      </c>
      <c r="Z108" s="10">
        <f t="shared" si="16"/>
        <v>0</v>
      </c>
      <c r="AA108">
        <f t="shared" si="9"/>
        <v>1</v>
      </c>
      <c r="AB108">
        <f t="shared" si="17"/>
        <v>1</v>
      </c>
      <c r="AC108">
        <f t="shared" si="10"/>
        <v>0</v>
      </c>
    </row>
    <row r="109" spans="1:29" x14ac:dyDescent="0.35">
      <c r="A109" t="s">
        <v>125</v>
      </c>
      <c r="B109" t="s">
        <v>508</v>
      </c>
      <c r="C109" t="s">
        <v>730</v>
      </c>
      <c r="D109" t="s">
        <v>1958</v>
      </c>
      <c r="E109" t="s">
        <v>1959</v>
      </c>
      <c r="F109" t="s">
        <v>1024</v>
      </c>
      <c r="G109" t="s">
        <v>1031</v>
      </c>
      <c r="H109" t="s">
        <v>1037</v>
      </c>
      <c r="I109" t="s">
        <v>1045</v>
      </c>
      <c r="J109" t="s">
        <v>1742</v>
      </c>
      <c r="K109" s="9">
        <v>45435</v>
      </c>
      <c r="L109" s="20">
        <f t="shared" si="11"/>
        <v>45413</v>
      </c>
      <c r="M109" s="10">
        <f t="shared" si="12"/>
        <v>2024</v>
      </c>
      <c r="N109" s="9">
        <v>45454</v>
      </c>
      <c r="O109" s="9">
        <v>45455</v>
      </c>
      <c r="P109" s="9" t="s">
        <v>2350</v>
      </c>
      <c r="Q109" s="26" t="str">
        <f t="shared" si="13"/>
        <v/>
      </c>
      <c r="R109" t="s">
        <v>1618</v>
      </c>
      <c r="S109" s="15">
        <v>28282</v>
      </c>
      <c r="T109" s="15">
        <v>27996</v>
      </c>
      <c r="U109" t="s">
        <v>1622</v>
      </c>
      <c r="V109" t="s">
        <v>1628</v>
      </c>
      <c r="W109" s="17">
        <v>2.4</v>
      </c>
      <c r="X109" s="10">
        <f t="shared" si="14"/>
        <v>1</v>
      </c>
      <c r="Y109" s="10">
        <f t="shared" si="15"/>
        <v>0</v>
      </c>
      <c r="Z109" s="10">
        <f t="shared" si="16"/>
        <v>0</v>
      </c>
      <c r="AA109">
        <f t="shared" si="9"/>
        <v>1</v>
      </c>
      <c r="AB109">
        <f t="shared" si="17"/>
        <v>1</v>
      </c>
      <c r="AC109">
        <f t="shared" si="10"/>
        <v>0</v>
      </c>
    </row>
    <row r="110" spans="1:29" x14ac:dyDescent="0.35">
      <c r="A110" t="s">
        <v>126</v>
      </c>
      <c r="B110" t="s">
        <v>509</v>
      </c>
      <c r="C110" t="s">
        <v>731</v>
      </c>
      <c r="D110" t="s">
        <v>1960</v>
      </c>
      <c r="E110" t="s">
        <v>1961</v>
      </c>
      <c r="F110" t="s">
        <v>1023</v>
      </c>
      <c r="G110" t="s">
        <v>1032</v>
      </c>
      <c r="H110" t="s">
        <v>1037</v>
      </c>
      <c r="I110" t="s">
        <v>1044</v>
      </c>
      <c r="J110" t="s">
        <v>1742</v>
      </c>
      <c r="K110" s="9">
        <v>45422</v>
      </c>
      <c r="L110" s="20">
        <f t="shared" si="11"/>
        <v>45413</v>
      </c>
      <c r="M110" s="10">
        <f t="shared" si="12"/>
        <v>2024</v>
      </c>
      <c r="N110" s="9">
        <v>45430</v>
      </c>
      <c r="O110" s="9">
        <v>45466</v>
      </c>
      <c r="P110" s="9">
        <v>45456</v>
      </c>
      <c r="Q110" s="26">
        <f t="shared" si="13"/>
        <v>34</v>
      </c>
      <c r="R110" t="s">
        <v>1620</v>
      </c>
      <c r="S110" s="15">
        <v>40603</v>
      </c>
      <c r="T110" s="15">
        <v>43909</v>
      </c>
      <c r="U110" t="s">
        <v>1625</v>
      </c>
      <c r="V110" t="s">
        <v>1628</v>
      </c>
      <c r="W110" s="17">
        <v>4.3</v>
      </c>
      <c r="X110" s="10">
        <f t="shared" si="14"/>
        <v>1</v>
      </c>
      <c r="Y110" s="10">
        <f t="shared" si="15"/>
        <v>0</v>
      </c>
      <c r="Z110" s="10">
        <f t="shared" si="16"/>
        <v>0</v>
      </c>
      <c r="AA110">
        <f t="shared" si="9"/>
        <v>1</v>
      </c>
      <c r="AB110">
        <f t="shared" si="17"/>
        <v>0</v>
      </c>
      <c r="AC110">
        <f t="shared" si="10"/>
        <v>1</v>
      </c>
    </row>
    <row r="111" spans="1:29" x14ac:dyDescent="0.35">
      <c r="A111" t="s">
        <v>127</v>
      </c>
      <c r="B111" t="s">
        <v>510</v>
      </c>
      <c r="C111" t="s">
        <v>732</v>
      </c>
      <c r="D111" t="s">
        <v>1962</v>
      </c>
      <c r="E111" t="s">
        <v>1881</v>
      </c>
      <c r="F111" t="s">
        <v>1026</v>
      </c>
      <c r="G111" t="s">
        <v>1030</v>
      </c>
      <c r="H111" t="s">
        <v>1037</v>
      </c>
      <c r="I111" t="s">
        <v>1045</v>
      </c>
      <c r="J111" t="s">
        <v>1050</v>
      </c>
      <c r="K111" s="9">
        <v>45349</v>
      </c>
      <c r="L111" s="20">
        <f t="shared" si="11"/>
        <v>45323</v>
      </c>
      <c r="M111" s="10">
        <f t="shared" si="12"/>
        <v>2024</v>
      </c>
      <c r="N111" s="9" t="s">
        <v>2350</v>
      </c>
      <c r="O111" s="9" t="s">
        <v>2350</v>
      </c>
      <c r="P111" s="9" t="s">
        <v>2350</v>
      </c>
      <c r="Q111" s="26" t="str">
        <f t="shared" si="13"/>
        <v/>
      </c>
      <c r="R111" t="s">
        <v>1616</v>
      </c>
      <c r="S111" s="15">
        <v>32716</v>
      </c>
      <c r="U111" t="s">
        <v>1624</v>
      </c>
      <c r="V111" t="s">
        <v>1627</v>
      </c>
      <c r="W111" s="17">
        <v>5</v>
      </c>
      <c r="X111" s="10">
        <f t="shared" si="14"/>
        <v>1</v>
      </c>
      <c r="Y111" s="10">
        <f t="shared" si="15"/>
        <v>0</v>
      </c>
      <c r="Z111" s="10">
        <f t="shared" si="16"/>
        <v>0</v>
      </c>
      <c r="AA111">
        <f t="shared" si="9"/>
        <v>0</v>
      </c>
      <c r="AB111">
        <f t="shared" si="17"/>
        <v>0</v>
      </c>
      <c r="AC111">
        <f t="shared" si="10"/>
        <v>0</v>
      </c>
    </row>
    <row r="112" spans="1:29" x14ac:dyDescent="0.35">
      <c r="A112" t="s">
        <v>128</v>
      </c>
      <c r="B112" t="s">
        <v>511</v>
      </c>
      <c r="C112" t="s">
        <v>733</v>
      </c>
      <c r="D112" t="s">
        <v>1963</v>
      </c>
      <c r="E112" t="s">
        <v>1964</v>
      </c>
      <c r="F112" t="s">
        <v>1024</v>
      </c>
      <c r="G112" t="s">
        <v>1028</v>
      </c>
      <c r="H112" t="s">
        <v>1039</v>
      </c>
      <c r="I112" t="s">
        <v>1045</v>
      </c>
      <c r="J112" t="s">
        <v>1048</v>
      </c>
      <c r="K112" s="9">
        <v>45684</v>
      </c>
      <c r="L112" s="20">
        <f t="shared" si="11"/>
        <v>45658</v>
      </c>
      <c r="M112" s="10">
        <f t="shared" si="12"/>
        <v>2025</v>
      </c>
      <c r="N112" s="9" t="s">
        <v>2350</v>
      </c>
      <c r="O112" s="9" t="s">
        <v>2350</v>
      </c>
      <c r="P112" s="9" t="s">
        <v>2350</v>
      </c>
      <c r="Q112" s="26" t="str">
        <f t="shared" si="13"/>
        <v/>
      </c>
      <c r="R112" t="s">
        <v>1617</v>
      </c>
      <c r="S112" s="15">
        <v>48799</v>
      </c>
      <c r="U112" t="s">
        <v>1623</v>
      </c>
      <c r="V112" t="s">
        <v>1628</v>
      </c>
      <c r="W112" s="17">
        <v>4.0999999999999996</v>
      </c>
      <c r="X112" s="10">
        <f t="shared" si="14"/>
        <v>1</v>
      </c>
      <c r="Y112" s="10">
        <f t="shared" si="15"/>
        <v>1</v>
      </c>
      <c r="Z112" s="10">
        <f t="shared" si="16"/>
        <v>0</v>
      </c>
      <c r="AA112">
        <f t="shared" si="9"/>
        <v>0</v>
      </c>
      <c r="AB112">
        <f t="shared" si="17"/>
        <v>0</v>
      </c>
      <c r="AC112">
        <f t="shared" si="10"/>
        <v>0</v>
      </c>
    </row>
    <row r="113" spans="1:29" x14ac:dyDescent="0.35">
      <c r="A113" t="s">
        <v>129</v>
      </c>
      <c r="B113" t="s">
        <v>441</v>
      </c>
      <c r="C113" t="s">
        <v>1965</v>
      </c>
      <c r="D113" t="s">
        <v>1966</v>
      </c>
      <c r="E113" t="s">
        <v>1852</v>
      </c>
      <c r="F113" t="s">
        <v>1027</v>
      </c>
      <c r="G113" t="s">
        <v>1028</v>
      </c>
      <c r="H113" t="s">
        <v>1741</v>
      </c>
      <c r="I113" t="s">
        <v>1042</v>
      </c>
      <c r="J113" t="s">
        <v>1048</v>
      </c>
      <c r="K113" s="9">
        <v>45623</v>
      </c>
      <c r="L113" s="20">
        <f t="shared" si="11"/>
        <v>45597</v>
      </c>
      <c r="M113" s="10">
        <f t="shared" si="12"/>
        <v>2024</v>
      </c>
      <c r="N113" s="9" t="s">
        <v>2350</v>
      </c>
      <c r="O113" s="9" t="s">
        <v>2350</v>
      </c>
      <c r="P113" s="9" t="s">
        <v>2350</v>
      </c>
      <c r="Q113" s="26" t="str">
        <f t="shared" si="13"/>
        <v/>
      </c>
      <c r="R113" t="s">
        <v>1619</v>
      </c>
      <c r="S113" s="15">
        <v>50511</v>
      </c>
      <c r="U113" t="s">
        <v>1625</v>
      </c>
      <c r="V113" t="s">
        <v>1627</v>
      </c>
      <c r="W113" s="17">
        <v>3.6</v>
      </c>
      <c r="X113" s="10">
        <f t="shared" si="14"/>
        <v>1</v>
      </c>
      <c r="Y113" s="10">
        <f t="shared" si="15"/>
        <v>0</v>
      </c>
      <c r="Z113" s="10">
        <f t="shared" si="16"/>
        <v>1</v>
      </c>
      <c r="AA113">
        <f t="shared" si="9"/>
        <v>0</v>
      </c>
      <c r="AB113">
        <f t="shared" si="17"/>
        <v>0</v>
      </c>
      <c r="AC113">
        <f t="shared" si="10"/>
        <v>0</v>
      </c>
    </row>
    <row r="114" spans="1:29" x14ac:dyDescent="0.35">
      <c r="A114" t="s">
        <v>130</v>
      </c>
      <c r="B114" t="s">
        <v>512</v>
      </c>
      <c r="C114" t="s">
        <v>1967</v>
      </c>
      <c r="D114" t="s">
        <v>1968</v>
      </c>
      <c r="E114" t="s">
        <v>1829</v>
      </c>
      <c r="F114" t="s">
        <v>1027</v>
      </c>
      <c r="G114" t="s">
        <v>1028</v>
      </c>
      <c r="H114" t="s">
        <v>1040</v>
      </c>
      <c r="I114" t="s">
        <v>1044</v>
      </c>
      <c r="J114" t="s">
        <v>1742</v>
      </c>
      <c r="K114" s="9">
        <v>45339</v>
      </c>
      <c r="L114" s="20">
        <f t="shared" si="11"/>
        <v>45323</v>
      </c>
      <c r="M114" s="10">
        <f t="shared" si="12"/>
        <v>2024</v>
      </c>
      <c r="N114" s="9" t="s">
        <v>2350</v>
      </c>
      <c r="O114" s="9" t="s">
        <v>2350</v>
      </c>
      <c r="P114" s="9" t="s">
        <v>2350</v>
      </c>
      <c r="Q114" s="26" t="str">
        <f t="shared" si="13"/>
        <v/>
      </c>
      <c r="R114" t="s">
        <v>1619</v>
      </c>
      <c r="S114" s="15">
        <v>36699</v>
      </c>
      <c r="U114" t="s">
        <v>1623</v>
      </c>
      <c r="V114" t="s">
        <v>1627</v>
      </c>
      <c r="W114" s="17">
        <v>3.1</v>
      </c>
      <c r="X114" s="10">
        <f t="shared" si="14"/>
        <v>1</v>
      </c>
      <c r="Y114" s="10">
        <f t="shared" si="15"/>
        <v>0</v>
      </c>
      <c r="Z114" s="10">
        <f t="shared" si="16"/>
        <v>1</v>
      </c>
      <c r="AA114">
        <f t="shared" si="9"/>
        <v>0</v>
      </c>
      <c r="AB114">
        <f t="shared" si="17"/>
        <v>0</v>
      </c>
      <c r="AC114">
        <f t="shared" si="10"/>
        <v>0</v>
      </c>
    </row>
    <row r="115" spans="1:29" x14ac:dyDescent="0.35">
      <c r="A115" t="s">
        <v>131</v>
      </c>
      <c r="B115" t="s">
        <v>502</v>
      </c>
      <c r="C115" t="s">
        <v>736</v>
      </c>
      <c r="D115" t="s">
        <v>1969</v>
      </c>
      <c r="E115" t="s">
        <v>1812</v>
      </c>
      <c r="F115" t="s">
        <v>1023</v>
      </c>
      <c r="G115" t="s">
        <v>1030</v>
      </c>
      <c r="H115" t="s">
        <v>1037</v>
      </c>
      <c r="I115" t="s">
        <v>1043</v>
      </c>
      <c r="J115" t="s">
        <v>1742</v>
      </c>
      <c r="K115" s="9">
        <v>45560</v>
      </c>
      <c r="L115" s="20">
        <f t="shared" si="11"/>
        <v>45536</v>
      </c>
      <c r="M115" s="10">
        <f t="shared" si="12"/>
        <v>2024</v>
      </c>
      <c r="N115" s="9" t="s">
        <v>2350</v>
      </c>
      <c r="O115" s="9" t="s">
        <v>2350</v>
      </c>
      <c r="P115" s="9" t="s">
        <v>2350</v>
      </c>
      <c r="Q115" s="26" t="str">
        <f t="shared" si="13"/>
        <v/>
      </c>
      <c r="R115" t="s">
        <v>1616</v>
      </c>
      <c r="S115" s="15">
        <v>42036</v>
      </c>
      <c r="U115" t="s">
        <v>1624</v>
      </c>
      <c r="V115" t="s">
        <v>1628</v>
      </c>
      <c r="W115" s="17">
        <v>3.4</v>
      </c>
      <c r="X115" s="10">
        <f t="shared" si="14"/>
        <v>1</v>
      </c>
      <c r="Y115" s="10">
        <f t="shared" si="15"/>
        <v>0</v>
      </c>
      <c r="Z115" s="10">
        <f t="shared" si="16"/>
        <v>0</v>
      </c>
      <c r="AA115">
        <f t="shared" si="9"/>
        <v>0</v>
      </c>
      <c r="AB115">
        <f t="shared" si="17"/>
        <v>0</v>
      </c>
      <c r="AC115">
        <f t="shared" si="10"/>
        <v>0</v>
      </c>
    </row>
    <row r="116" spans="1:29" x14ac:dyDescent="0.35">
      <c r="A116" t="s">
        <v>132</v>
      </c>
      <c r="B116" t="s">
        <v>513</v>
      </c>
      <c r="C116" t="s">
        <v>737</v>
      </c>
      <c r="D116" t="s">
        <v>1764</v>
      </c>
      <c r="E116" t="s">
        <v>1945</v>
      </c>
      <c r="F116" t="s">
        <v>1027</v>
      </c>
      <c r="G116" t="s">
        <v>1029</v>
      </c>
      <c r="H116" t="s">
        <v>1036</v>
      </c>
      <c r="I116" t="s">
        <v>1041</v>
      </c>
      <c r="J116" t="s">
        <v>1742</v>
      </c>
      <c r="K116" s="9">
        <v>45484</v>
      </c>
      <c r="L116" s="20">
        <f t="shared" si="11"/>
        <v>45474</v>
      </c>
      <c r="M116" s="10">
        <f t="shared" si="12"/>
        <v>2024</v>
      </c>
      <c r="N116" s="9" t="s">
        <v>2350</v>
      </c>
      <c r="O116" s="9" t="s">
        <v>2350</v>
      </c>
      <c r="P116" s="9" t="s">
        <v>2350</v>
      </c>
      <c r="Q116" s="26" t="str">
        <f t="shared" si="13"/>
        <v/>
      </c>
      <c r="R116" t="s">
        <v>1619</v>
      </c>
      <c r="S116" s="15">
        <v>36611</v>
      </c>
      <c r="U116" t="s">
        <v>1622</v>
      </c>
      <c r="V116" t="s">
        <v>1626</v>
      </c>
      <c r="W116" s="17">
        <v>4.5</v>
      </c>
      <c r="X116" s="10">
        <f t="shared" si="14"/>
        <v>1</v>
      </c>
      <c r="Y116" s="10">
        <f t="shared" si="15"/>
        <v>0</v>
      </c>
      <c r="Z116" s="10">
        <f t="shared" si="16"/>
        <v>1</v>
      </c>
      <c r="AA116">
        <f t="shared" si="9"/>
        <v>0</v>
      </c>
      <c r="AB116">
        <f t="shared" si="17"/>
        <v>0</v>
      </c>
      <c r="AC116">
        <f t="shared" si="10"/>
        <v>0</v>
      </c>
    </row>
    <row r="117" spans="1:29" x14ac:dyDescent="0.35">
      <c r="A117" t="s">
        <v>133</v>
      </c>
      <c r="B117" t="s">
        <v>514</v>
      </c>
      <c r="C117" t="s">
        <v>1970</v>
      </c>
      <c r="D117" t="s">
        <v>1971</v>
      </c>
      <c r="E117" t="s">
        <v>1972</v>
      </c>
      <c r="F117" t="s">
        <v>1025</v>
      </c>
      <c r="G117" t="s">
        <v>1028</v>
      </c>
      <c r="H117" t="s">
        <v>1040</v>
      </c>
      <c r="I117" t="s">
        <v>1045</v>
      </c>
      <c r="J117" t="s">
        <v>1050</v>
      </c>
      <c r="K117" s="9">
        <v>45335</v>
      </c>
      <c r="L117" s="20">
        <f t="shared" si="11"/>
        <v>45323</v>
      </c>
      <c r="M117" s="10">
        <f t="shared" si="12"/>
        <v>2024</v>
      </c>
      <c r="N117" s="9" t="s">
        <v>2350</v>
      </c>
      <c r="O117" s="9" t="s">
        <v>2350</v>
      </c>
      <c r="P117" s="9" t="s">
        <v>2350</v>
      </c>
      <c r="Q117" s="26" t="str">
        <f t="shared" si="13"/>
        <v/>
      </c>
      <c r="R117" t="s">
        <v>1616</v>
      </c>
      <c r="S117" s="15">
        <v>46266</v>
      </c>
      <c r="U117" t="s">
        <v>1622</v>
      </c>
      <c r="V117" t="s">
        <v>1626</v>
      </c>
      <c r="W117" s="17">
        <v>4.7</v>
      </c>
      <c r="X117" s="10">
        <f t="shared" si="14"/>
        <v>1</v>
      </c>
      <c r="Y117" s="10">
        <f t="shared" si="15"/>
        <v>0</v>
      </c>
      <c r="Z117" s="10">
        <f t="shared" si="16"/>
        <v>0</v>
      </c>
      <c r="AA117">
        <f t="shared" si="9"/>
        <v>0</v>
      </c>
      <c r="AB117">
        <f t="shared" si="17"/>
        <v>0</v>
      </c>
      <c r="AC117">
        <f t="shared" si="10"/>
        <v>0</v>
      </c>
    </row>
    <row r="118" spans="1:29" x14ac:dyDescent="0.35">
      <c r="A118" t="s">
        <v>134</v>
      </c>
      <c r="B118" t="s">
        <v>426</v>
      </c>
      <c r="C118" t="s">
        <v>1973</v>
      </c>
      <c r="D118" t="s">
        <v>1974</v>
      </c>
      <c r="E118" t="s">
        <v>1975</v>
      </c>
      <c r="F118" t="s">
        <v>1025</v>
      </c>
      <c r="G118" t="s">
        <v>1029</v>
      </c>
      <c r="H118" t="s">
        <v>1037</v>
      </c>
      <c r="I118" t="s">
        <v>1045</v>
      </c>
      <c r="J118" t="s">
        <v>1050</v>
      </c>
      <c r="K118" s="9">
        <v>45741</v>
      </c>
      <c r="L118" s="20">
        <f t="shared" si="11"/>
        <v>45717</v>
      </c>
      <c r="M118" s="10">
        <f t="shared" si="12"/>
        <v>2025</v>
      </c>
      <c r="N118" s="9">
        <v>45749</v>
      </c>
      <c r="O118" s="9" t="s">
        <v>2350</v>
      </c>
      <c r="P118" s="9" t="s">
        <v>2350</v>
      </c>
      <c r="Q118" s="26" t="str">
        <f t="shared" si="13"/>
        <v/>
      </c>
      <c r="R118" t="s">
        <v>1615</v>
      </c>
      <c r="S118" s="15">
        <v>37414</v>
      </c>
      <c r="U118" t="s">
        <v>1625</v>
      </c>
      <c r="V118" t="s">
        <v>1627</v>
      </c>
      <c r="W118" s="17">
        <v>2.7</v>
      </c>
      <c r="X118" s="10">
        <f t="shared" si="14"/>
        <v>1</v>
      </c>
      <c r="Y118" s="10">
        <f t="shared" si="15"/>
        <v>0</v>
      </c>
      <c r="Z118" s="10">
        <f t="shared" si="16"/>
        <v>0</v>
      </c>
      <c r="AA118">
        <f t="shared" si="9"/>
        <v>1</v>
      </c>
      <c r="AB118">
        <f t="shared" si="17"/>
        <v>0</v>
      </c>
      <c r="AC118">
        <f t="shared" si="10"/>
        <v>0</v>
      </c>
    </row>
    <row r="119" spans="1:29" x14ac:dyDescent="0.35">
      <c r="A119" t="s">
        <v>135</v>
      </c>
      <c r="B119" t="s">
        <v>515</v>
      </c>
      <c r="C119" t="s">
        <v>740</v>
      </c>
      <c r="D119" t="s">
        <v>1976</v>
      </c>
      <c r="E119" t="s">
        <v>1977</v>
      </c>
      <c r="F119" t="s">
        <v>1023</v>
      </c>
      <c r="G119" t="s">
        <v>1032</v>
      </c>
      <c r="H119" t="s">
        <v>1039</v>
      </c>
      <c r="I119" t="s">
        <v>1041</v>
      </c>
      <c r="J119" t="s">
        <v>1048</v>
      </c>
      <c r="K119" s="9">
        <v>45383</v>
      </c>
      <c r="L119" s="20">
        <f t="shared" si="11"/>
        <v>45383</v>
      </c>
      <c r="M119" s="10">
        <f t="shared" si="12"/>
        <v>2024</v>
      </c>
      <c r="N119" s="9" t="s">
        <v>2350</v>
      </c>
      <c r="O119" s="9" t="s">
        <v>2350</v>
      </c>
      <c r="P119" s="9" t="s">
        <v>2350</v>
      </c>
      <c r="Q119" s="26" t="str">
        <f t="shared" si="13"/>
        <v/>
      </c>
      <c r="R119" t="s">
        <v>1616</v>
      </c>
      <c r="S119" s="15">
        <v>32302</v>
      </c>
      <c r="U119" t="s">
        <v>1623</v>
      </c>
      <c r="V119" t="s">
        <v>1628</v>
      </c>
      <c r="W119" s="17">
        <v>4.4000000000000004</v>
      </c>
      <c r="X119" s="10">
        <f t="shared" si="14"/>
        <v>1</v>
      </c>
      <c r="Y119" s="10">
        <f t="shared" si="15"/>
        <v>0</v>
      </c>
      <c r="Z119" s="10">
        <f t="shared" si="16"/>
        <v>0</v>
      </c>
      <c r="AA119">
        <f t="shared" si="9"/>
        <v>0</v>
      </c>
      <c r="AB119">
        <f t="shared" si="17"/>
        <v>0</v>
      </c>
      <c r="AC119">
        <f t="shared" si="10"/>
        <v>0</v>
      </c>
    </row>
    <row r="120" spans="1:29" x14ac:dyDescent="0.35">
      <c r="A120" t="s">
        <v>136</v>
      </c>
      <c r="B120" t="s">
        <v>484</v>
      </c>
      <c r="C120" t="s">
        <v>741</v>
      </c>
      <c r="D120" t="s">
        <v>1978</v>
      </c>
      <c r="E120" t="s">
        <v>1979</v>
      </c>
      <c r="F120" t="s">
        <v>1025</v>
      </c>
      <c r="G120" t="s">
        <v>1032</v>
      </c>
      <c r="H120" t="s">
        <v>1037</v>
      </c>
      <c r="I120" t="s">
        <v>1045</v>
      </c>
      <c r="J120" t="s">
        <v>1051</v>
      </c>
      <c r="K120" s="9">
        <v>45704</v>
      </c>
      <c r="L120" s="20">
        <f t="shared" si="11"/>
        <v>45689</v>
      </c>
      <c r="M120" s="10">
        <f t="shared" si="12"/>
        <v>2025</v>
      </c>
      <c r="N120" s="9" t="s">
        <v>2350</v>
      </c>
      <c r="O120" s="9" t="s">
        <v>2350</v>
      </c>
      <c r="P120" s="9" t="s">
        <v>2350</v>
      </c>
      <c r="Q120" s="26" t="str">
        <f t="shared" si="13"/>
        <v/>
      </c>
      <c r="R120" t="s">
        <v>1616</v>
      </c>
      <c r="S120" s="15">
        <v>41530</v>
      </c>
      <c r="U120" t="s">
        <v>1623</v>
      </c>
      <c r="V120" t="s">
        <v>1626</v>
      </c>
      <c r="W120" s="17">
        <v>4.7</v>
      </c>
      <c r="X120" s="10">
        <f t="shared" si="14"/>
        <v>1</v>
      </c>
      <c r="Y120" s="10">
        <f t="shared" si="15"/>
        <v>0</v>
      </c>
      <c r="Z120" s="10">
        <f t="shared" si="16"/>
        <v>0</v>
      </c>
      <c r="AA120">
        <f t="shared" si="9"/>
        <v>0</v>
      </c>
      <c r="AB120">
        <f t="shared" si="17"/>
        <v>0</v>
      </c>
      <c r="AC120">
        <f t="shared" si="10"/>
        <v>0</v>
      </c>
    </row>
    <row r="121" spans="1:29" x14ac:dyDescent="0.35">
      <c r="A121" t="s">
        <v>137</v>
      </c>
      <c r="B121" t="s">
        <v>438</v>
      </c>
      <c r="C121" t="s">
        <v>1980</v>
      </c>
      <c r="D121" t="s">
        <v>1826</v>
      </c>
      <c r="E121" t="s">
        <v>1981</v>
      </c>
      <c r="F121" t="s">
        <v>1024</v>
      </c>
      <c r="G121" t="s">
        <v>1030</v>
      </c>
      <c r="H121" t="s">
        <v>1741</v>
      </c>
      <c r="I121" t="s">
        <v>1044</v>
      </c>
      <c r="J121" t="s">
        <v>1051</v>
      </c>
      <c r="K121" s="9">
        <v>45764</v>
      </c>
      <c r="L121" s="20">
        <f t="shared" si="11"/>
        <v>45748</v>
      </c>
      <c r="M121" s="10">
        <f t="shared" si="12"/>
        <v>2025</v>
      </c>
      <c r="N121" s="9" t="s">
        <v>2350</v>
      </c>
      <c r="O121" s="9" t="s">
        <v>2350</v>
      </c>
      <c r="P121" s="9" t="s">
        <v>2350</v>
      </c>
      <c r="Q121" s="26" t="str">
        <f t="shared" si="13"/>
        <v/>
      </c>
      <c r="R121" t="s">
        <v>1619</v>
      </c>
      <c r="S121" s="15">
        <v>31357</v>
      </c>
      <c r="U121" t="s">
        <v>1625</v>
      </c>
      <c r="V121" t="s">
        <v>1628</v>
      </c>
      <c r="W121" s="17">
        <v>3.9</v>
      </c>
      <c r="X121" s="10">
        <f t="shared" si="14"/>
        <v>1</v>
      </c>
      <c r="Y121" s="10">
        <f t="shared" si="15"/>
        <v>0</v>
      </c>
      <c r="Z121" s="10">
        <f t="shared" si="16"/>
        <v>1</v>
      </c>
      <c r="AA121">
        <f t="shared" si="9"/>
        <v>0</v>
      </c>
      <c r="AB121">
        <f t="shared" si="17"/>
        <v>0</v>
      </c>
      <c r="AC121">
        <f t="shared" si="10"/>
        <v>0</v>
      </c>
    </row>
    <row r="122" spans="1:29" x14ac:dyDescent="0.35">
      <c r="A122" t="s">
        <v>138</v>
      </c>
      <c r="B122" t="s">
        <v>516</v>
      </c>
      <c r="C122" t="s">
        <v>1982</v>
      </c>
      <c r="D122" t="s">
        <v>1983</v>
      </c>
      <c r="E122" t="s">
        <v>1818</v>
      </c>
      <c r="F122" t="s">
        <v>1026</v>
      </c>
      <c r="G122" t="s">
        <v>1032</v>
      </c>
      <c r="H122" t="s">
        <v>1036</v>
      </c>
      <c r="I122" t="s">
        <v>1041</v>
      </c>
      <c r="J122" t="s">
        <v>1742</v>
      </c>
      <c r="K122" s="9">
        <v>45535</v>
      </c>
      <c r="L122" s="20">
        <f t="shared" si="11"/>
        <v>45505</v>
      </c>
      <c r="M122" s="10">
        <f t="shared" si="12"/>
        <v>2024</v>
      </c>
      <c r="N122" s="9" t="s">
        <v>2350</v>
      </c>
      <c r="O122" s="9" t="s">
        <v>2350</v>
      </c>
      <c r="P122" s="9" t="s">
        <v>2350</v>
      </c>
      <c r="Q122" s="26" t="str">
        <f t="shared" si="13"/>
        <v/>
      </c>
      <c r="R122" t="s">
        <v>1619</v>
      </c>
      <c r="S122" s="15">
        <v>37399</v>
      </c>
      <c r="U122" t="s">
        <v>1623</v>
      </c>
      <c r="V122" t="s">
        <v>1627</v>
      </c>
      <c r="W122" s="17">
        <v>2.1</v>
      </c>
      <c r="X122" s="10">
        <f t="shared" si="14"/>
        <v>1</v>
      </c>
      <c r="Y122" s="10">
        <f t="shared" si="15"/>
        <v>0</v>
      </c>
      <c r="Z122" s="10">
        <f t="shared" si="16"/>
        <v>1</v>
      </c>
      <c r="AA122">
        <f t="shared" si="9"/>
        <v>0</v>
      </c>
      <c r="AB122">
        <f t="shared" si="17"/>
        <v>0</v>
      </c>
      <c r="AC122">
        <f t="shared" si="10"/>
        <v>0</v>
      </c>
    </row>
    <row r="123" spans="1:29" x14ac:dyDescent="0.35">
      <c r="A123" t="s">
        <v>139</v>
      </c>
      <c r="B123" t="s">
        <v>517</v>
      </c>
      <c r="C123" t="s">
        <v>744</v>
      </c>
      <c r="D123" t="s">
        <v>1751</v>
      </c>
      <c r="E123" t="s">
        <v>1984</v>
      </c>
      <c r="F123" t="s">
        <v>1025</v>
      </c>
      <c r="G123" t="s">
        <v>1028</v>
      </c>
      <c r="H123" t="s">
        <v>1037</v>
      </c>
      <c r="I123" t="s">
        <v>1045</v>
      </c>
      <c r="J123" t="s">
        <v>1048</v>
      </c>
      <c r="K123" s="9">
        <v>45760</v>
      </c>
      <c r="L123" s="20">
        <f t="shared" si="11"/>
        <v>45748</v>
      </c>
      <c r="M123" s="10">
        <f t="shared" si="12"/>
        <v>2025</v>
      </c>
      <c r="N123" s="9">
        <v>45790</v>
      </c>
      <c r="O123" s="9">
        <v>45785</v>
      </c>
      <c r="P123" s="9" t="s">
        <v>2350</v>
      </c>
      <c r="Q123" s="26" t="str">
        <f t="shared" si="13"/>
        <v/>
      </c>
      <c r="R123" t="s">
        <v>1618</v>
      </c>
      <c r="S123" s="15">
        <v>44009</v>
      </c>
      <c r="T123" s="15">
        <v>42486</v>
      </c>
      <c r="U123" t="s">
        <v>1621</v>
      </c>
      <c r="V123" t="s">
        <v>1628</v>
      </c>
      <c r="W123" s="17">
        <v>2.8</v>
      </c>
      <c r="X123" s="10">
        <f t="shared" si="14"/>
        <v>1</v>
      </c>
      <c r="Y123" s="10">
        <f t="shared" si="15"/>
        <v>0</v>
      </c>
      <c r="Z123" s="10">
        <f t="shared" si="16"/>
        <v>0</v>
      </c>
      <c r="AA123">
        <f t="shared" si="9"/>
        <v>1</v>
      </c>
      <c r="AB123">
        <f t="shared" si="17"/>
        <v>1</v>
      </c>
      <c r="AC123">
        <f t="shared" si="10"/>
        <v>0</v>
      </c>
    </row>
    <row r="124" spans="1:29" x14ac:dyDescent="0.35">
      <c r="A124" t="s">
        <v>140</v>
      </c>
      <c r="B124" t="s">
        <v>518</v>
      </c>
      <c r="C124" t="s">
        <v>1985</v>
      </c>
      <c r="D124" t="s">
        <v>1986</v>
      </c>
      <c r="E124" t="s">
        <v>1987</v>
      </c>
      <c r="F124" t="s">
        <v>1026</v>
      </c>
      <c r="G124" t="s">
        <v>1029</v>
      </c>
      <c r="H124" t="s">
        <v>1037</v>
      </c>
      <c r="I124" t="s">
        <v>1041</v>
      </c>
      <c r="J124" t="s">
        <v>1742</v>
      </c>
      <c r="K124" s="9">
        <v>45630</v>
      </c>
      <c r="L124" s="20">
        <f t="shared" si="11"/>
        <v>45627</v>
      </c>
      <c r="M124" s="10">
        <f t="shared" si="12"/>
        <v>2024</v>
      </c>
      <c r="N124" s="9">
        <v>45660</v>
      </c>
      <c r="O124" s="9">
        <v>45659</v>
      </c>
      <c r="P124" s="9" t="s">
        <v>2350</v>
      </c>
      <c r="Q124" s="26" t="str">
        <f t="shared" si="13"/>
        <v/>
      </c>
      <c r="R124" t="s">
        <v>1618</v>
      </c>
      <c r="S124" s="15">
        <v>39148</v>
      </c>
      <c r="T124" s="15">
        <v>42401</v>
      </c>
      <c r="U124" t="s">
        <v>1622</v>
      </c>
      <c r="V124" t="s">
        <v>1628</v>
      </c>
      <c r="W124" s="17">
        <v>2.6</v>
      </c>
      <c r="X124" s="10">
        <f t="shared" si="14"/>
        <v>1</v>
      </c>
      <c r="Y124" s="10">
        <f t="shared" si="15"/>
        <v>0</v>
      </c>
      <c r="Z124" s="10">
        <f t="shared" si="16"/>
        <v>0</v>
      </c>
      <c r="AA124">
        <f t="shared" si="9"/>
        <v>1</v>
      </c>
      <c r="AB124">
        <f t="shared" si="17"/>
        <v>1</v>
      </c>
      <c r="AC124">
        <f t="shared" si="10"/>
        <v>0</v>
      </c>
    </row>
    <row r="125" spans="1:29" x14ac:dyDescent="0.35">
      <c r="A125" t="s">
        <v>141</v>
      </c>
      <c r="B125" t="s">
        <v>519</v>
      </c>
      <c r="C125" t="s">
        <v>1988</v>
      </c>
      <c r="D125" t="s">
        <v>1989</v>
      </c>
      <c r="E125" t="s">
        <v>1795</v>
      </c>
      <c r="F125" t="s">
        <v>1023</v>
      </c>
      <c r="G125" t="s">
        <v>1032</v>
      </c>
      <c r="H125" t="s">
        <v>1034</v>
      </c>
      <c r="I125" t="s">
        <v>1042</v>
      </c>
      <c r="J125" t="s">
        <v>1048</v>
      </c>
      <c r="K125" s="9">
        <v>45388</v>
      </c>
      <c r="L125" s="20">
        <f t="shared" si="11"/>
        <v>45383</v>
      </c>
      <c r="M125" s="10">
        <f t="shared" si="12"/>
        <v>2024</v>
      </c>
      <c r="N125" s="9">
        <v>45400</v>
      </c>
      <c r="O125" s="9" t="s">
        <v>2350</v>
      </c>
      <c r="P125" s="9" t="s">
        <v>2350</v>
      </c>
      <c r="Q125" s="26" t="str">
        <f t="shared" si="13"/>
        <v/>
      </c>
      <c r="R125" t="s">
        <v>1615</v>
      </c>
      <c r="S125" s="15">
        <v>40438</v>
      </c>
      <c r="U125" t="s">
        <v>1625</v>
      </c>
      <c r="V125" t="s">
        <v>1627</v>
      </c>
      <c r="W125" s="17">
        <v>4</v>
      </c>
      <c r="X125" s="10">
        <f t="shared" si="14"/>
        <v>1</v>
      </c>
      <c r="Y125" s="10">
        <f t="shared" si="15"/>
        <v>0</v>
      </c>
      <c r="Z125" s="10">
        <f t="shared" si="16"/>
        <v>0</v>
      </c>
      <c r="AA125">
        <f t="shared" si="9"/>
        <v>1</v>
      </c>
      <c r="AB125">
        <f t="shared" si="17"/>
        <v>0</v>
      </c>
      <c r="AC125">
        <f t="shared" si="10"/>
        <v>0</v>
      </c>
    </row>
    <row r="126" spans="1:29" x14ac:dyDescent="0.35">
      <c r="A126" t="s">
        <v>142</v>
      </c>
      <c r="B126" t="s">
        <v>520</v>
      </c>
      <c r="C126" t="s">
        <v>1990</v>
      </c>
      <c r="D126" t="s">
        <v>1991</v>
      </c>
      <c r="E126" t="s">
        <v>1992</v>
      </c>
      <c r="F126" t="s">
        <v>1026</v>
      </c>
      <c r="G126" t="s">
        <v>1030</v>
      </c>
      <c r="H126" t="s">
        <v>1036</v>
      </c>
      <c r="I126" t="s">
        <v>1043</v>
      </c>
      <c r="J126" t="s">
        <v>1048</v>
      </c>
      <c r="K126" s="9">
        <v>45373</v>
      </c>
      <c r="L126" s="20">
        <f t="shared" si="11"/>
        <v>45352</v>
      </c>
      <c r="M126" s="10">
        <f t="shared" si="12"/>
        <v>2024</v>
      </c>
      <c r="N126" s="9" t="s">
        <v>2350</v>
      </c>
      <c r="O126" s="9" t="s">
        <v>2350</v>
      </c>
      <c r="P126" s="9" t="s">
        <v>2350</v>
      </c>
      <c r="Q126" s="26" t="str">
        <f t="shared" si="13"/>
        <v/>
      </c>
      <c r="R126" t="s">
        <v>1617</v>
      </c>
      <c r="S126" s="15">
        <v>28932</v>
      </c>
      <c r="U126" t="s">
        <v>1623</v>
      </c>
      <c r="V126" t="s">
        <v>1626</v>
      </c>
      <c r="W126" s="17">
        <v>3.6</v>
      </c>
      <c r="X126" s="10">
        <f t="shared" si="14"/>
        <v>1</v>
      </c>
      <c r="Y126" s="10">
        <f t="shared" si="15"/>
        <v>1</v>
      </c>
      <c r="Z126" s="10">
        <f t="shared" si="16"/>
        <v>0</v>
      </c>
      <c r="AA126">
        <f t="shared" si="9"/>
        <v>0</v>
      </c>
      <c r="AB126">
        <f t="shared" si="17"/>
        <v>0</v>
      </c>
      <c r="AC126">
        <f t="shared" si="10"/>
        <v>0</v>
      </c>
    </row>
    <row r="127" spans="1:29" x14ac:dyDescent="0.35">
      <c r="A127" t="s">
        <v>143</v>
      </c>
      <c r="B127" t="s">
        <v>521</v>
      </c>
      <c r="C127" t="s">
        <v>748</v>
      </c>
      <c r="D127" t="s">
        <v>1993</v>
      </c>
      <c r="E127" t="s">
        <v>1994</v>
      </c>
      <c r="F127" t="s">
        <v>1026</v>
      </c>
      <c r="G127" t="s">
        <v>1032</v>
      </c>
      <c r="H127" t="s">
        <v>1035</v>
      </c>
      <c r="I127" t="s">
        <v>1043</v>
      </c>
      <c r="J127" t="s">
        <v>1742</v>
      </c>
      <c r="K127" s="9">
        <v>45342</v>
      </c>
      <c r="L127" s="20">
        <f t="shared" si="11"/>
        <v>45323</v>
      </c>
      <c r="M127" s="10">
        <f t="shared" si="12"/>
        <v>2024</v>
      </c>
      <c r="N127" s="9">
        <v>45363</v>
      </c>
      <c r="O127" s="9" t="s">
        <v>2350</v>
      </c>
      <c r="P127" s="9" t="s">
        <v>2350</v>
      </c>
      <c r="Q127" s="26" t="str">
        <f t="shared" si="13"/>
        <v/>
      </c>
      <c r="R127" t="s">
        <v>1615</v>
      </c>
      <c r="S127" s="15">
        <v>39847</v>
      </c>
      <c r="U127" t="s">
        <v>1622</v>
      </c>
      <c r="V127" t="s">
        <v>1628</v>
      </c>
      <c r="W127" s="17">
        <v>2.9</v>
      </c>
      <c r="X127" s="10">
        <f t="shared" si="14"/>
        <v>1</v>
      </c>
      <c r="Y127" s="10">
        <f t="shared" si="15"/>
        <v>0</v>
      </c>
      <c r="Z127" s="10">
        <f t="shared" si="16"/>
        <v>0</v>
      </c>
      <c r="AA127">
        <f t="shared" si="9"/>
        <v>1</v>
      </c>
      <c r="AB127">
        <f t="shared" si="17"/>
        <v>0</v>
      </c>
      <c r="AC127">
        <f t="shared" si="10"/>
        <v>0</v>
      </c>
    </row>
    <row r="128" spans="1:29" x14ac:dyDescent="0.35">
      <c r="A128" t="s">
        <v>144</v>
      </c>
      <c r="B128" t="s">
        <v>436</v>
      </c>
      <c r="C128" t="s">
        <v>1995</v>
      </c>
      <c r="D128" t="s">
        <v>1996</v>
      </c>
      <c r="E128" t="s">
        <v>1897</v>
      </c>
      <c r="F128" t="s">
        <v>1027</v>
      </c>
      <c r="G128" t="s">
        <v>1032</v>
      </c>
      <c r="H128" t="s">
        <v>1035</v>
      </c>
      <c r="I128" t="s">
        <v>1043</v>
      </c>
      <c r="J128" t="s">
        <v>1049</v>
      </c>
      <c r="K128" s="9">
        <v>45734</v>
      </c>
      <c r="L128" s="20">
        <f t="shared" si="11"/>
        <v>45717</v>
      </c>
      <c r="M128" s="10">
        <f t="shared" si="12"/>
        <v>2025</v>
      </c>
      <c r="N128" s="9">
        <v>45750</v>
      </c>
      <c r="O128" s="9">
        <v>45756</v>
      </c>
      <c r="P128" s="9" t="s">
        <v>2350</v>
      </c>
      <c r="Q128" s="26" t="str">
        <f t="shared" si="13"/>
        <v/>
      </c>
      <c r="R128" t="s">
        <v>1618</v>
      </c>
      <c r="S128" s="15">
        <v>49923</v>
      </c>
      <c r="T128" s="15">
        <v>48271</v>
      </c>
      <c r="U128" t="s">
        <v>1622</v>
      </c>
      <c r="V128" t="s">
        <v>1626</v>
      </c>
      <c r="W128" s="17">
        <v>2.8</v>
      </c>
      <c r="X128" s="10">
        <f t="shared" si="14"/>
        <v>1</v>
      </c>
      <c r="Y128" s="10">
        <f t="shared" si="15"/>
        <v>0</v>
      </c>
      <c r="Z128" s="10">
        <f t="shared" si="16"/>
        <v>0</v>
      </c>
      <c r="AA128">
        <f t="shared" si="9"/>
        <v>1</v>
      </c>
      <c r="AB128">
        <f t="shared" si="17"/>
        <v>1</v>
      </c>
      <c r="AC128">
        <f t="shared" si="10"/>
        <v>0</v>
      </c>
    </row>
    <row r="129" spans="1:29" x14ac:dyDescent="0.35">
      <c r="A129" t="s">
        <v>145</v>
      </c>
      <c r="B129" t="s">
        <v>522</v>
      </c>
      <c r="C129" t="s">
        <v>750</v>
      </c>
      <c r="D129" t="s">
        <v>1775</v>
      </c>
      <c r="E129" t="s">
        <v>1997</v>
      </c>
      <c r="F129" t="s">
        <v>1024</v>
      </c>
      <c r="G129" t="s">
        <v>1032</v>
      </c>
      <c r="H129" t="s">
        <v>1034</v>
      </c>
      <c r="I129" t="s">
        <v>1041</v>
      </c>
      <c r="J129" t="s">
        <v>1048</v>
      </c>
      <c r="K129" s="9">
        <v>45668</v>
      </c>
      <c r="L129" s="20">
        <f t="shared" si="11"/>
        <v>45658</v>
      </c>
      <c r="M129" s="10">
        <f t="shared" si="12"/>
        <v>2025</v>
      </c>
      <c r="N129" s="9" t="s">
        <v>2350</v>
      </c>
      <c r="O129" s="9" t="s">
        <v>2350</v>
      </c>
      <c r="P129" s="9" t="s">
        <v>2350</v>
      </c>
      <c r="Q129" s="26" t="str">
        <f t="shared" si="13"/>
        <v/>
      </c>
      <c r="R129" t="s">
        <v>1619</v>
      </c>
      <c r="S129" s="15">
        <v>51921</v>
      </c>
      <c r="U129" t="s">
        <v>1621</v>
      </c>
      <c r="V129" t="s">
        <v>1627</v>
      </c>
      <c r="W129" s="17">
        <v>2.4</v>
      </c>
      <c r="X129" s="10">
        <f t="shared" si="14"/>
        <v>1</v>
      </c>
      <c r="Y129" s="10">
        <f t="shared" si="15"/>
        <v>0</v>
      </c>
      <c r="Z129" s="10">
        <f t="shared" si="16"/>
        <v>1</v>
      </c>
      <c r="AA129">
        <f t="shared" si="9"/>
        <v>0</v>
      </c>
      <c r="AB129">
        <f t="shared" si="17"/>
        <v>0</v>
      </c>
      <c r="AC129">
        <f t="shared" si="10"/>
        <v>0</v>
      </c>
    </row>
    <row r="130" spans="1:29" x14ac:dyDescent="0.35">
      <c r="A130" t="s">
        <v>146</v>
      </c>
      <c r="B130" t="s">
        <v>523</v>
      </c>
      <c r="C130" t="s">
        <v>751</v>
      </c>
      <c r="D130" t="s">
        <v>1998</v>
      </c>
      <c r="E130" t="s">
        <v>1999</v>
      </c>
      <c r="F130" t="s">
        <v>1022</v>
      </c>
      <c r="G130" t="s">
        <v>1028</v>
      </c>
      <c r="H130" t="s">
        <v>1741</v>
      </c>
      <c r="I130" t="s">
        <v>1042</v>
      </c>
      <c r="J130" t="s">
        <v>1742</v>
      </c>
      <c r="K130" s="9">
        <v>45482</v>
      </c>
      <c r="L130" s="20">
        <f t="shared" si="11"/>
        <v>45474</v>
      </c>
      <c r="M130" s="10">
        <f t="shared" si="12"/>
        <v>2024</v>
      </c>
      <c r="N130" s="9">
        <v>45509</v>
      </c>
      <c r="O130" s="9">
        <v>45522</v>
      </c>
      <c r="P130" s="9">
        <v>45542</v>
      </c>
      <c r="Q130" s="26">
        <f t="shared" si="13"/>
        <v>60</v>
      </c>
      <c r="R130" t="s">
        <v>1620</v>
      </c>
      <c r="S130" s="15">
        <v>35794</v>
      </c>
      <c r="T130" s="15">
        <v>38904</v>
      </c>
      <c r="U130" t="s">
        <v>1623</v>
      </c>
      <c r="V130" t="s">
        <v>1628</v>
      </c>
      <c r="W130" s="17">
        <v>3.7</v>
      </c>
      <c r="X130" s="10">
        <f t="shared" si="14"/>
        <v>1</v>
      </c>
      <c r="Y130" s="10">
        <f t="shared" si="15"/>
        <v>0</v>
      </c>
      <c r="Z130" s="10">
        <f t="shared" si="16"/>
        <v>0</v>
      </c>
      <c r="AA130">
        <f t="shared" ref="AA130:AA193" si="18">IF(OR(R130="Interviewed",R130="offered",R130="hired"),1,0)</f>
        <v>1</v>
      </c>
      <c r="AB130">
        <f t="shared" si="17"/>
        <v>0</v>
      </c>
      <c r="AC130">
        <f t="shared" ref="AC130:AC193" si="19">IF(R130="hired", 1, 0)</f>
        <v>1</v>
      </c>
    </row>
    <row r="131" spans="1:29" x14ac:dyDescent="0.35">
      <c r="A131" t="s">
        <v>147</v>
      </c>
      <c r="B131" t="s">
        <v>524</v>
      </c>
      <c r="C131" t="s">
        <v>2000</v>
      </c>
      <c r="D131" t="s">
        <v>1870</v>
      </c>
      <c r="E131" t="s">
        <v>2001</v>
      </c>
      <c r="F131" t="s">
        <v>1027</v>
      </c>
      <c r="G131" t="s">
        <v>1032</v>
      </c>
      <c r="H131" t="s">
        <v>1035</v>
      </c>
      <c r="I131" t="s">
        <v>1045</v>
      </c>
      <c r="J131" t="s">
        <v>1050</v>
      </c>
      <c r="K131" s="9">
        <v>45771</v>
      </c>
      <c r="L131" s="20">
        <f t="shared" ref="L131:L194" si="20">DATE(YEAR(K131), MONTH(K131), 1)</f>
        <v>45748</v>
      </c>
      <c r="M131" s="10">
        <f t="shared" ref="M131:M194" si="21">YEAR(K131)</f>
        <v>2025</v>
      </c>
      <c r="N131" s="9" t="s">
        <v>2350</v>
      </c>
      <c r="O131" s="9" t="s">
        <v>2350</v>
      </c>
      <c r="P131" s="9" t="s">
        <v>2350</v>
      </c>
      <c r="Q131" s="26" t="str">
        <f t="shared" ref="Q131:Q194" si="22">IF(OR(P131="", K131=""),"", P131-K131)</f>
        <v/>
      </c>
      <c r="R131" t="s">
        <v>1619</v>
      </c>
      <c r="S131" s="15">
        <v>34504</v>
      </c>
      <c r="U131" t="s">
        <v>1622</v>
      </c>
      <c r="V131" t="s">
        <v>1627</v>
      </c>
      <c r="W131" s="17">
        <v>2.7</v>
      </c>
      <c r="X131" s="10">
        <f t="shared" ref="X131:X194" si="23">IF(R131=" ",0,1)</f>
        <v>1</v>
      </c>
      <c r="Y131" s="10">
        <f t="shared" ref="Y131:Y194" si="24">IF(R131="Withdrawn",1,0)</f>
        <v>0</v>
      </c>
      <c r="Z131" s="10">
        <f t="shared" ref="Z131:Z194" si="25">IF(R131=$R$6,1,0)</f>
        <v>1</v>
      </c>
      <c r="AA131">
        <f t="shared" si="18"/>
        <v>0</v>
      </c>
      <c r="AB131">
        <f t="shared" ref="AB131:AB194" si="26">IF(R131=$R$5,1,0)</f>
        <v>0</v>
      </c>
      <c r="AC131">
        <f t="shared" si="19"/>
        <v>0</v>
      </c>
    </row>
    <row r="132" spans="1:29" x14ac:dyDescent="0.35">
      <c r="A132" t="s">
        <v>148</v>
      </c>
      <c r="B132" t="s">
        <v>525</v>
      </c>
      <c r="C132" t="s">
        <v>753</v>
      </c>
      <c r="D132" t="s">
        <v>1782</v>
      </c>
      <c r="E132" t="s">
        <v>1852</v>
      </c>
      <c r="F132" t="s">
        <v>1025</v>
      </c>
      <c r="G132" t="s">
        <v>1031</v>
      </c>
      <c r="H132" t="s">
        <v>1040</v>
      </c>
      <c r="I132" t="s">
        <v>1041</v>
      </c>
      <c r="J132" t="s">
        <v>1051</v>
      </c>
      <c r="K132" s="9">
        <v>45679</v>
      </c>
      <c r="L132" s="20">
        <f t="shared" si="20"/>
        <v>45658</v>
      </c>
      <c r="M132" s="10">
        <f t="shared" si="21"/>
        <v>2025</v>
      </c>
      <c r="N132" s="9" t="s">
        <v>2350</v>
      </c>
      <c r="O132" s="9" t="s">
        <v>2350</v>
      </c>
      <c r="P132" s="9" t="s">
        <v>2350</v>
      </c>
      <c r="Q132" s="26" t="str">
        <f t="shared" si="22"/>
        <v/>
      </c>
      <c r="R132" t="s">
        <v>1619</v>
      </c>
      <c r="S132" s="15">
        <v>43590</v>
      </c>
      <c r="U132" t="s">
        <v>1622</v>
      </c>
      <c r="V132" t="s">
        <v>1627</v>
      </c>
      <c r="W132" s="17">
        <v>3.4</v>
      </c>
      <c r="X132" s="10">
        <f t="shared" si="23"/>
        <v>1</v>
      </c>
      <c r="Y132" s="10">
        <f t="shared" si="24"/>
        <v>0</v>
      </c>
      <c r="Z132" s="10">
        <f t="shared" si="25"/>
        <v>1</v>
      </c>
      <c r="AA132">
        <f t="shared" si="18"/>
        <v>0</v>
      </c>
      <c r="AB132">
        <f t="shared" si="26"/>
        <v>0</v>
      </c>
      <c r="AC132">
        <f t="shared" si="19"/>
        <v>0</v>
      </c>
    </row>
    <row r="133" spans="1:29" x14ac:dyDescent="0.35">
      <c r="A133" t="s">
        <v>149</v>
      </c>
      <c r="B133" t="s">
        <v>526</v>
      </c>
      <c r="C133" t="s">
        <v>2002</v>
      </c>
      <c r="D133" t="s">
        <v>2003</v>
      </c>
      <c r="E133" t="s">
        <v>2004</v>
      </c>
      <c r="F133" t="s">
        <v>1023</v>
      </c>
      <c r="G133" t="s">
        <v>1029</v>
      </c>
      <c r="H133" t="s">
        <v>1034</v>
      </c>
      <c r="I133" t="s">
        <v>1041</v>
      </c>
      <c r="J133" t="s">
        <v>1050</v>
      </c>
      <c r="K133" s="9">
        <v>45301</v>
      </c>
      <c r="L133" s="20">
        <f t="shared" si="20"/>
        <v>45292</v>
      </c>
      <c r="M133" s="10">
        <f t="shared" si="21"/>
        <v>2024</v>
      </c>
      <c r="N133" s="9">
        <v>45319</v>
      </c>
      <c r="O133" s="9">
        <v>45338</v>
      </c>
      <c r="P133" s="9">
        <v>45331</v>
      </c>
      <c r="Q133" s="26">
        <f t="shared" si="22"/>
        <v>30</v>
      </c>
      <c r="R133" t="s">
        <v>1620</v>
      </c>
      <c r="S133" s="15">
        <v>41560</v>
      </c>
      <c r="T133" s="15">
        <v>41245</v>
      </c>
      <c r="U133" t="s">
        <v>1622</v>
      </c>
      <c r="V133" t="s">
        <v>1627</v>
      </c>
      <c r="W133" s="17">
        <v>3.4</v>
      </c>
      <c r="X133" s="10">
        <f t="shared" si="23"/>
        <v>1</v>
      </c>
      <c r="Y133" s="10">
        <f t="shared" si="24"/>
        <v>0</v>
      </c>
      <c r="Z133" s="10">
        <f t="shared" si="25"/>
        <v>0</v>
      </c>
      <c r="AA133">
        <f t="shared" si="18"/>
        <v>1</v>
      </c>
      <c r="AB133">
        <f t="shared" si="26"/>
        <v>0</v>
      </c>
      <c r="AC133">
        <f t="shared" si="19"/>
        <v>1</v>
      </c>
    </row>
    <row r="134" spans="1:29" x14ac:dyDescent="0.35">
      <c r="A134" t="s">
        <v>150</v>
      </c>
      <c r="B134" t="s">
        <v>451</v>
      </c>
      <c r="C134" t="s">
        <v>2005</v>
      </c>
      <c r="D134" t="s">
        <v>2006</v>
      </c>
      <c r="E134" t="s">
        <v>2007</v>
      </c>
      <c r="F134" t="s">
        <v>1027</v>
      </c>
      <c r="G134" t="s">
        <v>1032</v>
      </c>
      <c r="H134" t="s">
        <v>1037</v>
      </c>
      <c r="I134" t="s">
        <v>1044</v>
      </c>
      <c r="J134" t="s">
        <v>1742</v>
      </c>
      <c r="K134" s="9">
        <v>45566</v>
      </c>
      <c r="L134" s="20">
        <f t="shared" si="20"/>
        <v>45566</v>
      </c>
      <c r="M134" s="10">
        <f t="shared" si="21"/>
        <v>2024</v>
      </c>
      <c r="N134" s="9">
        <v>45574</v>
      </c>
      <c r="O134" s="9">
        <v>45584</v>
      </c>
      <c r="P134" s="9">
        <v>45637</v>
      </c>
      <c r="Q134" s="26">
        <f t="shared" si="22"/>
        <v>71</v>
      </c>
      <c r="R134" t="s">
        <v>1620</v>
      </c>
      <c r="S134" s="15">
        <v>47828</v>
      </c>
      <c r="T134" s="15">
        <v>51807</v>
      </c>
      <c r="U134" t="s">
        <v>1624</v>
      </c>
      <c r="V134" t="s">
        <v>1626</v>
      </c>
      <c r="X134" s="10">
        <f t="shared" si="23"/>
        <v>1</v>
      </c>
      <c r="Y134" s="10">
        <f t="shared" si="24"/>
        <v>0</v>
      </c>
      <c r="Z134" s="10">
        <f t="shared" si="25"/>
        <v>0</v>
      </c>
      <c r="AA134">
        <f t="shared" si="18"/>
        <v>1</v>
      </c>
      <c r="AB134">
        <f t="shared" si="26"/>
        <v>0</v>
      </c>
      <c r="AC134">
        <f t="shared" si="19"/>
        <v>1</v>
      </c>
    </row>
    <row r="135" spans="1:29" x14ac:dyDescent="0.35">
      <c r="A135" t="s">
        <v>151</v>
      </c>
      <c r="B135" t="s">
        <v>421</v>
      </c>
      <c r="C135" t="s">
        <v>2008</v>
      </c>
      <c r="D135" t="s">
        <v>2009</v>
      </c>
      <c r="E135" t="s">
        <v>2010</v>
      </c>
      <c r="F135" t="s">
        <v>1022</v>
      </c>
      <c r="G135" t="s">
        <v>1030</v>
      </c>
      <c r="H135" t="s">
        <v>1037</v>
      </c>
      <c r="I135" t="s">
        <v>1042</v>
      </c>
      <c r="J135" t="s">
        <v>1742</v>
      </c>
      <c r="K135" s="9">
        <v>45339</v>
      </c>
      <c r="L135" s="20">
        <f t="shared" si="20"/>
        <v>45323</v>
      </c>
      <c r="M135" s="10">
        <f t="shared" si="21"/>
        <v>2024</v>
      </c>
      <c r="N135" s="9" t="s">
        <v>2350</v>
      </c>
      <c r="O135" s="9" t="s">
        <v>2350</v>
      </c>
      <c r="P135" s="9" t="s">
        <v>2350</v>
      </c>
      <c r="Q135" s="26" t="str">
        <f t="shared" si="22"/>
        <v/>
      </c>
      <c r="R135" t="s">
        <v>1616</v>
      </c>
      <c r="S135" s="15">
        <v>44515</v>
      </c>
      <c r="U135" t="s">
        <v>1621</v>
      </c>
      <c r="V135" t="s">
        <v>1626</v>
      </c>
      <c r="W135" s="17">
        <v>3.1</v>
      </c>
      <c r="X135" s="10">
        <f t="shared" si="23"/>
        <v>1</v>
      </c>
      <c r="Y135" s="10">
        <f t="shared" si="24"/>
        <v>0</v>
      </c>
      <c r="Z135" s="10">
        <f t="shared" si="25"/>
        <v>0</v>
      </c>
      <c r="AA135">
        <f t="shared" si="18"/>
        <v>0</v>
      </c>
      <c r="AB135">
        <f t="shared" si="26"/>
        <v>0</v>
      </c>
      <c r="AC135">
        <f t="shared" si="19"/>
        <v>0</v>
      </c>
    </row>
    <row r="136" spans="1:29" x14ac:dyDescent="0.35">
      <c r="A136" t="s">
        <v>152</v>
      </c>
      <c r="B136" t="s">
        <v>438</v>
      </c>
      <c r="C136" t="s">
        <v>757</v>
      </c>
      <c r="D136" t="s">
        <v>1880</v>
      </c>
      <c r="E136" t="s">
        <v>2011</v>
      </c>
      <c r="F136" t="s">
        <v>1027</v>
      </c>
      <c r="G136" t="s">
        <v>1032</v>
      </c>
      <c r="H136" t="s">
        <v>1036</v>
      </c>
      <c r="I136" t="s">
        <v>1045</v>
      </c>
      <c r="J136" t="s">
        <v>1742</v>
      </c>
      <c r="K136" s="9">
        <v>45503</v>
      </c>
      <c r="L136" s="20">
        <f t="shared" si="20"/>
        <v>45474</v>
      </c>
      <c r="M136" s="10">
        <f t="shared" si="21"/>
        <v>2024</v>
      </c>
      <c r="N136" s="9" t="s">
        <v>2350</v>
      </c>
      <c r="O136" s="9" t="s">
        <v>2350</v>
      </c>
      <c r="P136" s="9" t="s">
        <v>2350</v>
      </c>
      <c r="Q136" s="26" t="str">
        <f t="shared" si="22"/>
        <v/>
      </c>
      <c r="R136" t="s">
        <v>1616</v>
      </c>
      <c r="S136" s="15">
        <v>32620</v>
      </c>
      <c r="U136" t="s">
        <v>1624</v>
      </c>
      <c r="V136" t="s">
        <v>1626</v>
      </c>
      <c r="X136" s="10">
        <f t="shared" si="23"/>
        <v>1</v>
      </c>
      <c r="Y136" s="10">
        <f t="shared" si="24"/>
        <v>0</v>
      </c>
      <c r="Z136" s="10">
        <f t="shared" si="25"/>
        <v>0</v>
      </c>
      <c r="AA136">
        <f t="shared" si="18"/>
        <v>0</v>
      </c>
      <c r="AB136">
        <f t="shared" si="26"/>
        <v>0</v>
      </c>
      <c r="AC136">
        <f t="shared" si="19"/>
        <v>0</v>
      </c>
    </row>
    <row r="137" spans="1:29" x14ac:dyDescent="0.35">
      <c r="A137" t="s">
        <v>153</v>
      </c>
      <c r="B137" t="s">
        <v>472</v>
      </c>
      <c r="C137" t="s">
        <v>2012</v>
      </c>
      <c r="D137" t="s">
        <v>1918</v>
      </c>
      <c r="E137" t="s">
        <v>2013</v>
      </c>
      <c r="F137" t="s">
        <v>1023</v>
      </c>
      <c r="G137" t="s">
        <v>1032</v>
      </c>
      <c r="H137" t="s">
        <v>1037</v>
      </c>
      <c r="I137" t="s">
        <v>1042</v>
      </c>
      <c r="J137" t="s">
        <v>1742</v>
      </c>
      <c r="K137" s="9">
        <v>45392</v>
      </c>
      <c r="L137" s="20">
        <f t="shared" si="20"/>
        <v>45383</v>
      </c>
      <c r="M137" s="10">
        <f t="shared" si="21"/>
        <v>2024</v>
      </c>
      <c r="N137" s="9">
        <v>45412</v>
      </c>
      <c r="O137" s="9">
        <v>45422</v>
      </c>
      <c r="P137" s="9" t="s">
        <v>2350</v>
      </c>
      <c r="Q137" s="26" t="str">
        <f t="shared" si="22"/>
        <v/>
      </c>
      <c r="R137" t="s">
        <v>1618</v>
      </c>
      <c r="S137" s="15">
        <v>40444</v>
      </c>
      <c r="T137" s="15">
        <v>41387</v>
      </c>
      <c r="U137" t="s">
        <v>1624</v>
      </c>
      <c r="V137" t="s">
        <v>1626</v>
      </c>
      <c r="W137" s="17">
        <v>4.5999999999999996</v>
      </c>
      <c r="X137" s="10">
        <f t="shared" si="23"/>
        <v>1</v>
      </c>
      <c r="Y137" s="10">
        <f t="shared" si="24"/>
        <v>0</v>
      </c>
      <c r="Z137" s="10">
        <f t="shared" si="25"/>
        <v>0</v>
      </c>
      <c r="AA137">
        <f t="shared" si="18"/>
        <v>1</v>
      </c>
      <c r="AB137">
        <f t="shared" si="26"/>
        <v>1</v>
      </c>
      <c r="AC137">
        <f t="shared" si="19"/>
        <v>0</v>
      </c>
    </row>
    <row r="138" spans="1:29" x14ac:dyDescent="0.35">
      <c r="A138" t="s">
        <v>154</v>
      </c>
      <c r="B138" t="s">
        <v>457</v>
      </c>
      <c r="C138" t="s">
        <v>759</v>
      </c>
      <c r="D138" t="s">
        <v>2014</v>
      </c>
      <c r="E138" t="s">
        <v>2015</v>
      </c>
      <c r="F138" t="s">
        <v>1027</v>
      </c>
      <c r="G138" t="s">
        <v>1028</v>
      </c>
      <c r="H138" t="s">
        <v>1037</v>
      </c>
      <c r="I138" t="s">
        <v>1041</v>
      </c>
      <c r="J138" t="s">
        <v>1742</v>
      </c>
      <c r="K138" s="9">
        <v>45510</v>
      </c>
      <c r="L138" s="20">
        <f t="shared" si="20"/>
        <v>45505</v>
      </c>
      <c r="M138" s="10">
        <f t="shared" si="21"/>
        <v>2024</v>
      </c>
      <c r="N138" s="9" t="s">
        <v>2350</v>
      </c>
      <c r="O138" s="9" t="s">
        <v>2350</v>
      </c>
      <c r="P138" s="9" t="s">
        <v>2350</v>
      </c>
      <c r="Q138" s="26" t="str">
        <f t="shared" si="22"/>
        <v/>
      </c>
      <c r="R138" t="s">
        <v>1616</v>
      </c>
      <c r="S138" s="15">
        <v>31564</v>
      </c>
      <c r="U138" t="s">
        <v>1624</v>
      </c>
      <c r="V138" t="s">
        <v>1628</v>
      </c>
      <c r="W138" s="17">
        <v>3.4</v>
      </c>
      <c r="X138" s="10">
        <f t="shared" si="23"/>
        <v>1</v>
      </c>
      <c r="Y138" s="10">
        <f t="shared" si="24"/>
        <v>0</v>
      </c>
      <c r="Z138" s="10">
        <f t="shared" si="25"/>
        <v>0</v>
      </c>
      <c r="AA138">
        <f t="shared" si="18"/>
        <v>0</v>
      </c>
      <c r="AB138">
        <f t="shared" si="26"/>
        <v>0</v>
      </c>
      <c r="AC138">
        <f t="shared" si="19"/>
        <v>0</v>
      </c>
    </row>
    <row r="139" spans="1:29" x14ac:dyDescent="0.35">
      <c r="A139" t="s">
        <v>155</v>
      </c>
      <c r="B139" t="s">
        <v>527</v>
      </c>
      <c r="C139" t="s">
        <v>760</v>
      </c>
      <c r="D139" t="s">
        <v>1808</v>
      </c>
      <c r="E139" t="s">
        <v>1972</v>
      </c>
      <c r="F139" t="s">
        <v>1027</v>
      </c>
      <c r="G139" t="s">
        <v>1029</v>
      </c>
      <c r="H139" t="s">
        <v>1040</v>
      </c>
      <c r="I139" t="s">
        <v>1045</v>
      </c>
      <c r="J139" t="s">
        <v>1050</v>
      </c>
      <c r="K139" s="9">
        <v>45784</v>
      </c>
      <c r="L139" s="20">
        <f t="shared" si="20"/>
        <v>45778</v>
      </c>
      <c r="M139" s="10">
        <f t="shared" si="21"/>
        <v>2025</v>
      </c>
      <c r="N139" s="9" t="s">
        <v>2350</v>
      </c>
      <c r="O139" s="9" t="s">
        <v>2350</v>
      </c>
      <c r="P139" s="9" t="s">
        <v>2350</v>
      </c>
      <c r="Q139" s="26" t="str">
        <f t="shared" si="22"/>
        <v/>
      </c>
      <c r="R139" t="s">
        <v>1619</v>
      </c>
      <c r="S139" s="15">
        <v>44997</v>
      </c>
      <c r="U139" t="s">
        <v>1625</v>
      </c>
      <c r="V139" t="s">
        <v>1627</v>
      </c>
      <c r="W139" s="17">
        <v>3.5</v>
      </c>
      <c r="X139" s="10">
        <f t="shared" si="23"/>
        <v>1</v>
      </c>
      <c r="Y139" s="10">
        <f t="shared" si="24"/>
        <v>0</v>
      </c>
      <c r="Z139" s="10">
        <f t="shared" si="25"/>
        <v>1</v>
      </c>
      <c r="AA139">
        <f t="shared" si="18"/>
        <v>0</v>
      </c>
      <c r="AB139">
        <f t="shared" si="26"/>
        <v>0</v>
      </c>
      <c r="AC139">
        <f t="shared" si="19"/>
        <v>0</v>
      </c>
    </row>
    <row r="140" spans="1:29" x14ac:dyDescent="0.35">
      <c r="A140" t="s">
        <v>156</v>
      </c>
      <c r="B140" t="s">
        <v>508</v>
      </c>
      <c r="C140" t="s">
        <v>2016</v>
      </c>
      <c r="D140" t="s">
        <v>2017</v>
      </c>
      <c r="E140" t="s">
        <v>1899</v>
      </c>
      <c r="F140" t="s">
        <v>1023</v>
      </c>
      <c r="G140" t="s">
        <v>1029</v>
      </c>
      <c r="H140" t="s">
        <v>1036</v>
      </c>
      <c r="I140" t="s">
        <v>1043</v>
      </c>
      <c r="J140" t="s">
        <v>1742</v>
      </c>
      <c r="K140" s="9">
        <v>45465</v>
      </c>
      <c r="L140" s="20">
        <f t="shared" si="20"/>
        <v>45444</v>
      </c>
      <c r="M140" s="10">
        <f t="shared" si="21"/>
        <v>2024</v>
      </c>
      <c r="N140" s="9" t="s">
        <v>2350</v>
      </c>
      <c r="O140" s="9" t="s">
        <v>2350</v>
      </c>
      <c r="P140" s="9" t="s">
        <v>2350</v>
      </c>
      <c r="Q140" s="26" t="str">
        <f t="shared" si="22"/>
        <v/>
      </c>
      <c r="R140" t="s">
        <v>1616</v>
      </c>
      <c r="S140" s="15">
        <v>51982</v>
      </c>
      <c r="U140" t="s">
        <v>1621</v>
      </c>
      <c r="V140" t="s">
        <v>1626</v>
      </c>
      <c r="W140" s="17">
        <v>3.4</v>
      </c>
      <c r="X140" s="10">
        <f t="shared" si="23"/>
        <v>1</v>
      </c>
      <c r="Y140" s="10">
        <f t="shared" si="24"/>
        <v>0</v>
      </c>
      <c r="Z140" s="10">
        <f t="shared" si="25"/>
        <v>0</v>
      </c>
      <c r="AA140">
        <f t="shared" si="18"/>
        <v>0</v>
      </c>
      <c r="AB140">
        <f t="shared" si="26"/>
        <v>0</v>
      </c>
      <c r="AC140">
        <f t="shared" si="19"/>
        <v>0</v>
      </c>
    </row>
    <row r="141" spans="1:29" x14ac:dyDescent="0.35">
      <c r="A141" t="s">
        <v>157</v>
      </c>
      <c r="B141" t="s">
        <v>528</v>
      </c>
      <c r="C141" t="s">
        <v>2018</v>
      </c>
      <c r="D141" t="s">
        <v>2019</v>
      </c>
      <c r="E141" t="s">
        <v>1930</v>
      </c>
      <c r="F141" t="s">
        <v>1027</v>
      </c>
      <c r="G141" t="s">
        <v>1029</v>
      </c>
      <c r="H141" t="s">
        <v>1037</v>
      </c>
      <c r="I141" t="s">
        <v>1044</v>
      </c>
      <c r="J141" t="s">
        <v>1049</v>
      </c>
      <c r="K141" s="9">
        <v>45573</v>
      </c>
      <c r="L141" s="20">
        <f t="shared" si="20"/>
        <v>45566</v>
      </c>
      <c r="M141" s="10">
        <f t="shared" si="21"/>
        <v>2024</v>
      </c>
      <c r="N141" s="9" t="s">
        <v>2350</v>
      </c>
      <c r="O141" s="9" t="s">
        <v>2350</v>
      </c>
      <c r="P141" s="9" t="s">
        <v>2350</v>
      </c>
      <c r="Q141" s="26" t="str">
        <f t="shared" si="22"/>
        <v/>
      </c>
      <c r="R141" t="s">
        <v>1619</v>
      </c>
      <c r="S141" s="15">
        <v>30515</v>
      </c>
      <c r="U141" t="s">
        <v>1621</v>
      </c>
      <c r="V141" t="s">
        <v>1626</v>
      </c>
      <c r="W141" s="17">
        <v>3</v>
      </c>
      <c r="X141" s="10">
        <f t="shared" si="23"/>
        <v>1</v>
      </c>
      <c r="Y141" s="10">
        <f t="shared" si="24"/>
        <v>0</v>
      </c>
      <c r="Z141" s="10">
        <f t="shared" si="25"/>
        <v>1</v>
      </c>
      <c r="AA141">
        <f t="shared" si="18"/>
        <v>0</v>
      </c>
      <c r="AB141">
        <f t="shared" si="26"/>
        <v>0</v>
      </c>
      <c r="AC141">
        <f t="shared" si="19"/>
        <v>0</v>
      </c>
    </row>
    <row r="142" spans="1:29" x14ac:dyDescent="0.35">
      <c r="A142" t="s">
        <v>158</v>
      </c>
      <c r="B142" t="s">
        <v>437</v>
      </c>
      <c r="C142" t="s">
        <v>763</v>
      </c>
      <c r="D142" t="s">
        <v>2020</v>
      </c>
      <c r="E142" t="s">
        <v>1829</v>
      </c>
      <c r="F142" t="s">
        <v>1024</v>
      </c>
      <c r="G142" t="s">
        <v>1032</v>
      </c>
      <c r="H142" t="s">
        <v>1035</v>
      </c>
      <c r="I142" t="s">
        <v>1045</v>
      </c>
      <c r="J142" t="s">
        <v>1050</v>
      </c>
      <c r="K142" s="9">
        <v>45455</v>
      </c>
      <c r="L142" s="20">
        <f t="shared" si="20"/>
        <v>45444</v>
      </c>
      <c r="M142" s="10">
        <f t="shared" si="21"/>
        <v>2024</v>
      </c>
      <c r="N142" s="9" t="s">
        <v>2350</v>
      </c>
      <c r="O142" s="9" t="s">
        <v>2350</v>
      </c>
      <c r="P142" s="9" t="s">
        <v>2350</v>
      </c>
      <c r="Q142" s="26" t="str">
        <f t="shared" si="22"/>
        <v/>
      </c>
      <c r="R142" t="s">
        <v>1619</v>
      </c>
      <c r="S142" s="15">
        <v>43608</v>
      </c>
      <c r="U142" t="s">
        <v>1622</v>
      </c>
      <c r="V142" t="s">
        <v>1626</v>
      </c>
      <c r="W142" s="17">
        <v>4.9000000000000004</v>
      </c>
      <c r="X142" s="10">
        <f t="shared" si="23"/>
        <v>1</v>
      </c>
      <c r="Y142" s="10">
        <f t="shared" si="24"/>
        <v>0</v>
      </c>
      <c r="Z142" s="10">
        <f t="shared" si="25"/>
        <v>1</v>
      </c>
      <c r="AA142">
        <f t="shared" si="18"/>
        <v>0</v>
      </c>
      <c r="AB142">
        <f t="shared" si="26"/>
        <v>0</v>
      </c>
      <c r="AC142">
        <f t="shared" si="19"/>
        <v>0</v>
      </c>
    </row>
    <row r="143" spans="1:29" x14ac:dyDescent="0.35">
      <c r="A143" t="s">
        <v>159</v>
      </c>
      <c r="B143" t="s">
        <v>529</v>
      </c>
      <c r="C143" t="s">
        <v>2021</v>
      </c>
      <c r="D143" t="s">
        <v>2022</v>
      </c>
      <c r="E143" t="s">
        <v>1837</v>
      </c>
      <c r="F143" t="s">
        <v>1023</v>
      </c>
      <c r="G143" t="s">
        <v>1032</v>
      </c>
      <c r="H143" t="s">
        <v>1040</v>
      </c>
      <c r="I143" t="s">
        <v>1041</v>
      </c>
      <c r="J143" t="s">
        <v>1742</v>
      </c>
      <c r="K143" s="9">
        <v>45633</v>
      </c>
      <c r="L143" s="20">
        <f t="shared" si="20"/>
        <v>45627</v>
      </c>
      <c r="M143" s="10">
        <f t="shared" si="21"/>
        <v>2024</v>
      </c>
      <c r="N143" s="9">
        <v>45657</v>
      </c>
      <c r="O143" s="9" t="s">
        <v>2350</v>
      </c>
      <c r="P143" s="9" t="s">
        <v>2350</v>
      </c>
      <c r="Q143" s="26" t="str">
        <f t="shared" si="22"/>
        <v/>
      </c>
      <c r="R143" t="s">
        <v>1615</v>
      </c>
      <c r="S143" s="15">
        <v>34992</v>
      </c>
      <c r="U143" t="s">
        <v>1621</v>
      </c>
      <c r="V143" t="s">
        <v>1626</v>
      </c>
      <c r="W143" s="17">
        <v>2.4</v>
      </c>
      <c r="X143" s="10">
        <f t="shared" si="23"/>
        <v>1</v>
      </c>
      <c r="Y143" s="10">
        <f t="shared" si="24"/>
        <v>0</v>
      </c>
      <c r="Z143" s="10">
        <f t="shared" si="25"/>
        <v>0</v>
      </c>
      <c r="AA143">
        <f t="shared" si="18"/>
        <v>1</v>
      </c>
      <c r="AB143">
        <f t="shared" si="26"/>
        <v>0</v>
      </c>
      <c r="AC143">
        <f t="shared" si="19"/>
        <v>0</v>
      </c>
    </row>
    <row r="144" spans="1:29" x14ac:dyDescent="0.35">
      <c r="A144" t="s">
        <v>160</v>
      </c>
      <c r="B144" t="s">
        <v>447</v>
      </c>
      <c r="C144" t="s">
        <v>2023</v>
      </c>
      <c r="D144" t="s">
        <v>1991</v>
      </c>
      <c r="E144" t="s">
        <v>2024</v>
      </c>
      <c r="F144" t="s">
        <v>1024</v>
      </c>
      <c r="G144" t="s">
        <v>1029</v>
      </c>
      <c r="H144" t="s">
        <v>1036</v>
      </c>
      <c r="I144" t="s">
        <v>1045</v>
      </c>
      <c r="J144" t="s">
        <v>1742</v>
      </c>
      <c r="K144" s="9">
        <v>45656</v>
      </c>
      <c r="L144" s="20">
        <f t="shared" si="20"/>
        <v>45627</v>
      </c>
      <c r="M144" s="10">
        <f t="shared" si="21"/>
        <v>2024</v>
      </c>
      <c r="N144" s="9">
        <v>45678</v>
      </c>
      <c r="O144" s="9" t="s">
        <v>2350</v>
      </c>
      <c r="P144" s="9" t="s">
        <v>2350</v>
      </c>
      <c r="Q144" s="26" t="str">
        <f t="shared" si="22"/>
        <v/>
      </c>
      <c r="R144" t="s">
        <v>1615</v>
      </c>
      <c r="S144" s="15">
        <v>31037</v>
      </c>
      <c r="U144" t="s">
        <v>1625</v>
      </c>
      <c r="V144" t="s">
        <v>1627</v>
      </c>
      <c r="W144" s="17">
        <v>3.5</v>
      </c>
      <c r="X144" s="10">
        <f t="shared" si="23"/>
        <v>1</v>
      </c>
      <c r="Y144" s="10">
        <f t="shared" si="24"/>
        <v>0</v>
      </c>
      <c r="Z144" s="10">
        <f t="shared" si="25"/>
        <v>0</v>
      </c>
      <c r="AA144">
        <f t="shared" si="18"/>
        <v>1</v>
      </c>
      <c r="AB144">
        <f t="shared" si="26"/>
        <v>0</v>
      </c>
      <c r="AC144">
        <f t="shared" si="19"/>
        <v>0</v>
      </c>
    </row>
    <row r="145" spans="1:29" x14ac:dyDescent="0.35">
      <c r="A145" t="s">
        <v>161</v>
      </c>
      <c r="B145" t="s">
        <v>530</v>
      </c>
      <c r="C145" t="s">
        <v>2025</v>
      </c>
      <c r="D145" t="s">
        <v>2026</v>
      </c>
      <c r="E145" t="s">
        <v>2027</v>
      </c>
      <c r="F145" t="s">
        <v>1022</v>
      </c>
      <c r="G145" t="s">
        <v>1029</v>
      </c>
      <c r="H145" t="s">
        <v>1034</v>
      </c>
      <c r="I145" t="s">
        <v>1045</v>
      </c>
      <c r="J145" t="s">
        <v>1742</v>
      </c>
      <c r="K145" s="9">
        <v>45541</v>
      </c>
      <c r="L145" s="20">
        <f t="shared" si="20"/>
        <v>45536</v>
      </c>
      <c r="M145" s="10">
        <f t="shared" si="21"/>
        <v>2024</v>
      </c>
      <c r="N145" s="9">
        <v>45560</v>
      </c>
      <c r="O145" s="9">
        <v>45565</v>
      </c>
      <c r="P145" s="9">
        <v>45616</v>
      </c>
      <c r="Q145" s="26">
        <f t="shared" si="22"/>
        <v>75</v>
      </c>
      <c r="R145" t="s">
        <v>1620</v>
      </c>
      <c r="S145" s="15">
        <v>47971</v>
      </c>
      <c r="T145" s="15">
        <v>49277</v>
      </c>
      <c r="U145" t="s">
        <v>1623</v>
      </c>
      <c r="V145" t="s">
        <v>1626</v>
      </c>
      <c r="W145" s="17">
        <v>3</v>
      </c>
      <c r="X145" s="10">
        <f t="shared" si="23"/>
        <v>1</v>
      </c>
      <c r="Y145" s="10">
        <f t="shared" si="24"/>
        <v>0</v>
      </c>
      <c r="Z145" s="10">
        <f t="shared" si="25"/>
        <v>0</v>
      </c>
      <c r="AA145">
        <f t="shared" si="18"/>
        <v>1</v>
      </c>
      <c r="AB145">
        <f t="shared" si="26"/>
        <v>0</v>
      </c>
      <c r="AC145">
        <f t="shared" si="19"/>
        <v>1</v>
      </c>
    </row>
    <row r="146" spans="1:29" x14ac:dyDescent="0.35">
      <c r="A146" t="s">
        <v>162</v>
      </c>
      <c r="B146" t="s">
        <v>531</v>
      </c>
      <c r="C146" t="s">
        <v>2028</v>
      </c>
      <c r="D146" t="s">
        <v>2022</v>
      </c>
      <c r="E146" t="s">
        <v>2029</v>
      </c>
      <c r="F146" t="s">
        <v>1022</v>
      </c>
      <c r="G146" t="s">
        <v>1028</v>
      </c>
      <c r="H146" t="s">
        <v>1039</v>
      </c>
      <c r="I146" t="s">
        <v>1044</v>
      </c>
      <c r="J146" t="s">
        <v>1742</v>
      </c>
      <c r="K146" s="9">
        <v>45741</v>
      </c>
      <c r="L146" s="20">
        <f t="shared" si="20"/>
        <v>45717</v>
      </c>
      <c r="M146" s="10">
        <f t="shared" si="21"/>
        <v>2025</v>
      </c>
      <c r="N146" s="9">
        <v>45751</v>
      </c>
      <c r="O146" s="9">
        <v>45768</v>
      </c>
      <c r="P146" s="9">
        <v>45797</v>
      </c>
      <c r="Q146" s="26">
        <f t="shared" si="22"/>
        <v>56</v>
      </c>
      <c r="R146" t="s">
        <v>1620</v>
      </c>
      <c r="S146" s="15">
        <v>35185</v>
      </c>
      <c r="T146" s="15">
        <v>33053</v>
      </c>
      <c r="U146" t="s">
        <v>1624</v>
      </c>
      <c r="V146" t="s">
        <v>1628</v>
      </c>
      <c r="X146" s="10">
        <f t="shared" si="23"/>
        <v>1</v>
      </c>
      <c r="Y146" s="10">
        <f t="shared" si="24"/>
        <v>0</v>
      </c>
      <c r="Z146" s="10">
        <f t="shared" si="25"/>
        <v>0</v>
      </c>
      <c r="AA146">
        <f t="shared" si="18"/>
        <v>1</v>
      </c>
      <c r="AB146">
        <f t="shared" si="26"/>
        <v>0</v>
      </c>
      <c r="AC146">
        <f t="shared" si="19"/>
        <v>1</v>
      </c>
    </row>
    <row r="147" spans="1:29" x14ac:dyDescent="0.35">
      <c r="A147" t="s">
        <v>163</v>
      </c>
      <c r="B147" t="s">
        <v>532</v>
      </c>
      <c r="C147" t="s">
        <v>2030</v>
      </c>
      <c r="D147" t="s">
        <v>2031</v>
      </c>
      <c r="E147" t="s">
        <v>2032</v>
      </c>
      <c r="F147" t="s">
        <v>1022</v>
      </c>
      <c r="G147" t="s">
        <v>1032</v>
      </c>
      <c r="H147" t="s">
        <v>1034</v>
      </c>
      <c r="I147" t="s">
        <v>1045</v>
      </c>
      <c r="J147" t="s">
        <v>1742</v>
      </c>
      <c r="K147" s="9">
        <v>45560</v>
      </c>
      <c r="L147" s="20">
        <f t="shared" si="20"/>
        <v>45536</v>
      </c>
      <c r="M147" s="10">
        <f t="shared" si="21"/>
        <v>2024</v>
      </c>
      <c r="N147" s="9">
        <v>45577</v>
      </c>
      <c r="O147" s="9" t="s">
        <v>2350</v>
      </c>
      <c r="P147" s="9" t="s">
        <v>2350</v>
      </c>
      <c r="Q147" s="26" t="str">
        <f t="shared" si="22"/>
        <v/>
      </c>
      <c r="R147" t="s">
        <v>1615</v>
      </c>
      <c r="S147" s="15">
        <v>39266</v>
      </c>
      <c r="U147" t="s">
        <v>1621</v>
      </c>
      <c r="V147" t="s">
        <v>1627</v>
      </c>
      <c r="W147" s="17">
        <v>2.8</v>
      </c>
      <c r="X147" s="10">
        <f t="shared" si="23"/>
        <v>1</v>
      </c>
      <c r="Y147" s="10">
        <f t="shared" si="24"/>
        <v>0</v>
      </c>
      <c r="Z147" s="10">
        <f t="shared" si="25"/>
        <v>0</v>
      </c>
      <c r="AA147">
        <f t="shared" si="18"/>
        <v>1</v>
      </c>
      <c r="AB147">
        <f t="shared" si="26"/>
        <v>0</v>
      </c>
      <c r="AC147">
        <f t="shared" si="19"/>
        <v>0</v>
      </c>
    </row>
    <row r="148" spans="1:29" x14ac:dyDescent="0.35">
      <c r="A148" t="s">
        <v>164</v>
      </c>
      <c r="B148" t="s">
        <v>533</v>
      </c>
      <c r="C148" t="s">
        <v>769</v>
      </c>
      <c r="D148" t="s">
        <v>2033</v>
      </c>
      <c r="E148" t="s">
        <v>1972</v>
      </c>
      <c r="F148" t="s">
        <v>1022</v>
      </c>
      <c r="G148" t="s">
        <v>1031</v>
      </c>
      <c r="H148" t="s">
        <v>1036</v>
      </c>
      <c r="I148" t="s">
        <v>1045</v>
      </c>
      <c r="J148" t="s">
        <v>1742</v>
      </c>
      <c r="K148" s="9">
        <v>45573</v>
      </c>
      <c r="L148" s="20">
        <f t="shared" si="20"/>
        <v>45566</v>
      </c>
      <c r="M148" s="10">
        <f t="shared" si="21"/>
        <v>2024</v>
      </c>
      <c r="N148" s="9" t="s">
        <v>2350</v>
      </c>
      <c r="O148" s="9" t="s">
        <v>2350</v>
      </c>
      <c r="P148" s="9" t="s">
        <v>2350</v>
      </c>
      <c r="Q148" s="26" t="str">
        <f t="shared" si="22"/>
        <v/>
      </c>
      <c r="R148" t="s">
        <v>1616</v>
      </c>
      <c r="S148" s="15">
        <v>28126</v>
      </c>
      <c r="U148" t="s">
        <v>1623</v>
      </c>
      <c r="V148" t="s">
        <v>1627</v>
      </c>
      <c r="W148" s="17">
        <v>3.5</v>
      </c>
      <c r="X148" s="10">
        <f t="shared" si="23"/>
        <v>1</v>
      </c>
      <c r="Y148" s="10">
        <f t="shared" si="24"/>
        <v>0</v>
      </c>
      <c r="Z148" s="10">
        <f t="shared" si="25"/>
        <v>0</v>
      </c>
      <c r="AA148">
        <f t="shared" si="18"/>
        <v>0</v>
      </c>
      <c r="AB148">
        <f t="shared" si="26"/>
        <v>0</v>
      </c>
      <c r="AC148">
        <f t="shared" si="19"/>
        <v>0</v>
      </c>
    </row>
    <row r="149" spans="1:29" x14ac:dyDescent="0.35">
      <c r="A149" t="s">
        <v>165</v>
      </c>
      <c r="B149" t="s">
        <v>452</v>
      </c>
      <c r="C149" t="s">
        <v>2034</v>
      </c>
      <c r="D149" t="s">
        <v>1903</v>
      </c>
      <c r="E149" t="s">
        <v>1881</v>
      </c>
      <c r="F149" t="s">
        <v>1023</v>
      </c>
      <c r="G149" t="s">
        <v>1032</v>
      </c>
      <c r="H149" t="s">
        <v>1036</v>
      </c>
      <c r="I149" t="s">
        <v>1041</v>
      </c>
      <c r="J149" t="s">
        <v>1742</v>
      </c>
      <c r="K149" s="9">
        <v>45448</v>
      </c>
      <c r="L149" s="20">
        <f t="shared" si="20"/>
        <v>45444</v>
      </c>
      <c r="M149" s="10">
        <f t="shared" si="21"/>
        <v>2024</v>
      </c>
      <c r="N149" s="9" t="s">
        <v>2350</v>
      </c>
      <c r="O149" s="9" t="s">
        <v>2350</v>
      </c>
      <c r="P149" s="9" t="s">
        <v>2350</v>
      </c>
      <c r="Q149" s="26" t="str">
        <f t="shared" si="22"/>
        <v/>
      </c>
      <c r="R149" t="s">
        <v>1617</v>
      </c>
      <c r="S149" s="15">
        <v>33089</v>
      </c>
      <c r="U149" t="s">
        <v>1624</v>
      </c>
      <c r="V149" t="s">
        <v>1627</v>
      </c>
      <c r="W149" s="17">
        <v>2.9</v>
      </c>
      <c r="X149" s="10">
        <f t="shared" si="23"/>
        <v>1</v>
      </c>
      <c r="Y149" s="10">
        <f t="shared" si="24"/>
        <v>1</v>
      </c>
      <c r="Z149" s="10">
        <f t="shared" si="25"/>
        <v>0</v>
      </c>
      <c r="AA149">
        <f t="shared" si="18"/>
        <v>0</v>
      </c>
      <c r="AB149">
        <f t="shared" si="26"/>
        <v>0</v>
      </c>
      <c r="AC149">
        <f t="shared" si="19"/>
        <v>0</v>
      </c>
    </row>
    <row r="150" spans="1:29" x14ac:dyDescent="0.35">
      <c r="A150" t="s">
        <v>166</v>
      </c>
      <c r="B150" t="s">
        <v>534</v>
      </c>
      <c r="C150" t="s">
        <v>771</v>
      </c>
      <c r="D150" t="s">
        <v>2035</v>
      </c>
      <c r="E150" t="s">
        <v>1829</v>
      </c>
      <c r="F150" t="s">
        <v>1025</v>
      </c>
      <c r="G150" t="s">
        <v>1032</v>
      </c>
      <c r="H150" t="s">
        <v>1037</v>
      </c>
      <c r="I150" t="s">
        <v>1042</v>
      </c>
      <c r="J150" t="s">
        <v>1742</v>
      </c>
      <c r="K150" s="9">
        <v>45325</v>
      </c>
      <c r="L150" s="20">
        <f t="shared" si="20"/>
        <v>45323</v>
      </c>
      <c r="M150" s="10">
        <f t="shared" si="21"/>
        <v>2024</v>
      </c>
      <c r="N150" s="9">
        <v>45352</v>
      </c>
      <c r="O150" s="9" t="s">
        <v>2350</v>
      </c>
      <c r="P150" s="9" t="s">
        <v>2350</v>
      </c>
      <c r="Q150" s="26" t="str">
        <f t="shared" si="22"/>
        <v/>
      </c>
      <c r="R150" t="s">
        <v>1615</v>
      </c>
      <c r="S150" s="15">
        <v>48863</v>
      </c>
      <c r="U150" t="s">
        <v>1621</v>
      </c>
      <c r="V150" t="s">
        <v>1628</v>
      </c>
      <c r="W150" s="17">
        <v>3.1</v>
      </c>
      <c r="X150" s="10">
        <f t="shared" si="23"/>
        <v>1</v>
      </c>
      <c r="Y150" s="10">
        <f t="shared" si="24"/>
        <v>0</v>
      </c>
      <c r="Z150" s="10">
        <f t="shared" si="25"/>
        <v>0</v>
      </c>
      <c r="AA150">
        <f t="shared" si="18"/>
        <v>1</v>
      </c>
      <c r="AB150">
        <f t="shared" si="26"/>
        <v>0</v>
      </c>
      <c r="AC150">
        <f t="shared" si="19"/>
        <v>0</v>
      </c>
    </row>
    <row r="151" spans="1:29" x14ac:dyDescent="0.35">
      <c r="A151" t="s">
        <v>167</v>
      </c>
      <c r="B151" t="s">
        <v>535</v>
      </c>
      <c r="C151" t="s">
        <v>2036</v>
      </c>
      <c r="D151" t="s">
        <v>2037</v>
      </c>
      <c r="E151" t="s">
        <v>2038</v>
      </c>
      <c r="F151" t="s">
        <v>1025</v>
      </c>
      <c r="G151" t="s">
        <v>1030</v>
      </c>
      <c r="H151" t="s">
        <v>1037</v>
      </c>
      <c r="I151" t="s">
        <v>1045</v>
      </c>
      <c r="J151" t="s">
        <v>1050</v>
      </c>
      <c r="K151" s="9">
        <v>45306</v>
      </c>
      <c r="L151" s="20">
        <f t="shared" si="20"/>
        <v>45292</v>
      </c>
      <c r="M151" s="10">
        <f t="shared" si="21"/>
        <v>2024</v>
      </c>
      <c r="N151" s="9" t="s">
        <v>2350</v>
      </c>
      <c r="O151" s="9" t="s">
        <v>2350</v>
      </c>
      <c r="P151" s="9" t="s">
        <v>2350</v>
      </c>
      <c r="Q151" s="26" t="str">
        <f t="shared" si="22"/>
        <v/>
      </c>
      <c r="R151" t="s">
        <v>1619</v>
      </c>
      <c r="S151" s="15">
        <v>49201</v>
      </c>
      <c r="U151" t="s">
        <v>1621</v>
      </c>
      <c r="V151" t="s">
        <v>1626</v>
      </c>
      <c r="W151" s="17">
        <v>4.0999999999999996</v>
      </c>
      <c r="X151" s="10">
        <f t="shared" si="23"/>
        <v>1</v>
      </c>
      <c r="Y151" s="10">
        <f t="shared" si="24"/>
        <v>0</v>
      </c>
      <c r="Z151" s="10">
        <f t="shared" si="25"/>
        <v>1</v>
      </c>
      <c r="AA151">
        <f t="shared" si="18"/>
        <v>0</v>
      </c>
      <c r="AB151">
        <f t="shared" si="26"/>
        <v>0</v>
      </c>
      <c r="AC151">
        <f t="shared" si="19"/>
        <v>0</v>
      </c>
    </row>
    <row r="152" spans="1:29" x14ac:dyDescent="0.35">
      <c r="A152" t="s">
        <v>168</v>
      </c>
      <c r="B152" t="s">
        <v>428</v>
      </c>
      <c r="C152" t="s">
        <v>773</v>
      </c>
      <c r="D152" t="s">
        <v>1778</v>
      </c>
      <c r="E152" t="s">
        <v>2039</v>
      </c>
      <c r="F152" t="s">
        <v>1023</v>
      </c>
      <c r="G152" t="s">
        <v>1029</v>
      </c>
      <c r="H152" t="s">
        <v>1741</v>
      </c>
      <c r="I152" t="s">
        <v>1041</v>
      </c>
      <c r="J152" t="s">
        <v>1742</v>
      </c>
      <c r="K152" s="9">
        <v>45319</v>
      </c>
      <c r="L152" s="20">
        <f t="shared" si="20"/>
        <v>45292</v>
      </c>
      <c r="M152" s="10">
        <f t="shared" si="21"/>
        <v>2024</v>
      </c>
      <c r="N152" s="9">
        <v>45339</v>
      </c>
      <c r="O152" s="9" t="s">
        <v>2350</v>
      </c>
      <c r="P152" s="9" t="s">
        <v>2350</v>
      </c>
      <c r="Q152" s="26" t="str">
        <f t="shared" si="22"/>
        <v/>
      </c>
      <c r="R152" t="s">
        <v>1615</v>
      </c>
      <c r="S152" s="15">
        <v>47410</v>
      </c>
      <c r="U152" t="s">
        <v>1623</v>
      </c>
      <c r="V152" t="s">
        <v>1627</v>
      </c>
      <c r="W152" s="17">
        <v>4.3</v>
      </c>
      <c r="X152" s="10">
        <f t="shared" si="23"/>
        <v>1</v>
      </c>
      <c r="Y152" s="10">
        <f t="shared" si="24"/>
        <v>0</v>
      </c>
      <c r="Z152" s="10">
        <f t="shared" si="25"/>
        <v>0</v>
      </c>
      <c r="AA152">
        <f t="shared" si="18"/>
        <v>1</v>
      </c>
      <c r="AB152">
        <f t="shared" si="26"/>
        <v>0</v>
      </c>
      <c r="AC152">
        <f t="shared" si="19"/>
        <v>0</v>
      </c>
    </row>
    <row r="153" spans="1:29" x14ac:dyDescent="0.35">
      <c r="A153" t="s">
        <v>169</v>
      </c>
      <c r="B153" t="s">
        <v>536</v>
      </c>
      <c r="C153" t="s">
        <v>774</v>
      </c>
      <c r="D153" t="s">
        <v>1798</v>
      </c>
      <c r="E153" t="s">
        <v>2040</v>
      </c>
      <c r="F153" t="s">
        <v>1027</v>
      </c>
      <c r="G153" t="s">
        <v>1028</v>
      </c>
      <c r="H153" t="s">
        <v>1040</v>
      </c>
      <c r="I153" t="s">
        <v>1041</v>
      </c>
      <c r="J153" t="s">
        <v>1742</v>
      </c>
      <c r="K153" s="9">
        <v>45352</v>
      </c>
      <c r="L153" s="20">
        <f t="shared" si="20"/>
        <v>45352</v>
      </c>
      <c r="M153" s="10">
        <f t="shared" si="21"/>
        <v>2024</v>
      </c>
      <c r="N153" s="9" t="s">
        <v>2350</v>
      </c>
      <c r="O153" s="9" t="s">
        <v>2350</v>
      </c>
      <c r="P153" s="9" t="s">
        <v>2350</v>
      </c>
      <c r="Q153" s="26" t="str">
        <f t="shared" si="22"/>
        <v/>
      </c>
      <c r="R153" t="s">
        <v>1616</v>
      </c>
      <c r="S153" s="15">
        <v>33803</v>
      </c>
      <c r="U153" t="s">
        <v>1624</v>
      </c>
      <c r="V153" t="s">
        <v>1627</v>
      </c>
      <c r="W153" s="17">
        <v>3.8</v>
      </c>
      <c r="X153" s="10">
        <f t="shared" si="23"/>
        <v>1</v>
      </c>
      <c r="Y153" s="10">
        <f t="shared" si="24"/>
        <v>0</v>
      </c>
      <c r="Z153" s="10">
        <f t="shared" si="25"/>
        <v>0</v>
      </c>
      <c r="AA153">
        <f t="shared" si="18"/>
        <v>0</v>
      </c>
      <c r="AB153">
        <f t="shared" si="26"/>
        <v>0</v>
      </c>
      <c r="AC153">
        <f t="shared" si="19"/>
        <v>0</v>
      </c>
    </row>
    <row r="154" spans="1:29" x14ac:dyDescent="0.35">
      <c r="A154" t="s">
        <v>170</v>
      </c>
      <c r="B154" t="s">
        <v>537</v>
      </c>
      <c r="C154" t="s">
        <v>2041</v>
      </c>
      <c r="D154" t="s">
        <v>1805</v>
      </c>
      <c r="E154" t="s">
        <v>1754</v>
      </c>
      <c r="F154" t="s">
        <v>1025</v>
      </c>
      <c r="G154" t="s">
        <v>1030</v>
      </c>
      <c r="H154" t="s">
        <v>1040</v>
      </c>
      <c r="I154" t="s">
        <v>1045</v>
      </c>
      <c r="J154" t="s">
        <v>1742</v>
      </c>
      <c r="K154" s="9">
        <v>45573</v>
      </c>
      <c r="L154" s="20">
        <f t="shared" si="20"/>
        <v>45566</v>
      </c>
      <c r="M154" s="10">
        <f t="shared" si="21"/>
        <v>2024</v>
      </c>
      <c r="N154" s="9">
        <v>45595</v>
      </c>
      <c r="O154" s="9">
        <v>45613</v>
      </c>
      <c r="P154" s="9" t="s">
        <v>2350</v>
      </c>
      <c r="Q154" s="26" t="str">
        <f t="shared" si="22"/>
        <v/>
      </c>
      <c r="R154" t="s">
        <v>1618</v>
      </c>
      <c r="S154" s="15">
        <v>34822</v>
      </c>
      <c r="T154" s="15">
        <v>36720</v>
      </c>
      <c r="U154" t="s">
        <v>1622</v>
      </c>
      <c r="V154" t="s">
        <v>1628</v>
      </c>
      <c r="W154" s="17">
        <v>3.8</v>
      </c>
      <c r="X154" s="10">
        <f t="shared" si="23"/>
        <v>1</v>
      </c>
      <c r="Y154" s="10">
        <f t="shared" si="24"/>
        <v>0</v>
      </c>
      <c r="Z154" s="10">
        <f t="shared" si="25"/>
        <v>0</v>
      </c>
      <c r="AA154">
        <f t="shared" si="18"/>
        <v>1</v>
      </c>
      <c r="AB154">
        <f t="shared" si="26"/>
        <v>1</v>
      </c>
      <c r="AC154">
        <f t="shared" si="19"/>
        <v>0</v>
      </c>
    </row>
    <row r="155" spans="1:29" x14ac:dyDescent="0.35">
      <c r="A155" t="s">
        <v>171</v>
      </c>
      <c r="B155" t="s">
        <v>538</v>
      </c>
      <c r="C155" t="s">
        <v>2042</v>
      </c>
      <c r="D155" t="s">
        <v>1954</v>
      </c>
      <c r="E155" t="s">
        <v>1881</v>
      </c>
      <c r="F155" t="s">
        <v>1022</v>
      </c>
      <c r="G155" t="s">
        <v>1032</v>
      </c>
      <c r="H155" t="s">
        <v>1741</v>
      </c>
      <c r="I155" t="s">
        <v>1044</v>
      </c>
      <c r="J155" t="s">
        <v>1051</v>
      </c>
      <c r="K155" s="9">
        <v>45455</v>
      </c>
      <c r="L155" s="20">
        <f t="shared" si="20"/>
        <v>45444</v>
      </c>
      <c r="M155" s="10">
        <f t="shared" si="21"/>
        <v>2024</v>
      </c>
      <c r="N155" s="9">
        <v>45467</v>
      </c>
      <c r="O155" s="9" t="s">
        <v>2350</v>
      </c>
      <c r="P155" s="9" t="s">
        <v>2350</v>
      </c>
      <c r="Q155" s="26" t="str">
        <f t="shared" si="22"/>
        <v/>
      </c>
      <c r="R155" t="s">
        <v>1615</v>
      </c>
      <c r="S155" s="15">
        <v>29854</v>
      </c>
      <c r="U155" t="s">
        <v>1624</v>
      </c>
      <c r="V155" t="s">
        <v>1628</v>
      </c>
      <c r="W155" s="17">
        <v>5</v>
      </c>
      <c r="X155" s="10">
        <f t="shared" si="23"/>
        <v>1</v>
      </c>
      <c r="Y155" s="10">
        <f t="shared" si="24"/>
        <v>0</v>
      </c>
      <c r="Z155" s="10">
        <f t="shared" si="25"/>
        <v>0</v>
      </c>
      <c r="AA155">
        <f t="shared" si="18"/>
        <v>1</v>
      </c>
      <c r="AB155">
        <f t="shared" si="26"/>
        <v>0</v>
      </c>
      <c r="AC155">
        <f t="shared" si="19"/>
        <v>0</v>
      </c>
    </row>
    <row r="156" spans="1:29" x14ac:dyDescent="0.35">
      <c r="A156" t="s">
        <v>172</v>
      </c>
      <c r="B156" t="s">
        <v>539</v>
      </c>
      <c r="C156" t="s">
        <v>2043</v>
      </c>
      <c r="D156" t="s">
        <v>2044</v>
      </c>
      <c r="E156" t="s">
        <v>1897</v>
      </c>
      <c r="F156" t="s">
        <v>1022</v>
      </c>
      <c r="G156" t="s">
        <v>1029</v>
      </c>
      <c r="H156" t="s">
        <v>1040</v>
      </c>
      <c r="I156" t="s">
        <v>1043</v>
      </c>
      <c r="J156" t="s">
        <v>1051</v>
      </c>
      <c r="K156" s="9">
        <v>45690</v>
      </c>
      <c r="L156" s="20">
        <f t="shared" si="20"/>
        <v>45689</v>
      </c>
      <c r="M156" s="10">
        <f t="shared" si="21"/>
        <v>2025</v>
      </c>
      <c r="N156" s="9">
        <v>45705</v>
      </c>
      <c r="O156" s="9" t="s">
        <v>2350</v>
      </c>
      <c r="P156" s="9" t="s">
        <v>2350</v>
      </c>
      <c r="Q156" s="26" t="str">
        <f t="shared" si="22"/>
        <v/>
      </c>
      <c r="R156" t="s">
        <v>1615</v>
      </c>
      <c r="S156" s="15">
        <v>51869</v>
      </c>
      <c r="U156" t="s">
        <v>1624</v>
      </c>
      <c r="V156" t="s">
        <v>1626</v>
      </c>
      <c r="W156" s="17">
        <v>2.8</v>
      </c>
      <c r="X156" s="10">
        <f t="shared" si="23"/>
        <v>1</v>
      </c>
      <c r="Y156" s="10">
        <f t="shared" si="24"/>
        <v>0</v>
      </c>
      <c r="Z156" s="10">
        <f t="shared" si="25"/>
        <v>0</v>
      </c>
      <c r="AA156">
        <f t="shared" si="18"/>
        <v>1</v>
      </c>
      <c r="AB156">
        <f t="shared" si="26"/>
        <v>0</v>
      </c>
      <c r="AC156">
        <f t="shared" si="19"/>
        <v>0</v>
      </c>
    </row>
    <row r="157" spans="1:29" x14ac:dyDescent="0.35">
      <c r="A157" t="s">
        <v>173</v>
      </c>
      <c r="B157" t="s">
        <v>540</v>
      </c>
      <c r="C157" t="s">
        <v>2045</v>
      </c>
      <c r="D157" t="s">
        <v>2046</v>
      </c>
      <c r="E157" t="s">
        <v>1779</v>
      </c>
      <c r="F157" t="s">
        <v>1024</v>
      </c>
      <c r="G157" t="s">
        <v>1029</v>
      </c>
      <c r="H157" t="s">
        <v>1040</v>
      </c>
      <c r="I157" t="s">
        <v>1041</v>
      </c>
      <c r="J157" t="s">
        <v>1048</v>
      </c>
      <c r="K157" s="9">
        <v>45691</v>
      </c>
      <c r="L157" s="20">
        <f t="shared" si="20"/>
        <v>45689</v>
      </c>
      <c r="M157" s="10">
        <f t="shared" si="21"/>
        <v>2025</v>
      </c>
      <c r="N157" s="9" t="s">
        <v>2350</v>
      </c>
      <c r="O157" s="9" t="s">
        <v>2350</v>
      </c>
      <c r="P157" s="9" t="s">
        <v>2350</v>
      </c>
      <c r="Q157" s="26" t="str">
        <f t="shared" si="22"/>
        <v/>
      </c>
      <c r="R157" t="s">
        <v>1619</v>
      </c>
      <c r="S157" s="15">
        <v>32470</v>
      </c>
      <c r="U157" t="s">
        <v>1624</v>
      </c>
      <c r="V157" t="s">
        <v>1627</v>
      </c>
      <c r="W157" s="17">
        <v>2.7</v>
      </c>
      <c r="X157" s="10">
        <f t="shared" si="23"/>
        <v>1</v>
      </c>
      <c r="Y157" s="10">
        <f t="shared" si="24"/>
        <v>0</v>
      </c>
      <c r="Z157" s="10">
        <f t="shared" si="25"/>
        <v>1</v>
      </c>
      <c r="AA157">
        <f t="shared" si="18"/>
        <v>0</v>
      </c>
      <c r="AB157">
        <f t="shared" si="26"/>
        <v>0</v>
      </c>
      <c r="AC157">
        <f t="shared" si="19"/>
        <v>0</v>
      </c>
    </row>
    <row r="158" spans="1:29" x14ac:dyDescent="0.35">
      <c r="A158" t="s">
        <v>174</v>
      </c>
      <c r="B158" t="s">
        <v>541</v>
      </c>
      <c r="C158" t="s">
        <v>2047</v>
      </c>
      <c r="D158" t="s">
        <v>2048</v>
      </c>
      <c r="E158" t="s">
        <v>2049</v>
      </c>
      <c r="F158" t="s">
        <v>1027</v>
      </c>
      <c r="G158" t="s">
        <v>1029</v>
      </c>
      <c r="H158" t="s">
        <v>1037</v>
      </c>
      <c r="I158" t="s">
        <v>1042</v>
      </c>
      <c r="J158" t="s">
        <v>1742</v>
      </c>
      <c r="K158" s="9">
        <v>45462</v>
      </c>
      <c r="L158" s="20">
        <f t="shared" si="20"/>
        <v>45444</v>
      </c>
      <c r="M158" s="10">
        <f t="shared" si="21"/>
        <v>2024</v>
      </c>
      <c r="N158" s="9" t="s">
        <v>2350</v>
      </c>
      <c r="O158" s="9" t="s">
        <v>2350</v>
      </c>
      <c r="P158" s="9" t="s">
        <v>2350</v>
      </c>
      <c r="Q158" s="26" t="str">
        <f t="shared" si="22"/>
        <v/>
      </c>
      <c r="R158" t="s">
        <v>1619</v>
      </c>
      <c r="S158" s="15">
        <v>37524</v>
      </c>
      <c r="U158" t="s">
        <v>1621</v>
      </c>
      <c r="V158" t="s">
        <v>1628</v>
      </c>
      <c r="W158" s="17">
        <v>4</v>
      </c>
      <c r="X158" s="10">
        <f t="shared" si="23"/>
        <v>1</v>
      </c>
      <c r="Y158" s="10">
        <f t="shared" si="24"/>
        <v>0</v>
      </c>
      <c r="Z158" s="10">
        <f t="shared" si="25"/>
        <v>1</v>
      </c>
      <c r="AA158">
        <f t="shared" si="18"/>
        <v>0</v>
      </c>
      <c r="AB158">
        <f t="shared" si="26"/>
        <v>0</v>
      </c>
      <c r="AC158">
        <f t="shared" si="19"/>
        <v>0</v>
      </c>
    </row>
    <row r="159" spans="1:29" x14ac:dyDescent="0.35">
      <c r="A159" t="s">
        <v>175</v>
      </c>
      <c r="B159" t="s">
        <v>448</v>
      </c>
      <c r="C159" t="s">
        <v>2050</v>
      </c>
      <c r="D159" t="s">
        <v>1790</v>
      </c>
      <c r="E159" t="s">
        <v>2051</v>
      </c>
      <c r="F159" t="s">
        <v>1025</v>
      </c>
      <c r="G159" t="s">
        <v>1032</v>
      </c>
      <c r="H159" t="s">
        <v>1039</v>
      </c>
      <c r="I159" t="s">
        <v>1043</v>
      </c>
      <c r="J159" t="s">
        <v>1051</v>
      </c>
      <c r="K159" s="9">
        <v>45296</v>
      </c>
      <c r="L159" s="20">
        <f t="shared" si="20"/>
        <v>45292</v>
      </c>
      <c r="M159" s="10">
        <f t="shared" si="21"/>
        <v>2024</v>
      </c>
      <c r="N159" s="9" t="s">
        <v>2350</v>
      </c>
      <c r="O159" s="9" t="s">
        <v>2350</v>
      </c>
      <c r="P159" s="9" t="s">
        <v>2350</v>
      </c>
      <c r="Q159" s="26" t="str">
        <f t="shared" si="22"/>
        <v/>
      </c>
      <c r="R159" t="s">
        <v>1616</v>
      </c>
      <c r="S159" s="15">
        <v>36407</v>
      </c>
      <c r="U159" t="s">
        <v>1624</v>
      </c>
      <c r="V159" t="s">
        <v>1628</v>
      </c>
      <c r="W159" s="17">
        <v>4.7</v>
      </c>
      <c r="X159" s="10">
        <f t="shared" si="23"/>
        <v>1</v>
      </c>
      <c r="Y159" s="10">
        <f t="shared" si="24"/>
        <v>0</v>
      </c>
      <c r="Z159" s="10">
        <f t="shared" si="25"/>
        <v>0</v>
      </c>
      <c r="AA159">
        <f t="shared" si="18"/>
        <v>0</v>
      </c>
      <c r="AB159">
        <f t="shared" si="26"/>
        <v>0</v>
      </c>
      <c r="AC159">
        <f t="shared" si="19"/>
        <v>0</v>
      </c>
    </row>
    <row r="160" spans="1:29" x14ac:dyDescent="0.35">
      <c r="A160" t="s">
        <v>176</v>
      </c>
      <c r="B160" t="s">
        <v>542</v>
      </c>
      <c r="C160" t="s">
        <v>781</v>
      </c>
      <c r="D160" t="s">
        <v>1906</v>
      </c>
      <c r="E160" t="s">
        <v>2052</v>
      </c>
      <c r="F160" t="s">
        <v>1023</v>
      </c>
      <c r="G160" t="s">
        <v>1029</v>
      </c>
      <c r="H160" t="s">
        <v>1037</v>
      </c>
      <c r="I160" t="s">
        <v>1043</v>
      </c>
      <c r="J160" t="s">
        <v>1742</v>
      </c>
      <c r="K160" s="9">
        <v>45428</v>
      </c>
      <c r="L160" s="20">
        <f t="shared" si="20"/>
        <v>45413</v>
      </c>
      <c r="M160" s="10">
        <f t="shared" si="21"/>
        <v>2024</v>
      </c>
      <c r="N160" s="9" t="s">
        <v>2350</v>
      </c>
      <c r="O160" s="9" t="s">
        <v>2350</v>
      </c>
      <c r="P160" s="9" t="s">
        <v>2350</v>
      </c>
      <c r="Q160" s="26" t="str">
        <f t="shared" si="22"/>
        <v/>
      </c>
      <c r="R160" t="s">
        <v>1616</v>
      </c>
      <c r="S160" s="15">
        <v>41795</v>
      </c>
      <c r="U160" t="s">
        <v>1625</v>
      </c>
      <c r="V160" t="s">
        <v>1627</v>
      </c>
      <c r="W160" s="17">
        <v>4.7</v>
      </c>
      <c r="X160" s="10">
        <f t="shared" si="23"/>
        <v>1</v>
      </c>
      <c r="Y160" s="10">
        <f t="shared" si="24"/>
        <v>0</v>
      </c>
      <c r="Z160" s="10">
        <f t="shared" si="25"/>
        <v>0</v>
      </c>
      <c r="AA160">
        <f t="shared" si="18"/>
        <v>0</v>
      </c>
      <c r="AB160">
        <f t="shared" si="26"/>
        <v>0</v>
      </c>
      <c r="AC160">
        <f t="shared" si="19"/>
        <v>0</v>
      </c>
    </row>
    <row r="161" spans="1:29" x14ac:dyDescent="0.35">
      <c r="A161" t="s">
        <v>177</v>
      </c>
      <c r="B161" t="s">
        <v>439</v>
      </c>
      <c r="C161" t="s">
        <v>782</v>
      </c>
      <c r="D161" t="s">
        <v>2053</v>
      </c>
      <c r="E161" t="s">
        <v>2054</v>
      </c>
      <c r="F161" t="s">
        <v>1025</v>
      </c>
      <c r="G161" t="s">
        <v>1029</v>
      </c>
      <c r="H161" t="s">
        <v>1034</v>
      </c>
      <c r="I161" t="s">
        <v>1045</v>
      </c>
      <c r="J161" t="s">
        <v>1742</v>
      </c>
      <c r="K161" s="9">
        <v>45583</v>
      </c>
      <c r="L161" s="20">
        <f t="shared" si="20"/>
        <v>45566</v>
      </c>
      <c r="M161" s="10">
        <f t="shared" si="21"/>
        <v>2024</v>
      </c>
      <c r="N161" s="9">
        <v>45610</v>
      </c>
      <c r="O161" s="9">
        <v>45618</v>
      </c>
      <c r="P161" s="9">
        <v>45632</v>
      </c>
      <c r="Q161" s="26">
        <f t="shared" si="22"/>
        <v>49</v>
      </c>
      <c r="R161" t="s">
        <v>1620</v>
      </c>
      <c r="S161" s="15">
        <v>38506</v>
      </c>
      <c r="T161" s="15">
        <v>41622</v>
      </c>
      <c r="U161" t="s">
        <v>1622</v>
      </c>
      <c r="V161" t="s">
        <v>1628</v>
      </c>
      <c r="W161" s="17">
        <v>3.8</v>
      </c>
      <c r="X161" s="10">
        <f t="shared" si="23"/>
        <v>1</v>
      </c>
      <c r="Y161" s="10">
        <f t="shared" si="24"/>
        <v>0</v>
      </c>
      <c r="Z161" s="10">
        <f t="shared" si="25"/>
        <v>0</v>
      </c>
      <c r="AA161">
        <f t="shared" si="18"/>
        <v>1</v>
      </c>
      <c r="AB161">
        <f t="shared" si="26"/>
        <v>0</v>
      </c>
      <c r="AC161">
        <f t="shared" si="19"/>
        <v>1</v>
      </c>
    </row>
    <row r="162" spans="1:29" x14ac:dyDescent="0.35">
      <c r="A162" t="s">
        <v>178</v>
      </c>
      <c r="B162" t="s">
        <v>492</v>
      </c>
      <c r="C162" t="s">
        <v>2055</v>
      </c>
      <c r="D162" t="s">
        <v>2056</v>
      </c>
      <c r="E162" t="s">
        <v>1852</v>
      </c>
      <c r="F162" t="s">
        <v>1025</v>
      </c>
      <c r="G162" t="s">
        <v>1029</v>
      </c>
      <c r="H162" t="s">
        <v>1034</v>
      </c>
      <c r="I162" t="s">
        <v>1041</v>
      </c>
      <c r="J162" t="s">
        <v>1048</v>
      </c>
      <c r="K162" s="9">
        <v>45392</v>
      </c>
      <c r="L162" s="20">
        <f t="shared" si="20"/>
        <v>45383</v>
      </c>
      <c r="M162" s="10">
        <f t="shared" si="21"/>
        <v>2024</v>
      </c>
      <c r="N162" s="9" t="s">
        <v>2350</v>
      </c>
      <c r="O162" s="9" t="s">
        <v>2350</v>
      </c>
      <c r="P162" s="9" t="s">
        <v>2350</v>
      </c>
      <c r="Q162" s="26" t="str">
        <f t="shared" si="22"/>
        <v/>
      </c>
      <c r="R162" t="s">
        <v>1616</v>
      </c>
      <c r="S162" s="15">
        <v>29896</v>
      </c>
      <c r="U162" t="s">
        <v>1624</v>
      </c>
      <c r="V162" t="s">
        <v>1626</v>
      </c>
      <c r="W162" s="17">
        <v>3.2</v>
      </c>
      <c r="X162" s="10">
        <f t="shared" si="23"/>
        <v>1</v>
      </c>
      <c r="Y162" s="10">
        <f t="shared" si="24"/>
        <v>0</v>
      </c>
      <c r="Z162" s="10">
        <f t="shared" si="25"/>
        <v>0</v>
      </c>
      <c r="AA162">
        <f t="shared" si="18"/>
        <v>0</v>
      </c>
      <c r="AB162">
        <f t="shared" si="26"/>
        <v>0</v>
      </c>
      <c r="AC162">
        <f t="shared" si="19"/>
        <v>0</v>
      </c>
    </row>
    <row r="163" spans="1:29" x14ac:dyDescent="0.35">
      <c r="A163" t="s">
        <v>179</v>
      </c>
      <c r="B163" t="s">
        <v>543</v>
      </c>
      <c r="C163" t="s">
        <v>784</v>
      </c>
      <c r="D163" t="s">
        <v>2057</v>
      </c>
      <c r="E163" t="s">
        <v>2058</v>
      </c>
      <c r="F163" t="s">
        <v>1023</v>
      </c>
      <c r="G163" t="s">
        <v>1032</v>
      </c>
      <c r="H163" t="s">
        <v>1039</v>
      </c>
      <c r="I163" t="s">
        <v>1042</v>
      </c>
      <c r="J163" t="s">
        <v>1742</v>
      </c>
      <c r="K163" s="9">
        <v>45482</v>
      </c>
      <c r="L163" s="20">
        <f t="shared" si="20"/>
        <v>45474</v>
      </c>
      <c r="M163" s="10">
        <f t="shared" si="21"/>
        <v>2024</v>
      </c>
      <c r="N163" s="9" t="s">
        <v>2350</v>
      </c>
      <c r="O163" s="9" t="s">
        <v>2350</v>
      </c>
      <c r="P163" s="9" t="s">
        <v>2350</v>
      </c>
      <c r="Q163" s="26" t="str">
        <f t="shared" si="22"/>
        <v/>
      </c>
      <c r="R163" t="s">
        <v>1616</v>
      </c>
      <c r="S163" s="15">
        <v>37535</v>
      </c>
      <c r="U163" t="s">
        <v>1625</v>
      </c>
      <c r="V163" t="s">
        <v>1626</v>
      </c>
      <c r="W163" s="17">
        <v>4.7</v>
      </c>
      <c r="X163" s="10">
        <f t="shared" si="23"/>
        <v>1</v>
      </c>
      <c r="Y163" s="10">
        <f t="shared" si="24"/>
        <v>0</v>
      </c>
      <c r="Z163" s="10">
        <f t="shared" si="25"/>
        <v>0</v>
      </c>
      <c r="AA163">
        <f t="shared" si="18"/>
        <v>0</v>
      </c>
      <c r="AB163">
        <f t="shared" si="26"/>
        <v>0</v>
      </c>
      <c r="AC163">
        <f t="shared" si="19"/>
        <v>0</v>
      </c>
    </row>
    <row r="164" spans="1:29" x14ac:dyDescent="0.35">
      <c r="A164" t="s">
        <v>180</v>
      </c>
      <c r="B164" t="s">
        <v>544</v>
      </c>
      <c r="C164" t="s">
        <v>785</v>
      </c>
      <c r="D164" t="s">
        <v>1884</v>
      </c>
      <c r="E164" t="s">
        <v>2059</v>
      </c>
      <c r="F164" t="s">
        <v>1024</v>
      </c>
      <c r="G164" t="s">
        <v>1029</v>
      </c>
      <c r="H164" t="s">
        <v>1035</v>
      </c>
      <c r="I164" t="s">
        <v>1043</v>
      </c>
      <c r="J164" t="s">
        <v>1742</v>
      </c>
      <c r="K164" s="9">
        <v>45414</v>
      </c>
      <c r="L164" s="20">
        <f t="shared" si="20"/>
        <v>45413</v>
      </c>
      <c r="M164" s="10">
        <f t="shared" si="21"/>
        <v>2024</v>
      </c>
      <c r="N164" s="9">
        <v>45428</v>
      </c>
      <c r="O164" s="9">
        <v>45447</v>
      </c>
      <c r="P164" s="9">
        <v>45478</v>
      </c>
      <c r="Q164" s="26">
        <f t="shared" si="22"/>
        <v>64</v>
      </c>
      <c r="R164" t="s">
        <v>1620</v>
      </c>
      <c r="S164" s="15">
        <v>38300</v>
      </c>
      <c r="T164" s="15">
        <v>41107</v>
      </c>
      <c r="U164" t="s">
        <v>1622</v>
      </c>
      <c r="V164" t="s">
        <v>1628</v>
      </c>
      <c r="W164" s="17">
        <v>4.9000000000000004</v>
      </c>
      <c r="X164" s="10">
        <f t="shared" si="23"/>
        <v>1</v>
      </c>
      <c r="Y164" s="10">
        <f t="shared" si="24"/>
        <v>0</v>
      </c>
      <c r="Z164" s="10">
        <f t="shared" si="25"/>
        <v>0</v>
      </c>
      <c r="AA164">
        <f t="shared" si="18"/>
        <v>1</v>
      </c>
      <c r="AB164">
        <f t="shared" si="26"/>
        <v>0</v>
      </c>
      <c r="AC164">
        <f t="shared" si="19"/>
        <v>1</v>
      </c>
    </row>
    <row r="165" spans="1:29" x14ac:dyDescent="0.35">
      <c r="A165" t="s">
        <v>181</v>
      </c>
      <c r="B165" t="s">
        <v>470</v>
      </c>
      <c r="C165" t="s">
        <v>786</v>
      </c>
      <c r="D165" t="s">
        <v>2060</v>
      </c>
      <c r="E165" t="s">
        <v>1807</v>
      </c>
      <c r="F165" t="s">
        <v>1025</v>
      </c>
      <c r="G165" t="s">
        <v>1028</v>
      </c>
      <c r="H165" t="s">
        <v>1034</v>
      </c>
      <c r="I165" t="s">
        <v>1045</v>
      </c>
      <c r="J165" t="s">
        <v>1742</v>
      </c>
      <c r="K165" s="9">
        <v>45408</v>
      </c>
      <c r="L165" s="20">
        <f t="shared" si="20"/>
        <v>45383</v>
      </c>
      <c r="M165" s="10">
        <f t="shared" si="21"/>
        <v>2024</v>
      </c>
      <c r="N165" s="9" t="s">
        <v>2350</v>
      </c>
      <c r="O165" s="9" t="s">
        <v>2350</v>
      </c>
      <c r="P165" s="9" t="s">
        <v>2350</v>
      </c>
      <c r="Q165" s="26" t="str">
        <f t="shared" si="22"/>
        <v/>
      </c>
      <c r="R165" t="s">
        <v>1616</v>
      </c>
      <c r="S165" s="15">
        <v>36124</v>
      </c>
      <c r="U165" t="s">
        <v>1621</v>
      </c>
      <c r="V165" t="s">
        <v>1626</v>
      </c>
      <c r="W165" s="17">
        <v>4.3</v>
      </c>
      <c r="X165" s="10">
        <f t="shared" si="23"/>
        <v>1</v>
      </c>
      <c r="Y165" s="10">
        <f t="shared" si="24"/>
        <v>0</v>
      </c>
      <c r="Z165" s="10">
        <f t="shared" si="25"/>
        <v>0</v>
      </c>
      <c r="AA165">
        <f t="shared" si="18"/>
        <v>0</v>
      </c>
      <c r="AB165">
        <f t="shared" si="26"/>
        <v>0</v>
      </c>
      <c r="AC165">
        <f t="shared" si="19"/>
        <v>0</v>
      </c>
    </row>
    <row r="166" spans="1:29" x14ac:dyDescent="0.35">
      <c r="A166" t="s">
        <v>182</v>
      </c>
      <c r="B166" t="s">
        <v>545</v>
      </c>
      <c r="C166" t="s">
        <v>787</v>
      </c>
      <c r="D166" t="s">
        <v>2061</v>
      </c>
      <c r="E166" t="s">
        <v>2062</v>
      </c>
      <c r="F166" t="s">
        <v>1027</v>
      </c>
      <c r="G166" t="s">
        <v>1030</v>
      </c>
      <c r="H166" t="s">
        <v>1034</v>
      </c>
      <c r="I166" t="s">
        <v>1041</v>
      </c>
      <c r="J166" t="s">
        <v>1742</v>
      </c>
      <c r="K166" s="9">
        <v>45304</v>
      </c>
      <c r="L166" s="20">
        <f t="shared" si="20"/>
        <v>45292</v>
      </c>
      <c r="M166" s="10">
        <f t="shared" si="21"/>
        <v>2024</v>
      </c>
      <c r="N166" s="9">
        <v>45315</v>
      </c>
      <c r="O166" s="9" t="s">
        <v>2350</v>
      </c>
      <c r="P166" s="9" t="s">
        <v>2350</v>
      </c>
      <c r="Q166" s="26" t="str">
        <f t="shared" si="22"/>
        <v/>
      </c>
      <c r="R166" t="s">
        <v>1615</v>
      </c>
      <c r="S166" s="15">
        <v>33339</v>
      </c>
      <c r="U166" t="s">
        <v>1624</v>
      </c>
      <c r="V166" t="s">
        <v>1628</v>
      </c>
      <c r="W166" s="17">
        <v>4.5999999999999996</v>
      </c>
      <c r="X166" s="10">
        <f t="shared" si="23"/>
        <v>1</v>
      </c>
      <c r="Y166" s="10">
        <f t="shared" si="24"/>
        <v>0</v>
      </c>
      <c r="Z166" s="10">
        <f t="shared" si="25"/>
        <v>0</v>
      </c>
      <c r="AA166">
        <f t="shared" si="18"/>
        <v>1</v>
      </c>
      <c r="AB166">
        <f t="shared" si="26"/>
        <v>0</v>
      </c>
      <c r="AC166">
        <f t="shared" si="19"/>
        <v>0</v>
      </c>
    </row>
    <row r="167" spans="1:29" x14ac:dyDescent="0.35">
      <c r="A167" t="s">
        <v>183</v>
      </c>
      <c r="B167" t="s">
        <v>546</v>
      </c>
      <c r="C167" t="s">
        <v>788</v>
      </c>
      <c r="D167" t="s">
        <v>1978</v>
      </c>
      <c r="E167" t="s">
        <v>2063</v>
      </c>
      <c r="F167" t="s">
        <v>1024</v>
      </c>
      <c r="G167" t="s">
        <v>1031</v>
      </c>
      <c r="H167" t="s">
        <v>1036</v>
      </c>
      <c r="I167" t="s">
        <v>1041</v>
      </c>
      <c r="J167" t="s">
        <v>1742</v>
      </c>
      <c r="K167" s="9">
        <v>45653</v>
      </c>
      <c r="L167" s="20">
        <f t="shared" si="20"/>
        <v>45627</v>
      </c>
      <c r="M167" s="10">
        <f t="shared" si="21"/>
        <v>2024</v>
      </c>
      <c r="N167" s="9">
        <v>45674</v>
      </c>
      <c r="O167" s="9">
        <v>45678</v>
      </c>
      <c r="P167" s="9">
        <v>45711</v>
      </c>
      <c r="Q167" s="26">
        <f t="shared" si="22"/>
        <v>58</v>
      </c>
      <c r="R167" t="s">
        <v>1620</v>
      </c>
      <c r="S167" s="15">
        <v>38163</v>
      </c>
      <c r="T167" s="15">
        <v>36462</v>
      </c>
      <c r="U167" t="s">
        <v>1621</v>
      </c>
      <c r="V167" t="s">
        <v>1626</v>
      </c>
      <c r="W167" s="17">
        <v>3.6</v>
      </c>
      <c r="X167" s="10">
        <f t="shared" si="23"/>
        <v>1</v>
      </c>
      <c r="Y167" s="10">
        <f t="shared" si="24"/>
        <v>0</v>
      </c>
      <c r="Z167" s="10">
        <f t="shared" si="25"/>
        <v>0</v>
      </c>
      <c r="AA167">
        <f t="shared" si="18"/>
        <v>1</v>
      </c>
      <c r="AB167">
        <f t="shared" si="26"/>
        <v>0</v>
      </c>
      <c r="AC167">
        <f t="shared" si="19"/>
        <v>1</v>
      </c>
    </row>
    <row r="168" spans="1:29" x14ac:dyDescent="0.35">
      <c r="A168" t="s">
        <v>184</v>
      </c>
      <c r="B168" t="s">
        <v>547</v>
      </c>
      <c r="C168" t="s">
        <v>789</v>
      </c>
      <c r="D168" t="s">
        <v>2064</v>
      </c>
      <c r="E168" t="s">
        <v>2065</v>
      </c>
      <c r="F168" t="s">
        <v>1027</v>
      </c>
      <c r="G168" t="s">
        <v>1029</v>
      </c>
      <c r="H168" t="s">
        <v>1039</v>
      </c>
      <c r="I168" t="s">
        <v>1045</v>
      </c>
      <c r="J168" t="s">
        <v>1742</v>
      </c>
      <c r="K168" s="9">
        <v>45441</v>
      </c>
      <c r="L168" s="20">
        <f t="shared" si="20"/>
        <v>45413</v>
      </c>
      <c r="M168" s="10">
        <f t="shared" si="21"/>
        <v>2024</v>
      </c>
      <c r="N168" s="9" t="s">
        <v>2350</v>
      </c>
      <c r="O168" s="9" t="s">
        <v>2350</v>
      </c>
      <c r="P168" s="9" t="s">
        <v>2350</v>
      </c>
      <c r="Q168" s="26" t="str">
        <f t="shared" si="22"/>
        <v/>
      </c>
      <c r="R168" t="s">
        <v>1619</v>
      </c>
      <c r="S168" s="15">
        <v>47050</v>
      </c>
      <c r="U168" t="s">
        <v>1625</v>
      </c>
      <c r="V168" t="s">
        <v>1626</v>
      </c>
      <c r="W168" s="17">
        <v>4</v>
      </c>
      <c r="X168" s="10">
        <f t="shared" si="23"/>
        <v>1</v>
      </c>
      <c r="Y168" s="10">
        <f t="shared" si="24"/>
        <v>0</v>
      </c>
      <c r="Z168" s="10">
        <f t="shared" si="25"/>
        <v>1</v>
      </c>
      <c r="AA168">
        <f t="shared" si="18"/>
        <v>0</v>
      </c>
      <c r="AB168">
        <f t="shared" si="26"/>
        <v>0</v>
      </c>
      <c r="AC168">
        <f t="shared" si="19"/>
        <v>0</v>
      </c>
    </row>
    <row r="169" spans="1:29" x14ac:dyDescent="0.35">
      <c r="A169" t="s">
        <v>185</v>
      </c>
      <c r="B169" t="s">
        <v>546</v>
      </c>
      <c r="C169" t="s">
        <v>790</v>
      </c>
      <c r="D169" t="s">
        <v>1936</v>
      </c>
      <c r="E169" t="s">
        <v>2066</v>
      </c>
      <c r="F169" t="s">
        <v>1024</v>
      </c>
      <c r="G169" t="s">
        <v>1032</v>
      </c>
      <c r="H169" t="s">
        <v>1039</v>
      </c>
      <c r="I169" t="s">
        <v>1041</v>
      </c>
      <c r="J169" t="s">
        <v>1742</v>
      </c>
      <c r="K169" s="9">
        <v>45347</v>
      </c>
      <c r="L169" s="20">
        <f t="shared" si="20"/>
        <v>45323</v>
      </c>
      <c r="M169" s="10">
        <f t="shared" si="21"/>
        <v>2024</v>
      </c>
      <c r="N169" s="9">
        <v>45366</v>
      </c>
      <c r="O169" s="9">
        <v>45363</v>
      </c>
      <c r="P169" s="9">
        <v>45397</v>
      </c>
      <c r="Q169" s="26">
        <f t="shared" si="22"/>
        <v>50</v>
      </c>
      <c r="R169" t="s">
        <v>1620</v>
      </c>
      <c r="S169" s="15">
        <v>31567</v>
      </c>
      <c r="T169" s="15">
        <v>35288</v>
      </c>
      <c r="U169" t="s">
        <v>1625</v>
      </c>
      <c r="V169" t="s">
        <v>1626</v>
      </c>
      <c r="W169" s="17">
        <v>4.5999999999999996</v>
      </c>
      <c r="X169" s="10">
        <f t="shared" si="23"/>
        <v>1</v>
      </c>
      <c r="Y169" s="10">
        <f t="shared" si="24"/>
        <v>0</v>
      </c>
      <c r="Z169" s="10">
        <f t="shared" si="25"/>
        <v>0</v>
      </c>
      <c r="AA169">
        <f t="shared" si="18"/>
        <v>1</v>
      </c>
      <c r="AB169">
        <f t="shared" si="26"/>
        <v>0</v>
      </c>
      <c r="AC169">
        <f t="shared" si="19"/>
        <v>1</v>
      </c>
    </row>
    <row r="170" spans="1:29" x14ac:dyDescent="0.35">
      <c r="A170" t="s">
        <v>186</v>
      </c>
      <c r="B170" t="s">
        <v>451</v>
      </c>
      <c r="C170" t="s">
        <v>2067</v>
      </c>
      <c r="D170" t="s">
        <v>2068</v>
      </c>
      <c r="E170" t="s">
        <v>1801</v>
      </c>
      <c r="F170" t="s">
        <v>1023</v>
      </c>
      <c r="G170" t="s">
        <v>1029</v>
      </c>
      <c r="H170" t="s">
        <v>1040</v>
      </c>
      <c r="I170" t="s">
        <v>1045</v>
      </c>
      <c r="J170" t="s">
        <v>1049</v>
      </c>
      <c r="K170" s="9">
        <v>45772</v>
      </c>
      <c r="L170" s="20">
        <f t="shared" si="20"/>
        <v>45748</v>
      </c>
      <c r="M170" s="10">
        <f t="shared" si="21"/>
        <v>2025</v>
      </c>
      <c r="N170" s="9" t="s">
        <v>2350</v>
      </c>
      <c r="O170" s="9" t="s">
        <v>2350</v>
      </c>
      <c r="P170" s="9" t="s">
        <v>2350</v>
      </c>
      <c r="Q170" s="26" t="str">
        <f t="shared" si="22"/>
        <v/>
      </c>
      <c r="R170" t="s">
        <v>1616</v>
      </c>
      <c r="S170" s="15">
        <v>43794</v>
      </c>
      <c r="U170" t="s">
        <v>1623</v>
      </c>
      <c r="V170" t="s">
        <v>1626</v>
      </c>
      <c r="W170" s="17">
        <v>2.2000000000000002</v>
      </c>
      <c r="X170" s="10">
        <f t="shared" si="23"/>
        <v>1</v>
      </c>
      <c r="Y170" s="10">
        <f t="shared" si="24"/>
        <v>0</v>
      </c>
      <c r="Z170" s="10">
        <f t="shared" si="25"/>
        <v>0</v>
      </c>
      <c r="AA170">
        <f t="shared" si="18"/>
        <v>0</v>
      </c>
      <c r="AB170">
        <f t="shared" si="26"/>
        <v>0</v>
      </c>
      <c r="AC170">
        <f t="shared" si="19"/>
        <v>0</v>
      </c>
    </row>
    <row r="171" spans="1:29" x14ac:dyDescent="0.35">
      <c r="A171" t="s">
        <v>187</v>
      </c>
      <c r="B171" t="s">
        <v>437</v>
      </c>
      <c r="C171" t="s">
        <v>792</v>
      </c>
      <c r="D171" t="s">
        <v>1918</v>
      </c>
      <c r="E171" t="s">
        <v>1829</v>
      </c>
      <c r="F171" t="s">
        <v>1024</v>
      </c>
      <c r="G171" t="s">
        <v>1032</v>
      </c>
      <c r="H171" t="s">
        <v>1037</v>
      </c>
      <c r="I171" t="s">
        <v>1043</v>
      </c>
      <c r="J171" t="s">
        <v>1742</v>
      </c>
      <c r="K171" s="9">
        <v>45698</v>
      </c>
      <c r="L171" s="20">
        <f t="shared" si="20"/>
        <v>45689</v>
      </c>
      <c r="M171" s="10">
        <f t="shared" si="21"/>
        <v>2025</v>
      </c>
      <c r="N171" s="9">
        <v>45711</v>
      </c>
      <c r="O171" s="9">
        <v>45729</v>
      </c>
      <c r="P171" s="9">
        <v>45726</v>
      </c>
      <c r="Q171" s="26">
        <f t="shared" si="22"/>
        <v>28</v>
      </c>
      <c r="R171" t="s">
        <v>1620</v>
      </c>
      <c r="S171" s="15">
        <v>29132</v>
      </c>
      <c r="T171" s="15">
        <v>31765</v>
      </c>
      <c r="U171" t="s">
        <v>1625</v>
      </c>
      <c r="V171" t="s">
        <v>1628</v>
      </c>
      <c r="W171" s="17">
        <v>2.9</v>
      </c>
      <c r="X171" s="10">
        <f t="shared" si="23"/>
        <v>1</v>
      </c>
      <c r="Y171" s="10">
        <f t="shared" si="24"/>
        <v>0</v>
      </c>
      <c r="Z171" s="10">
        <f t="shared" si="25"/>
        <v>0</v>
      </c>
      <c r="AA171">
        <f t="shared" si="18"/>
        <v>1</v>
      </c>
      <c r="AB171">
        <f t="shared" si="26"/>
        <v>0</v>
      </c>
      <c r="AC171">
        <f t="shared" si="19"/>
        <v>1</v>
      </c>
    </row>
    <row r="172" spans="1:29" x14ac:dyDescent="0.35">
      <c r="A172" t="s">
        <v>188</v>
      </c>
      <c r="B172" t="s">
        <v>548</v>
      </c>
      <c r="C172" t="s">
        <v>2069</v>
      </c>
      <c r="D172" t="s">
        <v>1813</v>
      </c>
      <c r="E172" t="s">
        <v>2070</v>
      </c>
      <c r="F172" t="s">
        <v>1027</v>
      </c>
      <c r="G172" t="s">
        <v>1030</v>
      </c>
      <c r="H172" t="s">
        <v>1034</v>
      </c>
      <c r="I172" t="s">
        <v>1045</v>
      </c>
      <c r="J172" t="s">
        <v>1050</v>
      </c>
      <c r="K172" s="9">
        <v>45397</v>
      </c>
      <c r="L172" s="20">
        <f t="shared" si="20"/>
        <v>45383</v>
      </c>
      <c r="M172" s="10">
        <f t="shared" si="21"/>
        <v>2024</v>
      </c>
      <c r="N172" s="9" t="s">
        <v>2350</v>
      </c>
      <c r="O172" s="9" t="s">
        <v>2350</v>
      </c>
      <c r="P172" s="9" t="s">
        <v>2350</v>
      </c>
      <c r="Q172" s="26" t="str">
        <f t="shared" si="22"/>
        <v/>
      </c>
      <c r="R172" t="s">
        <v>1619</v>
      </c>
      <c r="S172" s="15">
        <v>44185</v>
      </c>
      <c r="U172" t="s">
        <v>1621</v>
      </c>
      <c r="V172" t="s">
        <v>1628</v>
      </c>
      <c r="W172" s="17">
        <v>3.9</v>
      </c>
      <c r="X172" s="10">
        <f t="shared" si="23"/>
        <v>1</v>
      </c>
      <c r="Y172" s="10">
        <f t="shared" si="24"/>
        <v>0</v>
      </c>
      <c r="Z172" s="10">
        <f t="shared" si="25"/>
        <v>1</v>
      </c>
      <c r="AA172">
        <f t="shared" si="18"/>
        <v>0</v>
      </c>
      <c r="AB172">
        <f t="shared" si="26"/>
        <v>0</v>
      </c>
      <c r="AC172">
        <f t="shared" si="19"/>
        <v>0</v>
      </c>
    </row>
    <row r="173" spans="1:29" x14ac:dyDescent="0.35">
      <c r="A173" t="s">
        <v>189</v>
      </c>
      <c r="B173" t="s">
        <v>539</v>
      </c>
      <c r="C173" t="s">
        <v>2071</v>
      </c>
      <c r="D173" t="s">
        <v>1863</v>
      </c>
      <c r="E173" t="s">
        <v>2072</v>
      </c>
      <c r="F173" t="s">
        <v>1023</v>
      </c>
      <c r="G173" t="s">
        <v>1029</v>
      </c>
      <c r="H173" t="s">
        <v>1039</v>
      </c>
      <c r="I173" t="s">
        <v>1043</v>
      </c>
      <c r="J173" t="s">
        <v>1742</v>
      </c>
      <c r="K173" s="9">
        <v>45745</v>
      </c>
      <c r="L173" s="20">
        <f t="shared" si="20"/>
        <v>45717</v>
      </c>
      <c r="M173" s="10">
        <f t="shared" si="21"/>
        <v>2025</v>
      </c>
      <c r="N173" s="9" t="s">
        <v>2350</v>
      </c>
      <c r="O173" s="9" t="s">
        <v>2350</v>
      </c>
      <c r="P173" s="9" t="s">
        <v>2350</v>
      </c>
      <c r="Q173" s="26" t="str">
        <f t="shared" si="22"/>
        <v/>
      </c>
      <c r="R173" t="s">
        <v>1616</v>
      </c>
      <c r="S173" s="15">
        <v>28992</v>
      </c>
      <c r="U173" t="s">
        <v>1621</v>
      </c>
      <c r="V173" t="s">
        <v>1627</v>
      </c>
      <c r="W173" s="17">
        <v>2.7</v>
      </c>
      <c r="X173" s="10">
        <f t="shared" si="23"/>
        <v>1</v>
      </c>
      <c r="Y173" s="10">
        <f t="shared" si="24"/>
        <v>0</v>
      </c>
      <c r="Z173" s="10">
        <f t="shared" si="25"/>
        <v>0</v>
      </c>
      <c r="AA173">
        <f t="shared" si="18"/>
        <v>0</v>
      </c>
      <c r="AB173">
        <f t="shared" si="26"/>
        <v>0</v>
      </c>
      <c r="AC173">
        <f t="shared" si="19"/>
        <v>0</v>
      </c>
    </row>
    <row r="174" spans="1:29" x14ac:dyDescent="0.35">
      <c r="A174" t="s">
        <v>190</v>
      </c>
      <c r="B174" t="s">
        <v>473</v>
      </c>
      <c r="C174" t="s">
        <v>795</v>
      </c>
      <c r="D174" t="s">
        <v>1957</v>
      </c>
      <c r="E174" t="s">
        <v>1926</v>
      </c>
      <c r="F174" t="s">
        <v>1025</v>
      </c>
      <c r="G174" t="s">
        <v>1029</v>
      </c>
      <c r="H174" t="s">
        <v>1741</v>
      </c>
      <c r="I174" t="s">
        <v>1044</v>
      </c>
      <c r="J174" t="s">
        <v>1742</v>
      </c>
      <c r="K174" s="9">
        <v>45703</v>
      </c>
      <c r="L174" s="20">
        <f t="shared" si="20"/>
        <v>45689</v>
      </c>
      <c r="M174" s="10">
        <f t="shared" si="21"/>
        <v>2025</v>
      </c>
      <c r="N174" s="9" t="s">
        <v>2350</v>
      </c>
      <c r="O174" s="9" t="s">
        <v>2350</v>
      </c>
      <c r="P174" s="9" t="s">
        <v>2350</v>
      </c>
      <c r="Q174" s="26" t="str">
        <f t="shared" si="22"/>
        <v/>
      </c>
      <c r="R174" t="s">
        <v>1617</v>
      </c>
      <c r="S174" s="15">
        <v>35818</v>
      </c>
      <c r="U174" t="s">
        <v>1621</v>
      </c>
      <c r="V174" t="s">
        <v>1628</v>
      </c>
      <c r="W174" s="17">
        <v>4.9000000000000004</v>
      </c>
      <c r="X174" s="10">
        <f t="shared" si="23"/>
        <v>1</v>
      </c>
      <c r="Y174" s="10">
        <f t="shared" si="24"/>
        <v>1</v>
      </c>
      <c r="Z174" s="10">
        <f t="shared" si="25"/>
        <v>0</v>
      </c>
      <c r="AA174">
        <f t="shared" si="18"/>
        <v>0</v>
      </c>
      <c r="AB174">
        <f t="shared" si="26"/>
        <v>0</v>
      </c>
      <c r="AC174">
        <f t="shared" si="19"/>
        <v>0</v>
      </c>
    </row>
    <row r="175" spans="1:29" x14ac:dyDescent="0.35">
      <c r="A175" t="s">
        <v>191</v>
      </c>
      <c r="B175" t="s">
        <v>549</v>
      </c>
      <c r="C175" t="s">
        <v>796</v>
      </c>
      <c r="D175" t="s">
        <v>1743</v>
      </c>
      <c r="E175" t="s">
        <v>2073</v>
      </c>
      <c r="F175" t="s">
        <v>1022</v>
      </c>
      <c r="G175" t="s">
        <v>1028</v>
      </c>
      <c r="H175" t="s">
        <v>1039</v>
      </c>
      <c r="I175" t="s">
        <v>1043</v>
      </c>
      <c r="J175" t="s">
        <v>1742</v>
      </c>
      <c r="K175" s="9">
        <v>45791</v>
      </c>
      <c r="L175" s="20">
        <f t="shared" si="20"/>
        <v>45778</v>
      </c>
      <c r="M175" s="10">
        <f t="shared" si="21"/>
        <v>2025</v>
      </c>
      <c r="N175" s="9">
        <v>45807</v>
      </c>
      <c r="O175" s="9">
        <v>45828</v>
      </c>
      <c r="P175" s="9">
        <v>45849</v>
      </c>
      <c r="Q175" s="26">
        <f t="shared" si="22"/>
        <v>58</v>
      </c>
      <c r="R175" t="s">
        <v>1620</v>
      </c>
      <c r="S175" s="15">
        <v>42243</v>
      </c>
      <c r="T175" s="15">
        <v>41164</v>
      </c>
      <c r="U175" t="s">
        <v>1623</v>
      </c>
      <c r="V175" t="s">
        <v>1627</v>
      </c>
      <c r="W175" s="17">
        <v>4</v>
      </c>
      <c r="X175" s="10">
        <f t="shared" si="23"/>
        <v>1</v>
      </c>
      <c r="Y175" s="10">
        <f t="shared" si="24"/>
        <v>0</v>
      </c>
      <c r="Z175" s="10">
        <f t="shared" si="25"/>
        <v>0</v>
      </c>
      <c r="AA175">
        <f t="shared" si="18"/>
        <v>1</v>
      </c>
      <c r="AB175">
        <f t="shared" si="26"/>
        <v>0</v>
      </c>
      <c r="AC175">
        <f t="shared" si="19"/>
        <v>1</v>
      </c>
    </row>
    <row r="176" spans="1:29" x14ac:dyDescent="0.35">
      <c r="A176" t="s">
        <v>192</v>
      </c>
      <c r="B176" t="s">
        <v>550</v>
      </c>
      <c r="C176" t="s">
        <v>2074</v>
      </c>
      <c r="D176" t="s">
        <v>2075</v>
      </c>
      <c r="E176" t="s">
        <v>2076</v>
      </c>
      <c r="F176" t="s">
        <v>1026</v>
      </c>
      <c r="G176" t="s">
        <v>1031</v>
      </c>
      <c r="H176" t="s">
        <v>1037</v>
      </c>
      <c r="I176" t="s">
        <v>1043</v>
      </c>
      <c r="J176" t="s">
        <v>1742</v>
      </c>
      <c r="K176" s="9">
        <v>45427</v>
      </c>
      <c r="L176" s="20">
        <f t="shared" si="20"/>
        <v>45413</v>
      </c>
      <c r="M176" s="10">
        <f t="shared" si="21"/>
        <v>2024</v>
      </c>
      <c r="N176" s="9">
        <v>45452</v>
      </c>
      <c r="O176" s="9" t="s">
        <v>2350</v>
      </c>
      <c r="P176" s="9" t="s">
        <v>2350</v>
      </c>
      <c r="Q176" s="26" t="str">
        <f t="shared" si="22"/>
        <v/>
      </c>
      <c r="R176" t="s">
        <v>1615</v>
      </c>
      <c r="S176" s="15">
        <v>46226</v>
      </c>
      <c r="U176" t="s">
        <v>1625</v>
      </c>
      <c r="V176" t="s">
        <v>1628</v>
      </c>
      <c r="X176" s="10">
        <f t="shared" si="23"/>
        <v>1</v>
      </c>
      <c r="Y176" s="10">
        <f t="shared" si="24"/>
        <v>0</v>
      </c>
      <c r="Z176" s="10">
        <f t="shared" si="25"/>
        <v>0</v>
      </c>
      <c r="AA176">
        <f t="shared" si="18"/>
        <v>1</v>
      </c>
      <c r="AB176">
        <f t="shared" si="26"/>
        <v>0</v>
      </c>
      <c r="AC176">
        <f t="shared" si="19"/>
        <v>0</v>
      </c>
    </row>
    <row r="177" spans="1:29" x14ac:dyDescent="0.35">
      <c r="A177" t="s">
        <v>193</v>
      </c>
      <c r="B177" t="s">
        <v>551</v>
      </c>
      <c r="C177" t="s">
        <v>2077</v>
      </c>
      <c r="D177" t="s">
        <v>2078</v>
      </c>
      <c r="E177" t="s">
        <v>1997</v>
      </c>
      <c r="F177" t="s">
        <v>1024</v>
      </c>
      <c r="G177" t="s">
        <v>1031</v>
      </c>
      <c r="H177" t="s">
        <v>1037</v>
      </c>
      <c r="I177" t="s">
        <v>1045</v>
      </c>
      <c r="J177" t="s">
        <v>1048</v>
      </c>
      <c r="K177" s="9">
        <v>45743</v>
      </c>
      <c r="L177" s="20">
        <f t="shared" si="20"/>
        <v>45717</v>
      </c>
      <c r="M177" s="10">
        <f t="shared" si="21"/>
        <v>2025</v>
      </c>
      <c r="N177" s="9" t="s">
        <v>2350</v>
      </c>
      <c r="O177" s="9" t="s">
        <v>2350</v>
      </c>
      <c r="P177" s="9" t="s">
        <v>2350</v>
      </c>
      <c r="Q177" s="26" t="str">
        <f t="shared" si="22"/>
        <v/>
      </c>
      <c r="R177" t="s">
        <v>1619</v>
      </c>
      <c r="S177" s="15">
        <v>40652</v>
      </c>
      <c r="U177" t="s">
        <v>1624</v>
      </c>
      <c r="V177" t="s">
        <v>1627</v>
      </c>
      <c r="W177" s="17">
        <v>3.1</v>
      </c>
      <c r="X177" s="10">
        <f t="shared" si="23"/>
        <v>1</v>
      </c>
      <c r="Y177" s="10">
        <f t="shared" si="24"/>
        <v>0</v>
      </c>
      <c r="Z177" s="10">
        <f t="shared" si="25"/>
        <v>1</v>
      </c>
      <c r="AA177">
        <f t="shared" si="18"/>
        <v>0</v>
      </c>
      <c r="AB177">
        <f t="shared" si="26"/>
        <v>0</v>
      </c>
      <c r="AC177">
        <f t="shared" si="19"/>
        <v>0</v>
      </c>
    </row>
    <row r="178" spans="1:29" x14ac:dyDescent="0.35">
      <c r="A178" t="s">
        <v>194</v>
      </c>
      <c r="B178" t="s">
        <v>552</v>
      </c>
      <c r="C178" t="s">
        <v>2079</v>
      </c>
      <c r="D178" t="s">
        <v>1944</v>
      </c>
      <c r="E178" t="s">
        <v>2080</v>
      </c>
      <c r="F178" t="s">
        <v>1023</v>
      </c>
      <c r="G178" t="s">
        <v>1032</v>
      </c>
      <c r="H178" t="s">
        <v>1036</v>
      </c>
      <c r="I178" t="s">
        <v>1045</v>
      </c>
      <c r="J178" t="s">
        <v>1050</v>
      </c>
      <c r="K178" s="9">
        <v>45372</v>
      </c>
      <c r="L178" s="20">
        <f t="shared" si="20"/>
        <v>45352</v>
      </c>
      <c r="M178" s="10">
        <f t="shared" si="21"/>
        <v>2024</v>
      </c>
      <c r="N178" s="9" t="s">
        <v>2350</v>
      </c>
      <c r="O178" s="9" t="s">
        <v>2350</v>
      </c>
      <c r="P178" s="9" t="s">
        <v>2350</v>
      </c>
      <c r="Q178" s="26" t="str">
        <f t="shared" si="22"/>
        <v/>
      </c>
      <c r="R178" t="s">
        <v>1616</v>
      </c>
      <c r="S178" s="15">
        <v>38544</v>
      </c>
      <c r="U178" t="s">
        <v>1623</v>
      </c>
      <c r="V178" t="s">
        <v>1627</v>
      </c>
      <c r="W178" s="17">
        <v>4.0999999999999996</v>
      </c>
      <c r="X178" s="10">
        <f t="shared" si="23"/>
        <v>1</v>
      </c>
      <c r="Y178" s="10">
        <f t="shared" si="24"/>
        <v>0</v>
      </c>
      <c r="Z178" s="10">
        <f t="shared" si="25"/>
        <v>0</v>
      </c>
      <c r="AA178">
        <f t="shared" si="18"/>
        <v>0</v>
      </c>
      <c r="AB178">
        <f t="shared" si="26"/>
        <v>0</v>
      </c>
      <c r="AC178">
        <f t="shared" si="19"/>
        <v>0</v>
      </c>
    </row>
    <row r="179" spans="1:29" x14ac:dyDescent="0.35">
      <c r="A179" t="s">
        <v>195</v>
      </c>
      <c r="B179" t="s">
        <v>553</v>
      </c>
      <c r="C179" t="s">
        <v>800</v>
      </c>
      <c r="D179" t="s">
        <v>1978</v>
      </c>
      <c r="E179" t="s">
        <v>2081</v>
      </c>
      <c r="F179" t="s">
        <v>1024</v>
      </c>
      <c r="G179" t="s">
        <v>1032</v>
      </c>
      <c r="H179" t="s">
        <v>1040</v>
      </c>
      <c r="I179" t="s">
        <v>1044</v>
      </c>
      <c r="J179" t="s">
        <v>1742</v>
      </c>
      <c r="K179" s="9">
        <v>45325</v>
      </c>
      <c r="L179" s="20">
        <f t="shared" si="20"/>
        <v>45323</v>
      </c>
      <c r="M179" s="10">
        <f t="shared" si="21"/>
        <v>2024</v>
      </c>
      <c r="N179" s="9" t="s">
        <v>2350</v>
      </c>
      <c r="O179" s="9" t="s">
        <v>2350</v>
      </c>
      <c r="P179" s="9" t="s">
        <v>2350</v>
      </c>
      <c r="Q179" s="26" t="str">
        <f t="shared" si="22"/>
        <v/>
      </c>
      <c r="R179" t="s">
        <v>1616</v>
      </c>
      <c r="S179" s="15">
        <v>34444</v>
      </c>
      <c r="U179" t="s">
        <v>1623</v>
      </c>
      <c r="V179" t="s">
        <v>1626</v>
      </c>
      <c r="X179" s="10">
        <f t="shared" si="23"/>
        <v>1</v>
      </c>
      <c r="Y179" s="10">
        <f t="shared" si="24"/>
        <v>0</v>
      </c>
      <c r="Z179" s="10">
        <f t="shared" si="25"/>
        <v>0</v>
      </c>
      <c r="AA179">
        <f t="shared" si="18"/>
        <v>0</v>
      </c>
      <c r="AB179">
        <f t="shared" si="26"/>
        <v>0</v>
      </c>
      <c r="AC179">
        <f t="shared" si="19"/>
        <v>0</v>
      </c>
    </row>
    <row r="180" spans="1:29" x14ac:dyDescent="0.35">
      <c r="A180" t="s">
        <v>196</v>
      </c>
      <c r="B180" t="s">
        <v>420</v>
      </c>
      <c r="C180" t="s">
        <v>801</v>
      </c>
      <c r="D180" t="s">
        <v>2082</v>
      </c>
      <c r="E180" t="s">
        <v>1940</v>
      </c>
      <c r="F180" t="s">
        <v>1026</v>
      </c>
      <c r="G180" t="s">
        <v>1031</v>
      </c>
      <c r="H180" t="s">
        <v>1035</v>
      </c>
      <c r="I180" t="s">
        <v>1042</v>
      </c>
      <c r="J180" t="s">
        <v>1050</v>
      </c>
      <c r="K180" s="9">
        <v>45735</v>
      </c>
      <c r="L180" s="20">
        <f t="shared" si="20"/>
        <v>45717</v>
      </c>
      <c r="M180" s="10">
        <f t="shared" si="21"/>
        <v>2025</v>
      </c>
      <c r="N180" s="9" t="s">
        <v>2350</v>
      </c>
      <c r="O180" s="9" t="s">
        <v>2350</v>
      </c>
      <c r="P180" s="9" t="s">
        <v>2350</v>
      </c>
      <c r="Q180" s="26" t="str">
        <f t="shared" si="22"/>
        <v/>
      </c>
      <c r="R180" t="s">
        <v>1619</v>
      </c>
      <c r="S180" s="15">
        <v>38734</v>
      </c>
      <c r="U180" t="s">
        <v>1624</v>
      </c>
      <c r="V180" t="s">
        <v>1628</v>
      </c>
      <c r="X180" s="10">
        <f t="shared" si="23"/>
        <v>1</v>
      </c>
      <c r="Y180" s="10">
        <f t="shared" si="24"/>
        <v>0</v>
      </c>
      <c r="Z180" s="10">
        <f t="shared" si="25"/>
        <v>1</v>
      </c>
      <c r="AA180">
        <f t="shared" si="18"/>
        <v>0</v>
      </c>
      <c r="AB180">
        <f t="shared" si="26"/>
        <v>0</v>
      </c>
      <c r="AC180">
        <f t="shared" si="19"/>
        <v>0</v>
      </c>
    </row>
    <row r="181" spans="1:29" x14ac:dyDescent="0.35">
      <c r="A181" t="s">
        <v>197</v>
      </c>
      <c r="B181" t="s">
        <v>554</v>
      </c>
      <c r="C181" t="s">
        <v>2083</v>
      </c>
      <c r="D181" t="s">
        <v>2084</v>
      </c>
      <c r="E181" t="s">
        <v>1779</v>
      </c>
      <c r="F181" t="s">
        <v>1025</v>
      </c>
      <c r="G181" t="s">
        <v>1031</v>
      </c>
      <c r="H181" t="s">
        <v>1037</v>
      </c>
      <c r="I181" t="s">
        <v>1044</v>
      </c>
      <c r="J181" t="s">
        <v>1050</v>
      </c>
      <c r="K181" s="9">
        <v>45605</v>
      </c>
      <c r="L181" s="20">
        <f t="shared" si="20"/>
        <v>45597</v>
      </c>
      <c r="M181" s="10">
        <f t="shared" si="21"/>
        <v>2024</v>
      </c>
      <c r="N181" s="9">
        <v>45612</v>
      </c>
      <c r="O181" s="9" t="s">
        <v>2350</v>
      </c>
      <c r="P181" s="9" t="s">
        <v>2350</v>
      </c>
      <c r="Q181" s="26" t="str">
        <f t="shared" si="22"/>
        <v/>
      </c>
      <c r="R181" t="s">
        <v>1615</v>
      </c>
      <c r="S181" s="15">
        <v>42623</v>
      </c>
      <c r="U181" t="s">
        <v>1621</v>
      </c>
      <c r="V181" t="s">
        <v>1627</v>
      </c>
      <c r="W181" s="17">
        <v>2.2999999999999998</v>
      </c>
      <c r="X181" s="10">
        <f t="shared" si="23"/>
        <v>1</v>
      </c>
      <c r="Y181" s="10">
        <f t="shared" si="24"/>
        <v>0</v>
      </c>
      <c r="Z181" s="10">
        <f t="shared" si="25"/>
        <v>0</v>
      </c>
      <c r="AA181">
        <f t="shared" si="18"/>
        <v>1</v>
      </c>
      <c r="AB181">
        <f t="shared" si="26"/>
        <v>0</v>
      </c>
      <c r="AC181">
        <f t="shared" si="19"/>
        <v>0</v>
      </c>
    </row>
    <row r="182" spans="1:29" x14ac:dyDescent="0.35">
      <c r="A182" t="s">
        <v>198</v>
      </c>
      <c r="B182" t="s">
        <v>459</v>
      </c>
      <c r="C182" t="s">
        <v>803</v>
      </c>
      <c r="D182" t="s">
        <v>2085</v>
      </c>
      <c r="E182" t="s">
        <v>2086</v>
      </c>
      <c r="F182" t="s">
        <v>1023</v>
      </c>
      <c r="G182" t="s">
        <v>1032</v>
      </c>
      <c r="H182" t="s">
        <v>1034</v>
      </c>
      <c r="I182" t="s">
        <v>1041</v>
      </c>
      <c r="J182" t="s">
        <v>1049</v>
      </c>
      <c r="K182" s="9">
        <v>45521</v>
      </c>
      <c r="L182" s="20">
        <f t="shared" si="20"/>
        <v>45505</v>
      </c>
      <c r="M182" s="10">
        <f t="shared" si="21"/>
        <v>2024</v>
      </c>
      <c r="N182" s="9">
        <v>45531</v>
      </c>
      <c r="O182" s="9">
        <v>45556</v>
      </c>
      <c r="P182" s="9" t="s">
        <v>2350</v>
      </c>
      <c r="Q182" s="26" t="str">
        <f t="shared" si="22"/>
        <v/>
      </c>
      <c r="R182" t="s">
        <v>1618</v>
      </c>
      <c r="S182" s="15">
        <v>43195</v>
      </c>
      <c r="T182" s="15">
        <v>41847</v>
      </c>
      <c r="U182" t="s">
        <v>1625</v>
      </c>
      <c r="V182" t="s">
        <v>1627</v>
      </c>
      <c r="W182" s="17">
        <v>2.2999999999999998</v>
      </c>
      <c r="X182" s="10">
        <f t="shared" si="23"/>
        <v>1</v>
      </c>
      <c r="Y182" s="10">
        <f t="shared" si="24"/>
        <v>0</v>
      </c>
      <c r="Z182" s="10">
        <f t="shared" si="25"/>
        <v>0</v>
      </c>
      <c r="AA182">
        <f t="shared" si="18"/>
        <v>1</v>
      </c>
      <c r="AB182">
        <f t="shared" si="26"/>
        <v>1</v>
      </c>
      <c r="AC182">
        <f t="shared" si="19"/>
        <v>0</v>
      </c>
    </row>
    <row r="183" spans="1:29" x14ac:dyDescent="0.35">
      <c r="A183" t="s">
        <v>199</v>
      </c>
      <c r="B183" t="s">
        <v>555</v>
      </c>
      <c r="C183" t="s">
        <v>804</v>
      </c>
      <c r="D183" t="s">
        <v>2087</v>
      </c>
      <c r="E183" t="s">
        <v>1984</v>
      </c>
      <c r="F183" t="s">
        <v>1024</v>
      </c>
      <c r="G183" t="s">
        <v>1028</v>
      </c>
      <c r="H183" t="s">
        <v>1037</v>
      </c>
      <c r="I183" t="s">
        <v>1044</v>
      </c>
      <c r="J183" t="s">
        <v>1742</v>
      </c>
      <c r="K183" s="9">
        <v>45732</v>
      </c>
      <c r="L183" s="20">
        <f t="shared" si="20"/>
        <v>45717</v>
      </c>
      <c r="M183" s="10">
        <f t="shared" si="21"/>
        <v>2025</v>
      </c>
      <c r="N183" s="9">
        <v>45759</v>
      </c>
      <c r="O183" s="9">
        <v>45761</v>
      </c>
      <c r="P183" s="9">
        <v>45785</v>
      </c>
      <c r="Q183" s="26">
        <f t="shared" si="22"/>
        <v>53</v>
      </c>
      <c r="R183" t="s">
        <v>1620</v>
      </c>
      <c r="S183" s="15">
        <v>42752</v>
      </c>
      <c r="T183" s="15">
        <v>42199</v>
      </c>
      <c r="U183" t="s">
        <v>1625</v>
      </c>
      <c r="V183" t="s">
        <v>1627</v>
      </c>
      <c r="W183" s="17">
        <v>2.5</v>
      </c>
      <c r="X183" s="10">
        <f t="shared" si="23"/>
        <v>1</v>
      </c>
      <c r="Y183" s="10">
        <f t="shared" si="24"/>
        <v>0</v>
      </c>
      <c r="Z183" s="10">
        <f t="shared" si="25"/>
        <v>0</v>
      </c>
      <c r="AA183">
        <f t="shared" si="18"/>
        <v>1</v>
      </c>
      <c r="AB183">
        <f t="shared" si="26"/>
        <v>0</v>
      </c>
      <c r="AC183">
        <f t="shared" si="19"/>
        <v>1</v>
      </c>
    </row>
    <row r="184" spans="1:29" x14ac:dyDescent="0.35">
      <c r="A184" t="s">
        <v>200</v>
      </c>
      <c r="B184" t="s">
        <v>556</v>
      </c>
      <c r="C184" t="s">
        <v>2088</v>
      </c>
      <c r="D184" t="s">
        <v>1996</v>
      </c>
      <c r="E184" t="s">
        <v>2089</v>
      </c>
      <c r="F184" t="s">
        <v>1025</v>
      </c>
      <c r="G184" t="s">
        <v>1031</v>
      </c>
      <c r="H184" t="s">
        <v>1035</v>
      </c>
      <c r="I184" t="s">
        <v>1042</v>
      </c>
      <c r="J184" t="s">
        <v>1742</v>
      </c>
      <c r="K184" s="9">
        <v>45692</v>
      </c>
      <c r="L184" s="20">
        <f t="shared" si="20"/>
        <v>45689</v>
      </c>
      <c r="M184" s="10">
        <f t="shared" si="21"/>
        <v>2025</v>
      </c>
      <c r="N184" s="9">
        <v>45710</v>
      </c>
      <c r="O184" s="9" t="s">
        <v>2350</v>
      </c>
      <c r="P184" s="9" t="s">
        <v>2350</v>
      </c>
      <c r="Q184" s="26" t="str">
        <f t="shared" si="22"/>
        <v/>
      </c>
      <c r="R184" t="s">
        <v>1615</v>
      </c>
      <c r="S184" s="15">
        <v>47790</v>
      </c>
      <c r="U184" t="s">
        <v>1624</v>
      </c>
      <c r="V184" t="s">
        <v>1628</v>
      </c>
      <c r="W184" s="17">
        <v>3.3</v>
      </c>
      <c r="X184" s="10">
        <f t="shared" si="23"/>
        <v>1</v>
      </c>
      <c r="Y184" s="10">
        <f t="shared" si="24"/>
        <v>0</v>
      </c>
      <c r="Z184" s="10">
        <f t="shared" si="25"/>
        <v>0</v>
      </c>
      <c r="AA184">
        <f t="shared" si="18"/>
        <v>1</v>
      </c>
      <c r="AB184">
        <f t="shared" si="26"/>
        <v>0</v>
      </c>
      <c r="AC184">
        <f t="shared" si="19"/>
        <v>0</v>
      </c>
    </row>
    <row r="185" spans="1:29" x14ac:dyDescent="0.35">
      <c r="A185" t="s">
        <v>201</v>
      </c>
      <c r="B185" t="s">
        <v>557</v>
      </c>
      <c r="C185" t="s">
        <v>806</v>
      </c>
      <c r="D185" t="s">
        <v>2090</v>
      </c>
      <c r="E185" t="s">
        <v>2091</v>
      </c>
      <c r="F185" t="s">
        <v>1022</v>
      </c>
      <c r="G185" t="s">
        <v>1030</v>
      </c>
      <c r="H185" t="s">
        <v>1034</v>
      </c>
      <c r="I185" t="s">
        <v>1045</v>
      </c>
      <c r="J185" t="s">
        <v>1742</v>
      </c>
      <c r="K185" s="9">
        <v>45665</v>
      </c>
      <c r="L185" s="20">
        <f t="shared" si="20"/>
        <v>45658</v>
      </c>
      <c r="M185" s="10">
        <f t="shared" si="21"/>
        <v>2025</v>
      </c>
      <c r="N185" s="9">
        <v>45685</v>
      </c>
      <c r="O185" s="9">
        <v>45686</v>
      </c>
      <c r="P185" s="9" t="s">
        <v>2350</v>
      </c>
      <c r="Q185" s="26" t="str">
        <f t="shared" si="22"/>
        <v/>
      </c>
      <c r="R185" t="s">
        <v>1618</v>
      </c>
      <c r="S185" s="15">
        <v>44669</v>
      </c>
      <c r="T185" s="15">
        <v>43129</v>
      </c>
      <c r="U185" t="s">
        <v>1622</v>
      </c>
      <c r="V185" t="s">
        <v>1626</v>
      </c>
      <c r="X185" s="10">
        <f t="shared" si="23"/>
        <v>1</v>
      </c>
      <c r="Y185" s="10">
        <f t="shared" si="24"/>
        <v>0</v>
      </c>
      <c r="Z185" s="10">
        <f t="shared" si="25"/>
        <v>0</v>
      </c>
      <c r="AA185">
        <f t="shared" si="18"/>
        <v>1</v>
      </c>
      <c r="AB185">
        <f t="shared" si="26"/>
        <v>1</v>
      </c>
      <c r="AC185">
        <f t="shared" si="19"/>
        <v>0</v>
      </c>
    </row>
    <row r="186" spans="1:29" x14ac:dyDescent="0.35">
      <c r="A186" t="s">
        <v>202</v>
      </c>
      <c r="B186" t="s">
        <v>558</v>
      </c>
      <c r="C186" t="s">
        <v>2092</v>
      </c>
      <c r="D186" t="s">
        <v>2093</v>
      </c>
      <c r="E186" t="s">
        <v>1999</v>
      </c>
      <c r="F186" t="s">
        <v>1022</v>
      </c>
      <c r="G186" t="s">
        <v>1032</v>
      </c>
      <c r="H186" t="s">
        <v>1037</v>
      </c>
      <c r="I186" t="s">
        <v>1041</v>
      </c>
      <c r="J186" t="s">
        <v>1050</v>
      </c>
      <c r="K186" s="9">
        <v>45497</v>
      </c>
      <c r="L186" s="20">
        <f t="shared" si="20"/>
        <v>45474</v>
      </c>
      <c r="M186" s="10">
        <f t="shared" si="21"/>
        <v>2024</v>
      </c>
      <c r="N186" s="9">
        <v>45523</v>
      </c>
      <c r="O186" s="9">
        <v>45532</v>
      </c>
      <c r="P186" s="9">
        <v>45561</v>
      </c>
      <c r="Q186" s="26">
        <f t="shared" si="22"/>
        <v>64</v>
      </c>
      <c r="R186" t="s">
        <v>1620</v>
      </c>
      <c r="S186" s="15">
        <v>37661</v>
      </c>
      <c r="T186" s="15">
        <v>36961</v>
      </c>
      <c r="U186" t="s">
        <v>1625</v>
      </c>
      <c r="V186" t="s">
        <v>1626</v>
      </c>
      <c r="W186" s="17">
        <v>4.7</v>
      </c>
      <c r="X186" s="10">
        <f t="shared" si="23"/>
        <v>1</v>
      </c>
      <c r="Y186" s="10">
        <f t="shared" si="24"/>
        <v>0</v>
      </c>
      <c r="Z186" s="10">
        <f t="shared" si="25"/>
        <v>0</v>
      </c>
      <c r="AA186">
        <f t="shared" si="18"/>
        <v>1</v>
      </c>
      <c r="AB186">
        <f t="shared" si="26"/>
        <v>0</v>
      </c>
      <c r="AC186">
        <f t="shared" si="19"/>
        <v>1</v>
      </c>
    </row>
    <row r="187" spans="1:29" x14ac:dyDescent="0.35">
      <c r="A187" t="s">
        <v>203</v>
      </c>
      <c r="B187" t="s">
        <v>507</v>
      </c>
      <c r="C187" t="s">
        <v>808</v>
      </c>
      <c r="D187" t="s">
        <v>1793</v>
      </c>
      <c r="E187" t="s">
        <v>1823</v>
      </c>
      <c r="F187" t="s">
        <v>1026</v>
      </c>
      <c r="G187" t="s">
        <v>1030</v>
      </c>
      <c r="H187" t="s">
        <v>1741</v>
      </c>
      <c r="I187" t="s">
        <v>1045</v>
      </c>
      <c r="J187" t="s">
        <v>1049</v>
      </c>
      <c r="K187" s="9">
        <v>45345</v>
      </c>
      <c r="L187" s="20">
        <f t="shared" si="20"/>
        <v>45323</v>
      </c>
      <c r="M187" s="10">
        <f t="shared" si="21"/>
        <v>2024</v>
      </c>
      <c r="N187" s="9" t="s">
        <v>2350</v>
      </c>
      <c r="O187" s="9" t="s">
        <v>2350</v>
      </c>
      <c r="P187" s="9" t="s">
        <v>2350</v>
      </c>
      <c r="Q187" s="26" t="str">
        <f t="shared" si="22"/>
        <v/>
      </c>
      <c r="R187" t="s">
        <v>1617</v>
      </c>
      <c r="S187" s="15">
        <v>40813</v>
      </c>
      <c r="U187" t="s">
        <v>1625</v>
      </c>
      <c r="V187" t="s">
        <v>1628</v>
      </c>
      <c r="W187" s="17">
        <v>2.4</v>
      </c>
      <c r="X187" s="10">
        <f t="shared" si="23"/>
        <v>1</v>
      </c>
      <c r="Y187" s="10">
        <f t="shared" si="24"/>
        <v>1</v>
      </c>
      <c r="Z187" s="10">
        <f t="shared" si="25"/>
        <v>0</v>
      </c>
      <c r="AA187">
        <f t="shared" si="18"/>
        <v>0</v>
      </c>
      <c r="AB187">
        <f t="shared" si="26"/>
        <v>0</v>
      </c>
      <c r="AC187">
        <f t="shared" si="19"/>
        <v>0</v>
      </c>
    </row>
    <row r="188" spans="1:29" x14ac:dyDescent="0.35">
      <c r="A188" t="s">
        <v>204</v>
      </c>
      <c r="B188" t="s">
        <v>509</v>
      </c>
      <c r="C188" t="s">
        <v>809</v>
      </c>
      <c r="D188" t="s">
        <v>2094</v>
      </c>
      <c r="E188" t="s">
        <v>1948</v>
      </c>
      <c r="F188" t="s">
        <v>1022</v>
      </c>
      <c r="G188" t="s">
        <v>1028</v>
      </c>
      <c r="H188" t="s">
        <v>1034</v>
      </c>
      <c r="I188" t="s">
        <v>1042</v>
      </c>
      <c r="J188" t="s">
        <v>1742</v>
      </c>
      <c r="K188" s="9">
        <v>45361</v>
      </c>
      <c r="L188" s="20">
        <f t="shared" si="20"/>
        <v>45352</v>
      </c>
      <c r="M188" s="10">
        <f t="shared" si="21"/>
        <v>2024</v>
      </c>
      <c r="N188" s="9" t="s">
        <v>2350</v>
      </c>
      <c r="O188" s="9" t="s">
        <v>2350</v>
      </c>
      <c r="P188" s="9" t="s">
        <v>2350</v>
      </c>
      <c r="Q188" s="26" t="str">
        <f t="shared" si="22"/>
        <v/>
      </c>
      <c r="R188" t="s">
        <v>1619</v>
      </c>
      <c r="S188" s="15">
        <v>36587</v>
      </c>
      <c r="U188" t="s">
        <v>1621</v>
      </c>
      <c r="V188" t="s">
        <v>1628</v>
      </c>
      <c r="W188" s="17">
        <v>4</v>
      </c>
      <c r="X188" s="10">
        <f t="shared" si="23"/>
        <v>1</v>
      </c>
      <c r="Y188" s="10">
        <f t="shared" si="24"/>
        <v>0</v>
      </c>
      <c r="Z188" s="10">
        <f t="shared" si="25"/>
        <v>1</v>
      </c>
      <c r="AA188">
        <f t="shared" si="18"/>
        <v>0</v>
      </c>
      <c r="AB188">
        <f t="shared" si="26"/>
        <v>0</v>
      </c>
      <c r="AC188">
        <f t="shared" si="19"/>
        <v>0</v>
      </c>
    </row>
    <row r="189" spans="1:29" x14ac:dyDescent="0.35">
      <c r="A189" t="s">
        <v>205</v>
      </c>
      <c r="B189" t="s">
        <v>452</v>
      </c>
      <c r="C189" t="s">
        <v>810</v>
      </c>
      <c r="D189" t="s">
        <v>1889</v>
      </c>
      <c r="E189" t="s">
        <v>1852</v>
      </c>
      <c r="F189" t="s">
        <v>1026</v>
      </c>
      <c r="G189" t="s">
        <v>1030</v>
      </c>
      <c r="H189" t="s">
        <v>1039</v>
      </c>
      <c r="I189" t="s">
        <v>1041</v>
      </c>
      <c r="J189" t="s">
        <v>1742</v>
      </c>
      <c r="K189" s="9">
        <v>45631</v>
      </c>
      <c r="L189" s="20">
        <f t="shared" si="20"/>
        <v>45627</v>
      </c>
      <c r="M189" s="10">
        <f t="shared" si="21"/>
        <v>2024</v>
      </c>
      <c r="N189" s="9">
        <v>45647</v>
      </c>
      <c r="O189" s="9">
        <v>45655</v>
      </c>
      <c r="P189" s="9">
        <v>45682</v>
      </c>
      <c r="Q189" s="26">
        <f t="shared" si="22"/>
        <v>51</v>
      </c>
      <c r="R189" t="s">
        <v>1620</v>
      </c>
      <c r="S189" s="15">
        <v>31681</v>
      </c>
      <c r="T189" s="15">
        <v>33118</v>
      </c>
      <c r="U189" t="s">
        <v>1624</v>
      </c>
      <c r="V189" t="s">
        <v>1626</v>
      </c>
      <c r="W189" s="17">
        <v>4</v>
      </c>
      <c r="X189" s="10">
        <f t="shared" si="23"/>
        <v>1</v>
      </c>
      <c r="Y189" s="10">
        <f t="shared" si="24"/>
        <v>0</v>
      </c>
      <c r="Z189" s="10">
        <f t="shared" si="25"/>
        <v>0</v>
      </c>
      <c r="AA189">
        <f t="shared" si="18"/>
        <v>1</v>
      </c>
      <c r="AB189">
        <f t="shared" si="26"/>
        <v>0</v>
      </c>
      <c r="AC189">
        <f t="shared" si="19"/>
        <v>1</v>
      </c>
    </row>
    <row r="190" spans="1:29" x14ac:dyDescent="0.35">
      <c r="A190" t="s">
        <v>206</v>
      </c>
      <c r="B190" t="s">
        <v>537</v>
      </c>
      <c r="C190" t="s">
        <v>811</v>
      </c>
      <c r="D190" t="s">
        <v>2095</v>
      </c>
      <c r="E190" t="s">
        <v>2096</v>
      </c>
      <c r="F190" t="s">
        <v>1024</v>
      </c>
      <c r="G190" t="s">
        <v>1030</v>
      </c>
      <c r="H190" t="s">
        <v>1037</v>
      </c>
      <c r="I190" t="s">
        <v>1044</v>
      </c>
      <c r="J190" t="s">
        <v>1051</v>
      </c>
      <c r="K190" s="9">
        <v>45459</v>
      </c>
      <c r="L190" s="20">
        <f t="shared" si="20"/>
        <v>45444</v>
      </c>
      <c r="M190" s="10">
        <f t="shared" si="21"/>
        <v>2024</v>
      </c>
      <c r="N190" s="9">
        <v>45469</v>
      </c>
      <c r="O190" s="9" t="s">
        <v>2350</v>
      </c>
      <c r="P190" s="9" t="s">
        <v>2350</v>
      </c>
      <c r="Q190" s="26" t="str">
        <f t="shared" si="22"/>
        <v/>
      </c>
      <c r="R190" t="s">
        <v>1615</v>
      </c>
      <c r="S190" s="15">
        <v>42920</v>
      </c>
      <c r="U190" t="s">
        <v>1621</v>
      </c>
      <c r="V190" t="s">
        <v>1627</v>
      </c>
      <c r="W190" s="17">
        <v>3.7</v>
      </c>
      <c r="X190" s="10">
        <f t="shared" si="23"/>
        <v>1</v>
      </c>
      <c r="Y190" s="10">
        <f t="shared" si="24"/>
        <v>0</v>
      </c>
      <c r="Z190" s="10">
        <f t="shared" si="25"/>
        <v>0</v>
      </c>
      <c r="AA190">
        <f t="shared" si="18"/>
        <v>1</v>
      </c>
      <c r="AB190">
        <f t="shared" si="26"/>
        <v>0</v>
      </c>
      <c r="AC190">
        <f t="shared" si="19"/>
        <v>0</v>
      </c>
    </row>
    <row r="191" spans="1:29" x14ac:dyDescent="0.35">
      <c r="A191" t="s">
        <v>207</v>
      </c>
      <c r="B191" t="s">
        <v>515</v>
      </c>
      <c r="C191" t="s">
        <v>812</v>
      </c>
      <c r="D191" t="s">
        <v>2097</v>
      </c>
      <c r="E191" t="s">
        <v>2098</v>
      </c>
      <c r="F191" t="s">
        <v>1023</v>
      </c>
      <c r="G191" t="s">
        <v>1029</v>
      </c>
      <c r="H191" t="s">
        <v>1040</v>
      </c>
      <c r="I191" t="s">
        <v>1045</v>
      </c>
      <c r="J191" t="s">
        <v>1049</v>
      </c>
      <c r="K191" s="9">
        <v>45770</v>
      </c>
      <c r="L191" s="20">
        <f t="shared" si="20"/>
        <v>45748</v>
      </c>
      <c r="M191" s="10">
        <f t="shared" si="21"/>
        <v>2025</v>
      </c>
      <c r="N191" s="9">
        <v>45796</v>
      </c>
      <c r="O191" s="9">
        <v>45796</v>
      </c>
      <c r="P191" s="9">
        <v>45833</v>
      </c>
      <c r="Q191" s="26">
        <f t="shared" si="22"/>
        <v>63</v>
      </c>
      <c r="R191" t="s">
        <v>1620</v>
      </c>
      <c r="S191" s="15">
        <v>46556</v>
      </c>
      <c r="T191" s="15">
        <v>45086</v>
      </c>
      <c r="U191" t="s">
        <v>1624</v>
      </c>
      <c r="V191" t="s">
        <v>1627</v>
      </c>
      <c r="W191" s="17">
        <v>3.1</v>
      </c>
      <c r="X191" s="10">
        <f t="shared" si="23"/>
        <v>1</v>
      </c>
      <c r="Y191" s="10">
        <f t="shared" si="24"/>
        <v>0</v>
      </c>
      <c r="Z191" s="10">
        <f t="shared" si="25"/>
        <v>0</v>
      </c>
      <c r="AA191">
        <f t="shared" si="18"/>
        <v>1</v>
      </c>
      <c r="AB191">
        <f t="shared" si="26"/>
        <v>0</v>
      </c>
      <c r="AC191">
        <f t="shared" si="19"/>
        <v>1</v>
      </c>
    </row>
    <row r="192" spans="1:29" x14ac:dyDescent="0.35">
      <c r="A192" t="s">
        <v>208</v>
      </c>
      <c r="B192" t="s">
        <v>559</v>
      </c>
      <c r="C192" t="s">
        <v>813</v>
      </c>
      <c r="D192" t="s">
        <v>2099</v>
      </c>
      <c r="E192" t="s">
        <v>1802</v>
      </c>
      <c r="F192" t="s">
        <v>1025</v>
      </c>
      <c r="G192" t="s">
        <v>1032</v>
      </c>
      <c r="H192" t="s">
        <v>1741</v>
      </c>
      <c r="I192" t="s">
        <v>1043</v>
      </c>
      <c r="J192" t="s">
        <v>1049</v>
      </c>
      <c r="K192" s="9">
        <v>45403</v>
      </c>
      <c r="L192" s="20">
        <f t="shared" si="20"/>
        <v>45383</v>
      </c>
      <c r="M192" s="10">
        <f t="shared" si="21"/>
        <v>2024</v>
      </c>
      <c r="N192" s="9" t="s">
        <v>2350</v>
      </c>
      <c r="O192" s="9" t="s">
        <v>2350</v>
      </c>
      <c r="P192" s="9" t="s">
        <v>2350</v>
      </c>
      <c r="Q192" s="26" t="str">
        <f t="shared" si="22"/>
        <v/>
      </c>
      <c r="R192" t="s">
        <v>1616</v>
      </c>
      <c r="S192" s="15">
        <v>41416</v>
      </c>
      <c r="U192" t="s">
        <v>1625</v>
      </c>
      <c r="V192" t="s">
        <v>1626</v>
      </c>
      <c r="W192" s="17">
        <v>3.6</v>
      </c>
      <c r="X192" s="10">
        <f t="shared" si="23"/>
        <v>1</v>
      </c>
      <c r="Y192" s="10">
        <f t="shared" si="24"/>
        <v>0</v>
      </c>
      <c r="Z192" s="10">
        <f t="shared" si="25"/>
        <v>0</v>
      </c>
      <c r="AA192">
        <f t="shared" si="18"/>
        <v>0</v>
      </c>
      <c r="AB192">
        <f t="shared" si="26"/>
        <v>0</v>
      </c>
      <c r="AC192">
        <f t="shared" si="19"/>
        <v>0</v>
      </c>
    </row>
    <row r="193" spans="1:29" x14ac:dyDescent="0.35">
      <c r="A193" t="s">
        <v>209</v>
      </c>
      <c r="B193" t="s">
        <v>468</v>
      </c>
      <c r="C193" t="s">
        <v>814</v>
      </c>
      <c r="D193" t="s">
        <v>1920</v>
      </c>
      <c r="E193" t="s">
        <v>1829</v>
      </c>
      <c r="F193" t="s">
        <v>1022</v>
      </c>
      <c r="G193" t="s">
        <v>1032</v>
      </c>
      <c r="H193" t="s">
        <v>1037</v>
      </c>
      <c r="I193" t="s">
        <v>1044</v>
      </c>
      <c r="J193" t="s">
        <v>1048</v>
      </c>
      <c r="K193" s="9">
        <v>45610</v>
      </c>
      <c r="L193" s="20">
        <f t="shared" si="20"/>
        <v>45597</v>
      </c>
      <c r="M193" s="10">
        <f t="shared" si="21"/>
        <v>2024</v>
      </c>
      <c r="N193" s="9" t="s">
        <v>2350</v>
      </c>
      <c r="O193" s="9" t="s">
        <v>2350</v>
      </c>
      <c r="P193" s="9" t="s">
        <v>2350</v>
      </c>
      <c r="Q193" s="26" t="str">
        <f t="shared" si="22"/>
        <v/>
      </c>
      <c r="R193" t="s">
        <v>1616</v>
      </c>
      <c r="S193" s="15">
        <v>31453</v>
      </c>
      <c r="U193" t="s">
        <v>1621</v>
      </c>
      <c r="V193" t="s">
        <v>1627</v>
      </c>
      <c r="W193" s="17">
        <v>2.5</v>
      </c>
      <c r="X193" s="10">
        <f t="shared" si="23"/>
        <v>1</v>
      </c>
      <c r="Y193" s="10">
        <f t="shared" si="24"/>
        <v>0</v>
      </c>
      <c r="Z193" s="10">
        <f t="shared" si="25"/>
        <v>0</v>
      </c>
      <c r="AA193">
        <f t="shared" si="18"/>
        <v>0</v>
      </c>
      <c r="AB193">
        <f t="shared" si="26"/>
        <v>0</v>
      </c>
      <c r="AC193">
        <f t="shared" si="19"/>
        <v>0</v>
      </c>
    </row>
    <row r="194" spans="1:29" x14ac:dyDescent="0.35">
      <c r="A194" t="s">
        <v>210</v>
      </c>
      <c r="B194" t="s">
        <v>560</v>
      </c>
      <c r="C194" t="s">
        <v>2100</v>
      </c>
      <c r="D194" t="s">
        <v>2101</v>
      </c>
      <c r="E194" t="s">
        <v>1881</v>
      </c>
      <c r="F194" t="s">
        <v>1022</v>
      </c>
      <c r="G194" t="s">
        <v>1028</v>
      </c>
      <c r="H194" t="s">
        <v>1036</v>
      </c>
      <c r="I194" t="s">
        <v>1042</v>
      </c>
      <c r="J194" t="s">
        <v>1050</v>
      </c>
      <c r="K194" s="9">
        <v>45591</v>
      </c>
      <c r="L194" s="20">
        <f t="shared" si="20"/>
        <v>45566</v>
      </c>
      <c r="M194" s="10">
        <f t="shared" si="21"/>
        <v>2024</v>
      </c>
      <c r="N194" s="9" t="s">
        <v>2350</v>
      </c>
      <c r="O194" s="9" t="s">
        <v>2350</v>
      </c>
      <c r="P194" s="9" t="s">
        <v>2350</v>
      </c>
      <c r="Q194" s="26" t="str">
        <f t="shared" si="22"/>
        <v/>
      </c>
      <c r="R194" t="s">
        <v>1619</v>
      </c>
      <c r="S194" s="15">
        <v>47040</v>
      </c>
      <c r="U194" t="s">
        <v>1624</v>
      </c>
      <c r="V194" t="s">
        <v>1628</v>
      </c>
      <c r="W194" s="17">
        <v>2.5</v>
      </c>
      <c r="X194" s="10">
        <f t="shared" si="23"/>
        <v>1</v>
      </c>
      <c r="Y194" s="10">
        <f t="shared" si="24"/>
        <v>0</v>
      </c>
      <c r="Z194" s="10">
        <f t="shared" si="25"/>
        <v>1</v>
      </c>
      <c r="AA194">
        <f t="shared" ref="AA194:AA257" si="27">IF(OR(R194="Interviewed",R194="offered",R194="hired"),1,0)</f>
        <v>0</v>
      </c>
      <c r="AB194">
        <f t="shared" si="26"/>
        <v>0</v>
      </c>
      <c r="AC194">
        <f t="shared" ref="AC194:AC257" si="28">IF(R194="hired", 1, 0)</f>
        <v>0</v>
      </c>
    </row>
    <row r="195" spans="1:29" x14ac:dyDescent="0.35">
      <c r="A195" t="s">
        <v>211</v>
      </c>
      <c r="B195" t="s">
        <v>561</v>
      </c>
      <c r="C195" t="s">
        <v>816</v>
      </c>
      <c r="D195" t="s">
        <v>2102</v>
      </c>
      <c r="E195" t="s">
        <v>2103</v>
      </c>
      <c r="F195" t="s">
        <v>1023</v>
      </c>
      <c r="G195" t="s">
        <v>1030</v>
      </c>
      <c r="H195" t="s">
        <v>1741</v>
      </c>
      <c r="I195" t="s">
        <v>1044</v>
      </c>
      <c r="J195" t="s">
        <v>1742</v>
      </c>
      <c r="K195" s="9">
        <v>45675</v>
      </c>
      <c r="L195" s="20">
        <f t="shared" ref="L195:L258" si="29">DATE(YEAR(K195), MONTH(K195), 1)</f>
        <v>45658</v>
      </c>
      <c r="M195" s="10">
        <f t="shared" ref="M195:M258" si="30">YEAR(K195)</f>
        <v>2025</v>
      </c>
      <c r="N195" s="9" t="s">
        <v>2350</v>
      </c>
      <c r="O195" s="9" t="s">
        <v>2350</v>
      </c>
      <c r="P195" s="9" t="s">
        <v>2350</v>
      </c>
      <c r="Q195" s="26" t="str">
        <f t="shared" ref="Q195:Q258" si="31">IF(OR(P195="", K195=""),"", P195-K195)</f>
        <v/>
      </c>
      <c r="R195" t="s">
        <v>1616</v>
      </c>
      <c r="S195" s="15">
        <v>46118</v>
      </c>
      <c r="U195" t="s">
        <v>1624</v>
      </c>
      <c r="V195" t="s">
        <v>1626</v>
      </c>
      <c r="X195" s="10">
        <f t="shared" ref="X195:X258" si="32">IF(R195=" ",0,1)</f>
        <v>1</v>
      </c>
      <c r="Y195" s="10">
        <f t="shared" ref="Y195:Y258" si="33">IF(R195="Withdrawn",1,0)</f>
        <v>0</v>
      </c>
      <c r="Z195" s="10">
        <f t="shared" ref="Z195:Z258" si="34">IF(R195=$R$6,1,0)</f>
        <v>0</v>
      </c>
      <c r="AA195">
        <f t="shared" si="27"/>
        <v>0</v>
      </c>
      <c r="AB195">
        <f t="shared" ref="AB195:AB258" si="35">IF(R195=$R$5,1,0)</f>
        <v>0</v>
      </c>
      <c r="AC195">
        <f t="shared" si="28"/>
        <v>0</v>
      </c>
    </row>
    <row r="196" spans="1:29" x14ac:dyDescent="0.35">
      <c r="A196" t="s">
        <v>212</v>
      </c>
      <c r="B196" t="s">
        <v>446</v>
      </c>
      <c r="C196" t="s">
        <v>2104</v>
      </c>
      <c r="D196" t="s">
        <v>2105</v>
      </c>
      <c r="E196" t="s">
        <v>1904</v>
      </c>
      <c r="F196" t="s">
        <v>1022</v>
      </c>
      <c r="G196" t="s">
        <v>1032</v>
      </c>
      <c r="H196" t="s">
        <v>1040</v>
      </c>
      <c r="I196" t="s">
        <v>1044</v>
      </c>
      <c r="J196" t="s">
        <v>1049</v>
      </c>
      <c r="K196" s="9">
        <v>45605</v>
      </c>
      <c r="L196" s="20">
        <f t="shared" si="29"/>
        <v>45597</v>
      </c>
      <c r="M196" s="10">
        <f t="shared" si="30"/>
        <v>2024</v>
      </c>
      <c r="N196" s="9" t="s">
        <v>2350</v>
      </c>
      <c r="O196" s="9" t="s">
        <v>2350</v>
      </c>
      <c r="P196" s="9" t="s">
        <v>2350</v>
      </c>
      <c r="Q196" s="26" t="str">
        <f t="shared" si="31"/>
        <v/>
      </c>
      <c r="R196" t="s">
        <v>1619</v>
      </c>
      <c r="S196" s="15">
        <v>31555</v>
      </c>
      <c r="U196" t="s">
        <v>1623</v>
      </c>
      <c r="V196" t="s">
        <v>1628</v>
      </c>
      <c r="W196" s="17">
        <v>3</v>
      </c>
      <c r="X196" s="10">
        <f t="shared" si="32"/>
        <v>1</v>
      </c>
      <c r="Y196" s="10">
        <f t="shared" si="33"/>
        <v>0</v>
      </c>
      <c r="Z196" s="10">
        <f t="shared" si="34"/>
        <v>1</v>
      </c>
      <c r="AA196">
        <f t="shared" si="27"/>
        <v>0</v>
      </c>
      <c r="AB196">
        <f t="shared" si="35"/>
        <v>0</v>
      </c>
      <c r="AC196">
        <f t="shared" si="28"/>
        <v>0</v>
      </c>
    </row>
    <row r="197" spans="1:29" x14ac:dyDescent="0.35">
      <c r="A197" t="s">
        <v>213</v>
      </c>
      <c r="B197" t="s">
        <v>493</v>
      </c>
      <c r="C197" t="s">
        <v>2106</v>
      </c>
      <c r="D197" t="s">
        <v>2107</v>
      </c>
      <c r="E197" t="s">
        <v>1816</v>
      </c>
      <c r="F197" t="s">
        <v>1026</v>
      </c>
      <c r="G197" t="s">
        <v>1029</v>
      </c>
      <c r="H197" t="s">
        <v>1040</v>
      </c>
      <c r="I197" t="s">
        <v>1041</v>
      </c>
      <c r="J197" t="s">
        <v>1049</v>
      </c>
      <c r="K197" s="9">
        <v>45340</v>
      </c>
      <c r="L197" s="20">
        <f t="shared" si="29"/>
        <v>45323</v>
      </c>
      <c r="M197" s="10">
        <f t="shared" si="30"/>
        <v>2024</v>
      </c>
      <c r="N197" s="9" t="s">
        <v>2350</v>
      </c>
      <c r="O197" s="9" t="s">
        <v>2350</v>
      </c>
      <c r="P197" s="9" t="s">
        <v>2350</v>
      </c>
      <c r="Q197" s="26" t="str">
        <f t="shared" si="31"/>
        <v/>
      </c>
      <c r="R197" t="s">
        <v>1616</v>
      </c>
      <c r="S197" s="15">
        <v>33784</v>
      </c>
      <c r="U197" t="s">
        <v>1622</v>
      </c>
      <c r="V197" t="s">
        <v>1627</v>
      </c>
      <c r="W197" s="17">
        <v>4.5999999999999996</v>
      </c>
      <c r="X197" s="10">
        <f t="shared" si="32"/>
        <v>1</v>
      </c>
      <c r="Y197" s="10">
        <f t="shared" si="33"/>
        <v>0</v>
      </c>
      <c r="Z197" s="10">
        <f t="shared" si="34"/>
        <v>0</v>
      </c>
      <c r="AA197">
        <f t="shared" si="27"/>
        <v>0</v>
      </c>
      <c r="AB197">
        <f t="shared" si="35"/>
        <v>0</v>
      </c>
      <c r="AC197">
        <f t="shared" si="28"/>
        <v>0</v>
      </c>
    </row>
    <row r="198" spans="1:29" x14ac:dyDescent="0.35">
      <c r="A198" t="s">
        <v>214</v>
      </c>
      <c r="B198" t="s">
        <v>474</v>
      </c>
      <c r="C198" t="s">
        <v>2108</v>
      </c>
      <c r="D198" t="s">
        <v>1914</v>
      </c>
      <c r="E198" t="s">
        <v>2109</v>
      </c>
      <c r="F198" t="s">
        <v>1022</v>
      </c>
      <c r="G198" t="s">
        <v>1028</v>
      </c>
      <c r="H198" t="s">
        <v>1741</v>
      </c>
      <c r="I198" t="s">
        <v>1044</v>
      </c>
      <c r="J198" t="s">
        <v>1742</v>
      </c>
      <c r="K198" s="9">
        <v>45680</v>
      </c>
      <c r="L198" s="20">
        <f t="shared" si="29"/>
        <v>45658</v>
      </c>
      <c r="M198" s="10">
        <f t="shared" si="30"/>
        <v>2025</v>
      </c>
      <c r="N198" s="9" t="s">
        <v>2350</v>
      </c>
      <c r="O198" s="9" t="s">
        <v>2350</v>
      </c>
      <c r="P198" s="9" t="s">
        <v>2350</v>
      </c>
      <c r="Q198" s="26" t="str">
        <f t="shared" si="31"/>
        <v/>
      </c>
      <c r="R198" t="s">
        <v>1616</v>
      </c>
      <c r="S198" s="15">
        <v>50384</v>
      </c>
      <c r="U198" t="s">
        <v>1625</v>
      </c>
      <c r="V198" t="s">
        <v>1627</v>
      </c>
      <c r="W198" s="17">
        <v>2.4</v>
      </c>
      <c r="X198" s="10">
        <f t="shared" si="32"/>
        <v>1</v>
      </c>
      <c r="Y198" s="10">
        <f t="shared" si="33"/>
        <v>0</v>
      </c>
      <c r="Z198" s="10">
        <f t="shared" si="34"/>
        <v>0</v>
      </c>
      <c r="AA198">
        <f t="shared" si="27"/>
        <v>0</v>
      </c>
      <c r="AB198">
        <f t="shared" si="35"/>
        <v>0</v>
      </c>
      <c r="AC198">
        <f t="shared" si="28"/>
        <v>0</v>
      </c>
    </row>
    <row r="199" spans="1:29" x14ac:dyDescent="0.35">
      <c r="A199" t="s">
        <v>215</v>
      </c>
      <c r="B199" t="s">
        <v>562</v>
      </c>
      <c r="C199" t="s">
        <v>2110</v>
      </c>
      <c r="D199" t="s">
        <v>1753</v>
      </c>
      <c r="E199" t="s">
        <v>2111</v>
      </c>
      <c r="F199" t="s">
        <v>1027</v>
      </c>
      <c r="G199" t="s">
        <v>1029</v>
      </c>
      <c r="H199" t="s">
        <v>1034</v>
      </c>
      <c r="I199" t="s">
        <v>1041</v>
      </c>
      <c r="J199" t="s">
        <v>1742</v>
      </c>
      <c r="K199" s="9">
        <v>45612</v>
      </c>
      <c r="L199" s="20">
        <f t="shared" si="29"/>
        <v>45597</v>
      </c>
      <c r="M199" s="10">
        <f t="shared" si="30"/>
        <v>2024</v>
      </c>
      <c r="N199" s="9">
        <v>45627</v>
      </c>
      <c r="O199" s="9" t="s">
        <v>2350</v>
      </c>
      <c r="P199" s="9" t="s">
        <v>2350</v>
      </c>
      <c r="Q199" s="26" t="str">
        <f t="shared" si="31"/>
        <v/>
      </c>
      <c r="R199" t="s">
        <v>1615</v>
      </c>
      <c r="S199" s="15">
        <v>43632</v>
      </c>
      <c r="U199" t="s">
        <v>1623</v>
      </c>
      <c r="V199" t="s">
        <v>1627</v>
      </c>
      <c r="W199" s="17">
        <v>3.6</v>
      </c>
      <c r="X199" s="10">
        <f t="shared" si="32"/>
        <v>1</v>
      </c>
      <c r="Y199" s="10">
        <f t="shared" si="33"/>
        <v>0</v>
      </c>
      <c r="Z199" s="10">
        <f t="shared" si="34"/>
        <v>0</v>
      </c>
      <c r="AA199">
        <f t="shared" si="27"/>
        <v>1</v>
      </c>
      <c r="AB199">
        <f t="shared" si="35"/>
        <v>0</v>
      </c>
      <c r="AC199">
        <f t="shared" si="28"/>
        <v>0</v>
      </c>
    </row>
    <row r="200" spans="1:29" x14ac:dyDescent="0.35">
      <c r="A200" t="s">
        <v>216</v>
      </c>
      <c r="B200" t="s">
        <v>563</v>
      </c>
      <c r="C200" t="s">
        <v>821</v>
      </c>
      <c r="D200" t="s">
        <v>2112</v>
      </c>
      <c r="E200" t="s">
        <v>1756</v>
      </c>
      <c r="F200" t="s">
        <v>1022</v>
      </c>
      <c r="G200" t="s">
        <v>1031</v>
      </c>
      <c r="H200" t="s">
        <v>1741</v>
      </c>
      <c r="I200" t="s">
        <v>1041</v>
      </c>
      <c r="J200" t="s">
        <v>1048</v>
      </c>
      <c r="K200" s="9">
        <v>45712</v>
      </c>
      <c r="L200" s="20">
        <f t="shared" si="29"/>
        <v>45689</v>
      </c>
      <c r="M200" s="10">
        <f t="shared" si="30"/>
        <v>2025</v>
      </c>
      <c r="N200" s="9" t="s">
        <v>2350</v>
      </c>
      <c r="O200" s="9" t="s">
        <v>2350</v>
      </c>
      <c r="P200" s="9" t="s">
        <v>2350</v>
      </c>
      <c r="Q200" s="26" t="str">
        <f t="shared" si="31"/>
        <v/>
      </c>
      <c r="R200" t="s">
        <v>1617</v>
      </c>
      <c r="S200" s="15">
        <v>48132</v>
      </c>
      <c r="U200" t="s">
        <v>1624</v>
      </c>
      <c r="V200" t="s">
        <v>1626</v>
      </c>
      <c r="W200" s="17">
        <v>3.4</v>
      </c>
      <c r="X200" s="10">
        <f t="shared" si="32"/>
        <v>1</v>
      </c>
      <c r="Y200" s="10">
        <f t="shared" si="33"/>
        <v>1</v>
      </c>
      <c r="Z200" s="10">
        <f t="shared" si="34"/>
        <v>0</v>
      </c>
      <c r="AA200">
        <f t="shared" si="27"/>
        <v>0</v>
      </c>
      <c r="AB200">
        <f t="shared" si="35"/>
        <v>0</v>
      </c>
      <c r="AC200">
        <f t="shared" si="28"/>
        <v>0</v>
      </c>
    </row>
    <row r="201" spans="1:29" x14ac:dyDescent="0.35">
      <c r="A201" t="s">
        <v>217</v>
      </c>
      <c r="B201" t="s">
        <v>545</v>
      </c>
      <c r="C201" t="s">
        <v>2113</v>
      </c>
      <c r="D201" t="s">
        <v>2114</v>
      </c>
      <c r="E201" t="s">
        <v>1855</v>
      </c>
      <c r="F201" t="s">
        <v>1026</v>
      </c>
      <c r="G201" t="s">
        <v>1031</v>
      </c>
      <c r="H201" t="s">
        <v>1040</v>
      </c>
      <c r="I201" t="s">
        <v>1044</v>
      </c>
      <c r="J201" t="s">
        <v>1742</v>
      </c>
      <c r="K201" s="9">
        <v>45540</v>
      </c>
      <c r="L201" s="20">
        <f t="shared" si="29"/>
        <v>45536</v>
      </c>
      <c r="M201" s="10">
        <f t="shared" si="30"/>
        <v>2024</v>
      </c>
      <c r="N201" s="9">
        <v>45547</v>
      </c>
      <c r="O201" s="9" t="s">
        <v>2350</v>
      </c>
      <c r="P201" s="9" t="s">
        <v>2350</v>
      </c>
      <c r="Q201" s="26" t="str">
        <f t="shared" si="31"/>
        <v/>
      </c>
      <c r="R201" t="s">
        <v>1615</v>
      </c>
      <c r="S201" s="15">
        <v>42347</v>
      </c>
      <c r="U201" t="s">
        <v>1621</v>
      </c>
      <c r="V201" t="s">
        <v>1626</v>
      </c>
      <c r="W201" s="17">
        <v>4.9000000000000004</v>
      </c>
      <c r="X201" s="10">
        <f t="shared" si="32"/>
        <v>1</v>
      </c>
      <c r="Y201" s="10">
        <f t="shared" si="33"/>
        <v>0</v>
      </c>
      <c r="Z201" s="10">
        <f t="shared" si="34"/>
        <v>0</v>
      </c>
      <c r="AA201">
        <f t="shared" si="27"/>
        <v>1</v>
      </c>
      <c r="AB201">
        <f t="shared" si="35"/>
        <v>0</v>
      </c>
      <c r="AC201">
        <f t="shared" si="28"/>
        <v>0</v>
      </c>
    </row>
    <row r="202" spans="1:29" x14ac:dyDescent="0.35">
      <c r="A202" t="s">
        <v>218</v>
      </c>
      <c r="B202" t="s">
        <v>430</v>
      </c>
      <c r="C202" t="s">
        <v>2115</v>
      </c>
      <c r="D202" t="s">
        <v>1623</v>
      </c>
      <c r="E202" t="s">
        <v>2001</v>
      </c>
      <c r="F202" t="s">
        <v>1026</v>
      </c>
      <c r="G202" t="s">
        <v>1028</v>
      </c>
      <c r="H202" t="s">
        <v>1035</v>
      </c>
      <c r="I202" t="s">
        <v>1045</v>
      </c>
      <c r="J202" t="s">
        <v>1742</v>
      </c>
      <c r="K202" s="9">
        <v>45731</v>
      </c>
      <c r="L202" s="20">
        <f t="shared" si="29"/>
        <v>45717</v>
      </c>
      <c r="M202" s="10">
        <f t="shared" si="30"/>
        <v>2025</v>
      </c>
      <c r="N202" s="9" t="s">
        <v>2350</v>
      </c>
      <c r="O202" s="9" t="s">
        <v>2350</v>
      </c>
      <c r="P202" s="9" t="s">
        <v>2350</v>
      </c>
      <c r="Q202" s="26" t="str">
        <f t="shared" si="31"/>
        <v/>
      </c>
      <c r="R202" t="s">
        <v>1617</v>
      </c>
      <c r="S202" s="15">
        <v>38392</v>
      </c>
      <c r="U202" t="s">
        <v>1623</v>
      </c>
      <c r="V202" t="s">
        <v>1628</v>
      </c>
      <c r="W202" s="17">
        <v>2.4</v>
      </c>
      <c r="X202" s="10">
        <f t="shared" si="32"/>
        <v>1</v>
      </c>
      <c r="Y202" s="10">
        <f t="shared" si="33"/>
        <v>1</v>
      </c>
      <c r="Z202" s="10">
        <f t="shared" si="34"/>
        <v>0</v>
      </c>
      <c r="AA202">
        <f t="shared" si="27"/>
        <v>0</v>
      </c>
      <c r="AB202">
        <f t="shared" si="35"/>
        <v>0</v>
      </c>
      <c r="AC202">
        <f t="shared" si="28"/>
        <v>0</v>
      </c>
    </row>
    <row r="203" spans="1:29" x14ac:dyDescent="0.35">
      <c r="A203" t="s">
        <v>219</v>
      </c>
      <c r="B203" t="s">
        <v>564</v>
      </c>
      <c r="C203" t="s">
        <v>2116</v>
      </c>
      <c r="D203" t="s">
        <v>1804</v>
      </c>
      <c r="E203" t="s">
        <v>2117</v>
      </c>
      <c r="F203" t="s">
        <v>1025</v>
      </c>
      <c r="G203" t="s">
        <v>1032</v>
      </c>
      <c r="H203" t="s">
        <v>1034</v>
      </c>
      <c r="I203" t="s">
        <v>1043</v>
      </c>
      <c r="J203" t="s">
        <v>1051</v>
      </c>
      <c r="K203" s="9">
        <v>45735</v>
      </c>
      <c r="L203" s="20">
        <f t="shared" si="29"/>
        <v>45717</v>
      </c>
      <c r="M203" s="10">
        <f t="shared" si="30"/>
        <v>2025</v>
      </c>
      <c r="N203" s="9">
        <v>45741</v>
      </c>
      <c r="O203" s="9" t="s">
        <v>2350</v>
      </c>
      <c r="P203" s="9" t="s">
        <v>2350</v>
      </c>
      <c r="Q203" s="26" t="str">
        <f t="shared" si="31"/>
        <v/>
      </c>
      <c r="R203" t="s">
        <v>1615</v>
      </c>
      <c r="S203" s="15">
        <v>48222</v>
      </c>
      <c r="U203" t="s">
        <v>1623</v>
      </c>
      <c r="V203" t="s">
        <v>1627</v>
      </c>
      <c r="W203" s="17">
        <v>3.4</v>
      </c>
      <c r="X203" s="10">
        <f t="shared" si="32"/>
        <v>1</v>
      </c>
      <c r="Y203" s="10">
        <f t="shared" si="33"/>
        <v>0</v>
      </c>
      <c r="Z203" s="10">
        <f t="shared" si="34"/>
        <v>0</v>
      </c>
      <c r="AA203">
        <f t="shared" si="27"/>
        <v>1</v>
      </c>
      <c r="AB203">
        <f t="shared" si="35"/>
        <v>0</v>
      </c>
      <c r="AC203">
        <f t="shared" si="28"/>
        <v>0</v>
      </c>
    </row>
    <row r="204" spans="1:29" x14ac:dyDescent="0.35">
      <c r="A204" t="s">
        <v>220</v>
      </c>
      <c r="B204" t="s">
        <v>437</v>
      </c>
      <c r="C204" t="s">
        <v>825</v>
      </c>
      <c r="D204" t="s">
        <v>1842</v>
      </c>
      <c r="E204" t="s">
        <v>2052</v>
      </c>
      <c r="F204" t="s">
        <v>1025</v>
      </c>
      <c r="G204" t="s">
        <v>1031</v>
      </c>
      <c r="H204" t="s">
        <v>1741</v>
      </c>
      <c r="I204" t="s">
        <v>1044</v>
      </c>
      <c r="J204" t="s">
        <v>1051</v>
      </c>
      <c r="K204" s="9">
        <v>45639</v>
      </c>
      <c r="L204" s="20">
        <f t="shared" si="29"/>
        <v>45627</v>
      </c>
      <c r="M204" s="10">
        <f t="shared" si="30"/>
        <v>2024</v>
      </c>
      <c r="N204" s="9" t="s">
        <v>2350</v>
      </c>
      <c r="O204" s="9" t="s">
        <v>2350</v>
      </c>
      <c r="P204" s="9" t="s">
        <v>2350</v>
      </c>
      <c r="Q204" s="26" t="str">
        <f t="shared" si="31"/>
        <v/>
      </c>
      <c r="R204" t="s">
        <v>1617</v>
      </c>
      <c r="S204" s="15">
        <v>33844</v>
      </c>
      <c r="U204" t="s">
        <v>1624</v>
      </c>
      <c r="V204" t="s">
        <v>1628</v>
      </c>
      <c r="W204" s="17">
        <v>3</v>
      </c>
      <c r="X204" s="10">
        <f t="shared" si="32"/>
        <v>1</v>
      </c>
      <c r="Y204" s="10">
        <f t="shared" si="33"/>
        <v>1</v>
      </c>
      <c r="Z204" s="10">
        <f t="shared" si="34"/>
        <v>0</v>
      </c>
      <c r="AA204">
        <f t="shared" si="27"/>
        <v>0</v>
      </c>
      <c r="AB204">
        <f t="shared" si="35"/>
        <v>0</v>
      </c>
      <c r="AC204">
        <f t="shared" si="28"/>
        <v>0</v>
      </c>
    </row>
    <row r="205" spans="1:29" x14ac:dyDescent="0.35">
      <c r="A205" t="s">
        <v>221</v>
      </c>
      <c r="B205" t="s">
        <v>565</v>
      </c>
      <c r="C205" t="s">
        <v>2118</v>
      </c>
      <c r="D205" t="s">
        <v>2119</v>
      </c>
      <c r="E205" t="s">
        <v>2063</v>
      </c>
      <c r="F205" t="s">
        <v>1024</v>
      </c>
      <c r="G205" t="s">
        <v>1030</v>
      </c>
      <c r="H205" t="s">
        <v>1741</v>
      </c>
      <c r="I205" t="s">
        <v>1045</v>
      </c>
      <c r="J205" t="s">
        <v>1742</v>
      </c>
      <c r="K205" s="9">
        <v>45619</v>
      </c>
      <c r="L205" s="20">
        <f t="shared" si="29"/>
        <v>45597</v>
      </c>
      <c r="M205" s="10">
        <f t="shared" si="30"/>
        <v>2024</v>
      </c>
      <c r="N205" s="9" t="s">
        <v>2350</v>
      </c>
      <c r="O205" s="9" t="s">
        <v>2350</v>
      </c>
      <c r="P205" s="9" t="s">
        <v>2350</v>
      </c>
      <c r="Q205" s="26" t="str">
        <f t="shared" si="31"/>
        <v/>
      </c>
      <c r="R205" t="s">
        <v>1619</v>
      </c>
      <c r="S205" s="15">
        <v>50618</v>
      </c>
      <c r="U205" t="s">
        <v>1624</v>
      </c>
      <c r="V205" t="s">
        <v>1627</v>
      </c>
      <c r="W205" s="17">
        <v>4.2</v>
      </c>
      <c r="X205" s="10">
        <f t="shared" si="32"/>
        <v>1</v>
      </c>
      <c r="Y205" s="10">
        <f t="shared" si="33"/>
        <v>0</v>
      </c>
      <c r="Z205" s="10">
        <f t="shared" si="34"/>
        <v>1</v>
      </c>
      <c r="AA205">
        <f t="shared" si="27"/>
        <v>0</v>
      </c>
      <c r="AB205">
        <f t="shared" si="35"/>
        <v>0</v>
      </c>
      <c r="AC205">
        <f t="shared" si="28"/>
        <v>0</v>
      </c>
    </row>
    <row r="206" spans="1:29" x14ac:dyDescent="0.35">
      <c r="A206" t="s">
        <v>222</v>
      </c>
      <c r="B206" t="s">
        <v>537</v>
      </c>
      <c r="C206" t="s">
        <v>2120</v>
      </c>
      <c r="D206" t="s">
        <v>1928</v>
      </c>
      <c r="E206" t="s">
        <v>2121</v>
      </c>
      <c r="F206" t="s">
        <v>1027</v>
      </c>
      <c r="G206" t="s">
        <v>1029</v>
      </c>
      <c r="H206" t="s">
        <v>1037</v>
      </c>
      <c r="I206" t="s">
        <v>1044</v>
      </c>
      <c r="J206" t="s">
        <v>1742</v>
      </c>
      <c r="K206" s="9">
        <v>45440</v>
      </c>
      <c r="L206" s="20">
        <f t="shared" si="29"/>
        <v>45413</v>
      </c>
      <c r="M206" s="10">
        <f t="shared" si="30"/>
        <v>2024</v>
      </c>
      <c r="N206" s="9" t="s">
        <v>2350</v>
      </c>
      <c r="O206" s="9" t="s">
        <v>2350</v>
      </c>
      <c r="P206" s="9" t="s">
        <v>2350</v>
      </c>
      <c r="Q206" s="26" t="str">
        <f t="shared" si="31"/>
        <v/>
      </c>
      <c r="R206" t="s">
        <v>1617</v>
      </c>
      <c r="S206" s="15">
        <v>44228</v>
      </c>
      <c r="U206" t="s">
        <v>1623</v>
      </c>
      <c r="V206" t="s">
        <v>1626</v>
      </c>
      <c r="X206" s="10">
        <f t="shared" si="32"/>
        <v>1</v>
      </c>
      <c r="Y206" s="10">
        <f t="shared" si="33"/>
        <v>1</v>
      </c>
      <c r="Z206" s="10">
        <f t="shared" si="34"/>
        <v>0</v>
      </c>
      <c r="AA206">
        <f t="shared" si="27"/>
        <v>0</v>
      </c>
      <c r="AB206">
        <f t="shared" si="35"/>
        <v>0</v>
      </c>
      <c r="AC206">
        <f t="shared" si="28"/>
        <v>0</v>
      </c>
    </row>
    <row r="207" spans="1:29" x14ac:dyDescent="0.35">
      <c r="A207" t="s">
        <v>223</v>
      </c>
      <c r="B207" t="s">
        <v>566</v>
      </c>
      <c r="C207" t="s">
        <v>828</v>
      </c>
      <c r="D207" t="s">
        <v>1846</v>
      </c>
      <c r="E207" t="s">
        <v>2122</v>
      </c>
      <c r="F207" t="s">
        <v>1023</v>
      </c>
      <c r="G207" t="s">
        <v>1032</v>
      </c>
      <c r="H207" t="s">
        <v>1040</v>
      </c>
      <c r="I207" t="s">
        <v>1043</v>
      </c>
      <c r="J207" t="s">
        <v>1742</v>
      </c>
      <c r="K207" s="9">
        <v>45502</v>
      </c>
      <c r="L207" s="20">
        <f t="shared" si="29"/>
        <v>45474</v>
      </c>
      <c r="M207" s="10">
        <f t="shared" si="30"/>
        <v>2024</v>
      </c>
      <c r="N207" s="9">
        <v>45525</v>
      </c>
      <c r="O207" s="9" t="s">
        <v>2350</v>
      </c>
      <c r="P207" s="9" t="s">
        <v>2350</v>
      </c>
      <c r="Q207" s="26" t="str">
        <f t="shared" si="31"/>
        <v/>
      </c>
      <c r="R207" t="s">
        <v>1615</v>
      </c>
      <c r="S207" s="15">
        <v>50047</v>
      </c>
      <c r="U207" t="s">
        <v>1622</v>
      </c>
      <c r="V207" t="s">
        <v>1626</v>
      </c>
      <c r="W207" s="17">
        <v>2.4</v>
      </c>
      <c r="X207" s="10">
        <f t="shared" si="32"/>
        <v>1</v>
      </c>
      <c r="Y207" s="10">
        <f t="shared" si="33"/>
        <v>0</v>
      </c>
      <c r="Z207" s="10">
        <f t="shared" si="34"/>
        <v>0</v>
      </c>
      <c r="AA207">
        <f t="shared" si="27"/>
        <v>1</v>
      </c>
      <c r="AB207">
        <f t="shared" si="35"/>
        <v>0</v>
      </c>
      <c r="AC207">
        <f t="shared" si="28"/>
        <v>0</v>
      </c>
    </row>
    <row r="208" spans="1:29" x14ac:dyDescent="0.35">
      <c r="A208" t="s">
        <v>224</v>
      </c>
      <c r="B208" t="s">
        <v>567</v>
      </c>
      <c r="C208" t="s">
        <v>2123</v>
      </c>
      <c r="D208" t="s">
        <v>1781</v>
      </c>
      <c r="E208" t="s">
        <v>2124</v>
      </c>
      <c r="F208" t="s">
        <v>1023</v>
      </c>
      <c r="G208" t="s">
        <v>1030</v>
      </c>
      <c r="H208" t="s">
        <v>1034</v>
      </c>
      <c r="I208" t="s">
        <v>1043</v>
      </c>
      <c r="J208" t="s">
        <v>1050</v>
      </c>
      <c r="K208" s="9">
        <v>45502</v>
      </c>
      <c r="L208" s="20">
        <f t="shared" si="29"/>
        <v>45474</v>
      </c>
      <c r="M208" s="10">
        <f t="shared" si="30"/>
        <v>2024</v>
      </c>
      <c r="N208" s="9">
        <v>45509</v>
      </c>
      <c r="O208" s="9">
        <v>45518</v>
      </c>
      <c r="P208" s="9" t="s">
        <v>2350</v>
      </c>
      <c r="Q208" s="26" t="str">
        <f t="shared" si="31"/>
        <v/>
      </c>
      <c r="R208" t="s">
        <v>1618</v>
      </c>
      <c r="S208" s="15">
        <v>50460</v>
      </c>
      <c r="T208" s="15">
        <v>47702</v>
      </c>
      <c r="U208" t="s">
        <v>1621</v>
      </c>
      <c r="V208" t="s">
        <v>1627</v>
      </c>
      <c r="W208" s="17">
        <v>4.4000000000000004</v>
      </c>
      <c r="X208" s="10">
        <f t="shared" si="32"/>
        <v>1</v>
      </c>
      <c r="Y208" s="10">
        <f t="shared" si="33"/>
        <v>0</v>
      </c>
      <c r="Z208" s="10">
        <f t="shared" si="34"/>
        <v>0</v>
      </c>
      <c r="AA208">
        <f t="shared" si="27"/>
        <v>1</v>
      </c>
      <c r="AB208">
        <f t="shared" si="35"/>
        <v>1</v>
      </c>
      <c r="AC208">
        <f t="shared" si="28"/>
        <v>0</v>
      </c>
    </row>
    <row r="209" spans="1:29" x14ac:dyDescent="0.35">
      <c r="A209" t="s">
        <v>225</v>
      </c>
      <c r="B209" t="s">
        <v>568</v>
      </c>
      <c r="C209" t="s">
        <v>830</v>
      </c>
      <c r="D209" t="s">
        <v>2125</v>
      </c>
      <c r="E209" t="s">
        <v>2126</v>
      </c>
      <c r="F209" t="s">
        <v>1022</v>
      </c>
      <c r="G209" t="s">
        <v>1031</v>
      </c>
      <c r="H209" t="s">
        <v>1036</v>
      </c>
      <c r="I209" t="s">
        <v>1043</v>
      </c>
      <c r="J209" t="s">
        <v>1049</v>
      </c>
      <c r="K209" s="9">
        <v>45671</v>
      </c>
      <c r="L209" s="20">
        <f t="shared" si="29"/>
        <v>45658</v>
      </c>
      <c r="M209" s="10">
        <f t="shared" si="30"/>
        <v>2025</v>
      </c>
      <c r="N209" s="9" t="s">
        <v>2350</v>
      </c>
      <c r="O209" s="9" t="s">
        <v>2350</v>
      </c>
      <c r="P209" s="9" t="s">
        <v>2350</v>
      </c>
      <c r="Q209" s="26" t="str">
        <f t="shared" si="31"/>
        <v/>
      </c>
      <c r="R209" t="s">
        <v>1616</v>
      </c>
      <c r="S209" s="15">
        <v>49582</v>
      </c>
      <c r="U209" t="s">
        <v>1621</v>
      </c>
      <c r="V209" t="s">
        <v>1628</v>
      </c>
      <c r="W209" s="17">
        <v>4.5</v>
      </c>
      <c r="X209" s="10">
        <f t="shared" si="32"/>
        <v>1</v>
      </c>
      <c r="Y209" s="10">
        <f t="shared" si="33"/>
        <v>0</v>
      </c>
      <c r="Z209" s="10">
        <f t="shared" si="34"/>
        <v>0</v>
      </c>
      <c r="AA209">
        <f t="shared" si="27"/>
        <v>0</v>
      </c>
      <c r="AB209">
        <f t="shared" si="35"/>
        <v>0</v>
      </c>
      <c r="AC209">
        <f t="shared" si="28"/>
        <v>0</v>
      </c>
    </row>
    <row r="210" spans="1:29" x14ac:dyDescent="0.35">
      <c r="A210" t="s">
        <v>226</v>
      </c>
      <c r="B210" t="s">
        <v>445</v>
      </c>
      <c r="C210" t="s">
        <v>2127</v>
      </c>
      <c r="D210" t="s">
        <v>2128</v>
      </c>
      <c r="E210" t="s">
        <v>1776</v>
      </c>
      <c r="F210" t="s">
        <v>1025</v>
      </c>
      <c r="G210" t="s">
        <v>1028</v>
      </c>
      <c r="H210" t="s">
        <v>1036</v>
      </c>
      <c r="I210" t="s">
        <v>1042</v>
      </c>
      <c r="J210" t="s">
        <v>1049</v>
      </c>
      <c r="K210" s="9">
        <v>45609</v>
      </c>
      <c r="L210" s="20">
        <f t="shared" si="29"/>
        <v>45597</v>
      </c>
      <c r="M210" s="10">
        <f t="shared" si="30"/>
        <v>2024</v>
      </c>
      <c r="N210" s="9">
        <v>45626</v>
      </c>
      <c r="O210" s="9">
        <v>45651</v>
      </c>
      <c r="P210" s="9">
        <v>45630</v>
      </c>
      <c r="Q210" s="26">
        <f t="shared" si="31"/>
        <v>21</v>
      </c>
      <c r="R210" t="s">
        <v>1620</v>
      </c>
      <c r="S210" s="15">
        <v>29422</v>
      </c>
      <c r="T210" s="15">
        <v>28114</v>
      </c>
      <c r="U210" t="s">
        <v>1623</v>
      </c>
      <c r="V210" t="s">
        <v>1628</v>
      </c>
      <c r="W210" s="17">
        <v>3.7</v>
      </c>
      <c r="X210" s="10">
        <f t="shared" si="32"/>
        <v>1</v>
      </c>
      <c r="Y210" s="10">
        <f t="shared" si="33"/>
        <v>0</v>
      </c>
      <c r="Z210" s="10">
        <f t="shared" si="34"/>
        <v>0</v>
      </c>
      <c r="AA210">
        <f t="shared" si="27"/>
        <v>1</v>
      </c>
      <c r="AB210">
        <f t="shared" si="35"/>
        <v>0</v>
      </c>
      <c r="AC210">
        <f t="shared" si="28"/>
        <v>1</v>
      </c>
    </row>
    <row r="211" spans="1:29" x14ac:dyDescent="0.35">
      <c r="A211" t="s">
        <v>227</v>
      </c>
      <c r="B211" t="s">
        <v>569</v>
      </c>
      <c r="C211" t="s">
        <v>832</v>
      </c>
      <c r="D211" t="s">
        <v>2129</v>
      </c>
      <c r="E211" t="s">
        <v>1877</v>
      </c>
      <c r="F211" t="s">
        <v>1025</v>
      </c>
      <c r="G211" t="s">
        <v>1032</v>
      </c>
      <c r="H211" t="s">
        <v>1037</v>
      </c>
      <c r="I211" t="s">
        <v>1041</v>
      </c>
      <c r="J211" t="s">
        <v>1048</v>
      </c>
      <c r="K211" s="9">
        <v>45688</v>
      </c>
      <c r="L211" s="20">
        <f t="shared" si="29"/>
        <v>45658</v>
      </c>
      <c r="M211" s="10">
        <f t="shared" si="30"/>
        <v>2025</v>
      </c>
      <c r="N211" s="9" t="s">
        <v>2350</v>
      </c>
      <c r="O211" s="9" t="s">
        <v>2350</v>
      </c>
      <c r="P211" s="9" t="s">
        <v>2350</v>
      </c>
      <c r="Q211" s="26" t="str">
        <f t="shared" si="31"/>
        <v/>
      </c>
      <c r="R211" t="s">
        <v>1616</v>
      </c>
      <c r="S211" s="15">
        <v>41832</v>
      </c>
      <c r="U211" t="s">
        <v>1623</v>
      </c>
      <c r="V211" t="s">
        <v>1627</v>
      </c>
      <c r="W211" s="17">
        <v>3.2</v>
      </c>
      <c r="X211" s="10">
        <f t="shared" si="32"/>
        <v>1</v>
      </c>
      <c r="Y211" s="10">
        <f t="shared" si="33"/>
        <v>0</v>
      </c>
      <c r="Z211" s="10">
        <f t="shared" si="34"/>
        <v>0</v>
      </c>
      <c r="AA211">
        <f t="shared" si="27"/>
        <v>0</v>
      </c>
      <c r="AB211">
        <f t="shared" si="35"/>
        <v>0</v>
      </c>
      <c r="AC211">
        <f t="shared" si="28"/>
        <v>0</v>
      </c>
    </row>
    <row r="212" spans="1:29" x14ac:dyDescent="0.35">
      <c r="A212" t="s">
        <v>228</v>
      </c>
      <c r="B212" t="s">
        <v>570</v>
      </c>
      <c r="C212" t="s">
        <v>833</v>
      </c>
      <c r="D212" t="s">
        <v>2130</v>
      </c>
      <c r="E212" t="s">
        <v>2131</v>
      </c>
      <c r="F212" t="s">
        <v>1026</v>
      </c>
      <c r="G212" t="s">
        <v>1032</v>
      </c>
      <c r="H212" t="s">
        <v>1040</v>
      </c>
      <c r="I212" t="s">
        <v>1045</v>
      </c>
      <c r="J212" t="s">
        <v>1049</v>
      </c>
      <c r="K212" s="9">
        <v>45414</v>
      </c>
      <c r="L212" s="20">
        <f t="shared" si="29"/>
        <v>45413</v>
      </c>
      <c r="M212" s="10">
        <f t="shared" si="30"/>
        <v>2024</v>
      </c>
      <c r="N212" s="9" t="s">
        <v>2350</v>
      </c>
      <c r="O212" s="9" t="s">
        <v>2350</v>
      </c>
      <c r="P212" s="9" t="s">
        <v>2350</v>
      </c>
      <c r="Q212" s="26" t="str">
        <f t="shared" si="31"/>
        <v/>
      </c>
      <c r="R212" t="s">
        <v>1616</v>
      </c>
      <c r="S212" s="15">
        <v>51757</v>
      </c>
      <c r="U212" t="s">
        <v>1621</v>
      </c>
      <c r="V212" t="s">
        <v>1627</v>
      </c>
      <c r="W212" s="17">
        <v>4.5</v>
      </c>
      <c r="X212" s="10">
        <f t="shared" si="32"/>
        <v>1</v>
      </c>
      <c r="Y212" s="10">
        <f t="shared" si="33"/>
        <v>0</v>
      </c>
      <c r="Z212" s="10">
        <f t="shared" si="34"/>
        <v>0</v>
      </c>
      <c r="AA212">
        <f t="shared" si="27"/>
        <v>0</v>
      </c>
      <c r="AB212">
        <f t="shared" si="35"/>
        <v>0</v>
      </c>
      <c r="AC212">
        <f t="shared" si="28"/>
        <v>0</v>
      </c>
    </row>
    <row r="213" spans="1:29" x14ac:dyDescent="0.35">
      <c r="A213" t="s">
        <v>229</v>
      </c>
      <c r="B213" t="s">
        <v>571</v>
      </c>
      <c r="C213" t="s">
        <v>834</v>
      </c>
      <c r="D213" t="s">
        <v>2132</v>
      </c>
      <c r="E213" t="s">
        <v>1750</v>
      </c>
      <c r="F213" t="s">
        <v>1023</v>
      </c>
      <c r="G213" t="s">
        <v>1028</v>
      </c>
      <c r="H213" t="s">
        <v>1039</v>
      </c>
      <c r="I213" t="s">
        <v>1042</v>
      </c>
      <c r="J213" t="s">
        <v>1742</v>
      </c>
      <c r="K213" s="9">
        <v>45660</v>
      </c>
      <c r="L213" s="20">
        <f t="shared" si="29"/>
        <v>45658</v>
      </c>
      <c r="M213" s="10">
        <f t="shared" si="30"/>
        <v>2025</v>
      </c>
      <c r="N213" s="9" t="s">
        <v>2350</v>
      </c>
      <c r="O213" s="9" t="s">
        <v>2350</v>
      </c>
      <c r="P213" s="9" t="s">
        <v>2350</v>
      </c>
      <c r="Q213" s="26" t="str">
        <f t="shared" si="31"/>
        <v/>
      </c>
      <c r="R213" t="s">
        <v>1619</v>
      </c>
      <c r="S213" s="15">
        <v>51875</v>
      </c>
      <c r="U213" t="s">
        <v>1624</v>
      </c>
      <c r="V213" t="s">
        <v>1628</v>
      </c>
      <c r="X213" s="10">
        <f t="shared" si="32"/>
        <v>1</v>
      </c>
      <c r="Y213" s="10">
        <f t="shared" si="33"/>
        <v>0</v>
      </c>
      <c r="Z213" s="10">
        <f t="shared" si="34"/>
        <v>1</v>
      </c>
      <c r="AA213">
        <f t="shared" si="27"/>
        <v>0</v>
      </c>
      <c r="AB213">
        <f t="shared" si="35"/>
        <v>0</v>
      </c>
      <c r="AC213">
        <f t="shared" si="28"/>
        <v>0</v>
      </c>
    </row>
    <row r="214" spans="1:29" x14ac:dyDescent="0.35">
      <c r="A214" t="s">
        <v>230</v>
      </c>
      <c r="B214" t="s">
        <v>572</v>
      </c>
      <c r="C214" t="s">
        <v>835</v>
      </c>
      <c r="D214" t="s">
        <v>1802</v>
      </c>
      <c r="E214" t="s">
        <v>2051</v>
      </c>
      <c r="F214" t="s">
        <v>1027</v>
      </c>
      <c r="G214" t="s">
        <v>1028</v>
      </c>
      <c r="H214" t="s">
        <v>1741</v>
      </c>
      <c r="I214" t="s">
        <v>1043</v>
      </c>
      <c r="J214" t="s">
        <v>1048</v>
      </c>
      <c r="K214" s="9">
        <v>45440</v>
      </c>
      <c r="L214" s="20">
        <f t="shared" si="29"/>
        <v>45413</v>
      </c>
      <c r="M214" s="10">
        <f t="shared" si="30"/>
        <v>2024</v>
      </c>
      <c r="N214" s="9">
        <v>45464</v>
      </c>
      <c r="O214" s="9" t="s">
        <v>2350</v>
      </c>
      <c r="P214" s="9" t="s">
        <v>2350</v>
      </c>
      <c r="Q214" s="26" t="str">
        <f t="shared" si="31"/>
        <v/>
      </c>
      <c r="R214" t="s">
        <v>1615</v>
      </c>
      <c r="S214" s="15">
        <v>48121</v>
      </c>
      <c r="U214" t="s">
        <v>1625</v>
      </c>
      <c r="V214" t="s">
        <v>1628</v>
      </c>
      <c r="W214" s="17">
        <v>3.1</v>
      </c>
      <c r="X214" s="10">
        <f t="shared" si="32"/>
        <v>1</v>
      </c>
      <c r="Y214" s="10">
        <f t="shared" si="33"/>
        <v>0</v>
      </c>
      <c r="Z214" s="10">
        <f t="shared" si="34"/>
        <v>0</v>
      </c>
      <c r="AA214">
        <f t="shared" si="27"/>
        <v>1</v>
      </c>
      <c r="AB214">
        <f t="shared" si="35"/>
        <v>0</v>
      </c>
      <c r="AC214">
        <f t="shared" si="28"/>
        <v>0</v>
      </c>
    </row>
    <row r="215" spans="1:29" x14ac:dyDescent="0.35">
      <c r="A215" t="s">
        <v>231</v>
      </c>
      <c r="B215" t="s">
        <v>573</v>
      </c>
      <c r="C215" t="s">
        <v>836</v>
      </c>
      <c r="D215" t="s">
        <v>2133</v>
      </c>
      <c r="E215" t="s">
        <v>1926</v>
      </c>
      <c r="F215" t="s">
        <v>1024</v>
      </c>
      <c r="G215" t="s">
        <v>1030</v>
      </c>
      <c r="H215" t="s">
        <v>1039</v>
      </c>
      <c r="I215" t="s">
        <v>1043</v>
      </c>
      <c r="J215" t="s">
        <v>1742</v>
      </c>
      <c r="K215" s="9">
        <v>45708</v>
      </c>
      <c r="L215" s="20">
        <f t="shared" si="29"/>
        <v>45689</v>
      </c>
      <c r="M215" s="10">
        <f t="shared" si="30"/>
        <v>2025</v>
      </c>
      <c r="N215" s="9">
        <v>45713</v>
      </c>
      <c r="O215" s="9" t="s">
        <v>2350</v>
      </c>
      <c r="P215" s="9" t="s">
        <v>2350</v>
      </c>
      <c r="Q215" s="26" t="str">
        <f t="shared" si="31"/>
        <v/>
      </c>
      <c r="R215" t="s">
        <v>1615</v>
      </c>
      <c r="S215" s="15">
        <v>44094</v>
      </c>
      <c r="U215" t="s">
        <v>1625</v>
      </c>
      <c r="V215" t="s">
        <v>1627</v>
      </c>
      <c r="W215" s="17">
        <v>3.9</v>
      </c>
      <c r="X215" s="10">
        <f t="shared" si="32"/>
        <v>1</v>
      </c>
      <c r="Y215" s="10">
        <f t="shared" si="33"/>
        <v>0</v>
      </c>
      <c r="Z215" s="10">
        <f t="shared" si="34"/>
        <v>0</v>
      </c>
      <c r="AA215">
        <f t="shared" si="27"/>
        <v>1</v>
      </c>
      <c r="AB215">
        <f t="shared" si="35"/>
        <v>0</v>
      </c>
      <c r="AC215">
        <f t="shared" si="28"/>
        <v>0</v>
      </c>
    </row>
    <row r="216" spans="1:29" x14ac:dyDescent="0.35">
      <c r="A216" t="s">
        <v>232</v>
      </c>
      <c r="B216" t="s">
        <v>430</v>
      </c>
      <c r="C216" t="s">
        <v>837</v>
      </c>
      <c r="D216" t="s">
        <v>1916</v>
      </c>
      <c r="E216" t="s">
        <v>2124</v>
      </c>
      <c r="F216" t="s">
        <v>1025</v>
      </c>
      <c r="G216" t="s">
        <v>1032</v>
      </c>
      <c r="H216" t="s">
        <v>1040</v>
      </c>
      <c r="I216" t="s">
        <v>1042</v>
      </c>
      <c r="J216" t="s">
        <v>1051</v>
      </c>
      <c r="K216" s="9">
        <v>45635</v>
      </c>
      <c r="L216" s="20">
        <f t="shared" si="29"/>
        <v>45627</v>
      </c>
      <c r="M216" s="10">
        <f t="shared" si="30"/>
        <v>2024</v>
      </c>
      <c r="N216" s="9">
        <v>45643</v>
      </c>
      <c r="O216" s="9" t="s">
        <v>2350</v>
      </c>
      <c r="P216" s="9" t="s">
        <v>2350</v>
      </c>
      <c r="Q216" s="26" t="str">
        <f t="shared" si="31"/>
        <v/>
      </c>
      <c r="R216" t="s">
        <v>1615</v>
      </c>
      <c r="S216" s="15">
        <v>28263</v>
      </c>
      <c r="U216" t="s">
        <v>1624</v>
      </c>
      <c r="V216" t="s">
        <v>1626</v>
      </c>
      <c r="W216" s="17">
        <v>4.9000000000000004</v>
      </c>
      <c r="X216" s="10">
        <f t="shared" si="32"/>
        <v>1</v>
      </c>
      <c r="Y216" s="10">
        <f t="shared" si="33"/>
        <v>0</v>
      </c>
      <c r="Z216" s="10">
        <f t="shared" si="34"/>
        <v>0</v>
      </c>
      <c r="AA216">
        <f t="shared" si="27"/>
        <v>1</v>
      </c>
      <c r="AB216">
        <f t="shared" si="35"/>
        <v>0</v>
      </c>
      <c r="AC216">
        <f t="shared" si="28"/>
        <v>0</v>
      </c>
    </row>
    <row r="217" spans="1:29" x14ac:dyDescent="0.35">
      <c r="A217" t="s">
        <v>233</v>
      </c>
      <c r="B217" t="s">
        <v>531</v>
      </c>
      <c r="C217" t="s">
        <v>838</v>
      </c>
      <c r="D217" t="s">
        <v>1946</v>
      </c>
      <c r="E217" t="s">
        <v>1814</v>
      </c>
      <c r="F217" t="s">
        <v>1027</v>
      </c>
      <c r="G217" t="s">
        <v>1029</v>
      </c>
      <c r="H217" t="s">
        <v>1039</v>
      </c>
      <c r="I217" t="s">
        <v>1041</v>
      </c>
      <c r="J217" t="s">
        <v>1050</v>
      </c>
      <c r="K217" s="9">
        <v>45484</v>
      </c>
      <c r="L217" s="20">
        <f t="shared" si="29"/>
        <v>45474</v>
      </c>
      <c r="M217" s="10">
        <f t="shared" si="30"/>
        <v>2024</v>
      </c>
      <c r="N217" s="9" t="s">
        <v>2350</v>
      </c>
      <c r="O217" s="9" t="s">
        <v>2350</v>
      </c>
      <c r="P217" s="9" t="s">
        <v>2350</v>
      </c>
      <c r="Q217" s="26" t="str">
        <f t="shared" si="31"/>
        <v/>
      </c>
      <c r="R217" t="s">
        <v>1616</v>
      </c>
      <c r="S217" s="15">
        <v>40494</v>
      </c>
      <c r="U217" t="s">
        <v>1625</v>
      </c>
      <c r="V217" t="s">
        <v>1626</v>
      </c>
      <c r="W217" s="17">
        <v>3</v>
      </c>
      <c r="X217" s="10">
        <f t="shared" si="32"/>
        <v>1</v>
      </c>
      <c r="Y217" s="10">
        <f t="shared" si="33"/>
        <v>0</v>
      </c>
      <c r="Z217" s="10">
        <f t="shared" si="34"/>
        <v>0</v>
      </c>
      <c r="AA217">
        <f t="shared" si="27"/>
        <v>0</v>
      </c>
      <c r="AB217">
        <f t="shared" si="35"/>
        <v>0</v>
      </c>
      <c r="AC217">
        <f t="shared" si="28"/>
        <v>0</v>
      </c>
    </row>
    <row r="218" spans="1:29" x14ac:dyDescent="0.35">
      <c r="A218" t="s">
        <v>234</v>
      </c>
      <c r="B218" t="s">
        <v>423</v>
      </c>
      <c r="C218" t="s">
        <v>2134</v>
      </c>
      <c r="D218" t="s">
        <v>2135</v>
      </c>
      <c r="E218" t="s">
        <v>2027</v>
      </c>
      <c r="F218" t="s">
        <v>1025</v>
      </c>
      <c r="G218" t="s">
        <v>1031</v>
      </c>
      <c r="H218" t="s">
        <v>1036</v>
      </c>
      <c r="I218" t="s">
        <v>1042</v>
      </c>
      <c r="J218" t="s">
        <v>1742</v>
      </c>
      <c r="K218" s="9">
        <v>45731</v>
      </c>
      <c r="L218" s="20">
        <f t="shared" si="29"/>
        <v>45717</v>
      </c>
      <c r="M218" s="10">
        <f t="shared" si="30"/>
        <v>2025</v>
      </c>
      <c r="N218" s="9" t="s">
        <v>2350</v>
      </c>
      <c r="O218" s="9" t="s">
        <v>2350</v>
      </c>
      <c r="P218" s="9" t="s">
        <v>2350</v>
      </c>
      <c r="Q218" s="26" t="str">
        <f t="shared" si="31"/>
        <v/>
      </c>
      <c r="R218" t="s">
        <v>1619</v>
      </c>
      <c r="S218" s="15">
        <v>41242</v>
      </c>
      <c r="U218" t="s">
        <v>1622</v>
      </c>
      <c r="V218" t="s">
        <v>1627</v>
      </c>
      <c r="W218" s="17">
        <v>4.5999999999999996</v>
      </c>
      <c r="X218" s="10">
        <f t="shared" si="32"/>
        <v>1</v>
      </c>
      <c r="Y218" s="10">
        <f t="shared" si="33"/>
        <v>0</v>
      </c>
      <c r="Z218" s="10">
        <f t="shared" si="34"/>
        <v>1</v>
      </c>
      <c r="AA218">
        <f t="shared" si="27"/>
        <v>0</v>
      </c>
      <c r="AB218">
        <f t="shared" si="35"/>
        <v>0</v>
      </c>
      <c r="AC218">
        <f t="shared" si="28"/>
        <v>0</v>
      </c>
    </row>
    <row r="219" spans="1:29" x14ac:dyDescent="0.35">
      <c r="A219" t="s">
        <v>235</v>
      </c>
      <c r="B219" t="s">
        <v>487</v>
      </c>
      <c r="C219" t="s">
        <v>2136</v>
      </c>
      <c r="D219" t="s">
        <v>2137</v>
      </c>
      <c r="E219" t="s">
        <v>1940</v>
      </c>
      <c r="F219" t="s">
        <v>1024</v>
      </c>
      <c r="G219" t="s">
        <v>1028</v>
      </c>
      <c r="H219" t="s">
        <v>1040</v>
      </c>
      <c r="I219" t="s">
        <v>1041</v>
      </c>
      <c r="J219" t="s">
        <v>1050</v>
      </c>
      <c r="K219" s="9">
        <v>45509</v>
      </c>
      <c r="L219" s="20">
        <f t="shared" si="29"/>
        <v>45505</v>
      </c>
      <c r="M219" s="10">
        <f t="shared" si="30"/>
        <v>2024</v>
      </c>
      <c r="N219" s="9" t="s">
        <v>2350</v>
      </c>
      <c r="O219" s="9" t="s">
        <v>2350</v>
      </c>
      <c r="P219" s="9" t="s">
        <v>2350</v>
      </c>
      <c r="Q219" s="26" t="str">
        <f t="shared" si="31"/>
        <v/>
      </c>
      <c r="R219" t="s">
        <v>1616</v>
      </c>
      <c r="S219" s="15">
        <v>47884</v>
      </c>
      <c r="U219" t="s">
        <v>1624</v>
      </c>
      <c r="V219" t="s">
        <v>1626</v>
      </c>
      <c r="W219" s="17">
        <v>4.5</v>
      </c>
      <c r="X219" s="10">
        <f t="shared" si="32"/>
        <v>1</v>
      </c>
      <c r="Y219" s="10">
        <f t="shared" si="33"/>
        <v>0</v>
      </c>
      <c r="Z219" s="10">
        <f t="shared" si="34"/>
        <v>0</v>
      </c>
      <c r="AA219">
        <f t="shared" si="27"/>
        <v>0</v>
      </c>
      <c r="AB219">
        <f t="shared" si="35"/>
        <v>0</v>
      </c>
      <c r="AC219">
        <f t="shared" si="28"/>
        <v>0</v>
      </c>
    </row>
    <row r="220" spans="1:29" x14ac:dyDescent="0.35">
      <c r="A220" t="s">
        <v>236</v>
      </c>
      <c r="B220" t="s">
        <v>574</v>
      </c>
      <c r="C220" t="s">
        <v>841</v>
      </c>
      <c r="D220" t="s">
        <v>2138</v>
      </c>
      <c r="E220" t="s">
        <v>1969</v>
      </c>
      <c r="F220" t="s">
        <v>1024</v>
      </c>
      <c r="G220" t="s">
        <v>1032</v>
      </c>
      <c r="H220" t="s">
        <v>1037</v>
      </c>
      <c r="I220" t="s">
        <v>1041</v>
      </c>
      <c r="J220" t="s">
        <v>1742</v>
      </c>
      <c r="K220" s="9">
        <v>45525</v>
      </c>
      <c r="L220" s="20">
        <f t="shared" si="29"/>
        <v>45505</v>
      </c>
      <c r="M220" s="10">
        <f t="shared" si="30"/>
        <v>2024</v>
      </c>
      <c r="N220" s="9">
        <v>45536</v>
      </c>
      <c r="O220" s="9">
        <v>45551</v>
      </c>
      <c r="P220" s="9" t="s">
        <v>2350</v>
      </c>
      <c r="Q220" s="26" t="str">
        <f t="shared" si="31"/>
        <v/>
      </c>
      <c r="R220" t="s">
        <v>1618</v>
      </c>
      <c r="S220" s="15">
        <v>47103</v>
      </c>
      <c r="T220" s="15">
        <v>45973</v>
      </c>
      <c r="U220" t="s">
        <v>1623</v>
      </c>
      <c r="V220" t="s">
        <v>1627</v>
      </c>
      <c r="W220" s="17">
        <v>3.3</v>
      </c>
      <c r="X220" s="10">
        <f t="shared" si="32"/>
        <v>1</v>
      </c>
      <c r="Y220" s="10">
        <f t="shared" si="33"/>
        <v>0</v>
      </c>
      <c r="Z220" s="10">
        <f t="shared" si="34"/>
        <v>0</v>
      </c>
      <c r="AA220">
        <f t="shared" si="27"/>
        <v>1</v>
      </c>
      <c r="AB220">
        <f t="shared" si="35"/>
        <v>1</v>
      </c>
      <c r="AC220">
        <f t="shared" si="28"/>
        <v>0</v>
      </c>
    </row>
    <row r="221" spans="1:29" x14ac:dyDescent="0.35">
      <c r="A221" t="s">
        <v>237</v>
      </c>
      <c r="B221" t="s">
        <v>477</v>
      </c>
      <c r="C221" t="s">
        <v>2139</v>
      </c>
      <c r="D221" t="s">
        <v>2084</v>
      </c>
      <c r="E221" t="s">
        <v>1945</v>
      </c>
      <c r="F221" t="s">
        <v>1022</v>
      </c>
      <c r="G221" t="s">
        <v>1030</v>
      </c>
      <c r="H221" t="s">
        <v>1040</v>
      </c>
      <c r="I221" t="s">
        <v>1042</v>
      </c>
      <c r="J221" t="s">
        <v>1742</v>
      </c>
      <c r="K221" s="9">
        <v>45505</v>
      </c>
      <c r="L221" s="20">
        <f t="shared" si="29"/>
        <v>45505</v>
      </c>
      <c r="M221" s="10">
        <f t="shared" si="30"/>
        <v>2024</v>
      </c>
      <c r="N221" s="9">
        <v>45516</v>
      </c>
      <c r="O221" s="9">
        <v>45541</v>
      </c>
      <c r="P221" s="9" t="s">
        <v>2350</v>
      </c>
      <c r="Q221" s="26" t="str">
        <f t="shared" si="31"/>
        <v/>
      </c>
      <c r="R221" t="s">
        <v>1618</v>
      </c>
      <c r="S221" s="15">
        <v>39853</v>
      </c>
      <c r="T221" s="15">
        <v>40676</v>
      </c>
      <c r="U221" t="s">
        <v>1621</v>
      </c>
      <c r="V221" t="s">
        <v>1626</v>
      </c>
      <c r="W221" s="17">
        <v>3.2</v>
      </c>
      <c r="X221" s="10">
        <f t="shared" si="32"/>
        <v>1</v>
      </c>
      <c r="Y221" s="10">
        <f t="shared" si="33"/>
        <v>0</v>
      </c>
      <c r="Z221" s="10">
        <f t="shared" si="34"/>
        <v>0</v>
      </c>
      <c r="AA221">
        <f t="shared" si="27"/>
        <v>1</v>
      </c>
      <c r="AB221">
        <f t="shared" si="35"/>
        <v>1</v>
      </c>
      <c r="AC221">
        <f t="shared" si="28"/>
        <v>0</v>
      </c>
    </row>
    <row r="222" spans="1:29" x14ac:dyDescent="0.35">
      <c r="A222" t="s">
        <v>238</v>
      </c>
      <c r="B222" t="s">
        <v>418</v>
      </c>
      <c r="C222" t="s">
        <v>2140</v>
      </c>
      <c r="D222" t="s">
        <v>2112</v>
      </c>
      <c r="E222" t="s">
        <v>2141</v>
      </c>
      <c r="F222" t="s">
        <v>1027</v>
      </c>
      <c r="G222" t="s">
        <v>1032</v>
      </c>
      <c r="H222" t="s">
        <v>1037</v>
      </c>
      <c r="I222" t="s">
        <v>1043</v>
      </c>
      <c r="J222" t="s">
        <v>1048</v>
      </c>
      <c r="K222" s="9">
        <v>45652</v>
      </c>
      <c r="L222" s="20">
        <f t="shared" si="29"/>
        <v>45627</v>
      </c>
      <c r="M222" s="10">
        <f t="shared" si="30"/>
        <v>2024</v>
      </c>
      <c r="N222" s="9" t="s">
        <v>2350</v>
      </c>
      <c r="O222" s="9" t="s">
        <v>2350</v>
      </c>
      <c r="P222" s="9" t="s">
        <v>2350</v>
      </c>
      <c r="Q222" s="26" t="str">
        <f t="shared" si="31"/>
        <v/>
      </c>
      <c r="R222" t="s">
        <v>1616</v>
      </c>
      <c r="S222" s="15">
        <v>38830</v>
      </c>
      <c r="U222" t="s">
        <v>1622</v>
      </c>
      <c r="V222" t="s">
        <v>1626</v>
      </c>
      <c r="W222" s="17">
        <v>3.5</v>
      </c>
      <c r="X222" s="10">
        <f t="shared" si="32"/>
        <v>1</v>
      </c>
      <c r="Y222" s="10">
        <f t="shared" si="33"/>
        <v>0</v>
      </c>
      <c r="Z222" s="10">
        <f t="shared" si="34"/>
        <v>0</v>
      </c>
      <c r="AA222">
        <f t="shared" si="27"/>
        <v>0</v>
      </c>
      <c r="AB222">
        <f t="shared" si="35"/>
        <v>0</v>
      </c>
      <c r="AC222">
        <f t="shared" si="28"/>
        <v>0</v>
      </c>
    </row>
    <row r="223" spans="1:29" x14ac:dyDescent="0.35">
      <c r="A223" t="s">
        <v>239</v>
      </c>
      <c r="B223" t="s">
        <v>575</v>
      </c>
      <c r="C223" t="s">
        <v>2142</v>
      </c>
      <c r="D223" t="s">
        <v>1931</v>
      </c>
      <c r="E223" t="s">
        <v>1877</v>
      </c>
      <c r="F223" t="s">
        <v>1024</v>
      </c>
      <c r="G223" t="s">
        <v>1028</v>
      </c>
      <c r="H223" t="s">
        <v>1035</v>
      </c>
      <c r="I223" t="s">
        <v>1043</v>
      </c>
      <c r="J223" t="s">
        <v>1742</v>
      </c>
      <c r="K223" s="9">
        <v>45381</v>
      </c>
      <c r="L223" s="20">
        <f t="shared" si="29"/>
        <v>45352</v>
      </c>
      <c r="M223" s="10">
        <f t="shared" si="30"/>
        <v>2024</v>
      </c>
      <c r="N223" s="9">
        <v>45393</v>
      </c>
      <c r="O223" s="9" t="s">
        <v>2350</v>
      </c>
      <c r="P223" s="9" t="s">
        <v>2350</v>
      </c>
      <c r="Q223" s="26" t="str">
        <f t="shared" si="31"/>
        <v/>
      </c>
      <c r="R223" t="s">
        <v>1615</v>
      </c>
      <c r="S223" s="15">
        <v>32923</v>
      </c>
      <c r="U223" t="s">
        <v>1621</v>
      </c>
      <c r="V223" t="s">
        <v>1627</v>
      </c>
      <c r="W223" s="17">
        <v>2.7</v>
      </c>
      <c r="X223" s="10">
        <f t="shared" si="32"/>
        <v>1</v>
      </c>
      <c r="Y223" s="10">
        <f t="shared" si="33"/>
        <v>0</v>
      </c>
      <c r="Z223" s="10">
        <f t="shared" si="34"/>
        <v>0</v>
      </c>
      <c r="AA223">
        <f t="shared" si="27"/>
        <v>1</v>
      </c>
      <c r="AB223">
        <f t="shared" si="35"/>
        <v>0</v>
      </c>
      <c r="AC223">
        <f t="shared" si="28"/>
        <v>0</v>
      </c>
    </row>
    <row r="224" spans="1:29" x14ac:dyDescent="0.35">
      <c r="A224" t="s">
        <v>240</v>
      </c>
      <c r="B224" t="s">
        <v>441</v>
      </c>
      <c r="C224" t="s">
        <v>845</v>
      </c>
      <c r="D224" t="s">
        <v>1882</v>
      </c>
      <c r="E224" t="s">
        <v>1754</v>
      </c>
      <c r="F224" t="s">
        <v>1026</v>
      </c>
      <c r="G224" t="s">
        <v>1028</v>
      </c>
      <c r="H224" t="s">
        <v>1034</v>
      </c>
      <c r="I224" t="s">
        <v>1041</v>
      </c>
      <c r="J224" t="s">
        <v>1742</v>
      </c>
      <c r="K224" s="9">
        <v>45461</v>
      </c>
      <c r="L224" s="20">
        <f t="shared" si="29"/>
        <v>45444</v>
      </c>
      <c r="M224" s="10">
        <f t="shared" si="30"/>
        <v>2024</v>
      </c>
      <c r="N224" s="9" t="s">
        <v>2350</v>
      </c>
      <c r="O224" s="9" t="s">
        <v>2350</v>
      </c>
      <c r="P224" s="9" t="s">
        <v>2350</v>
      </c>
      <c r="Q224" s="26" t="str">
        <f t="shared" si="31"/>
        <v/>
      </c>
      <c r="R224" t="s">
        <v>1616</v>
      </c>
      <c r="S224" s="15">
        <v>33884</v>
      </c>
      <c r="U224" t="s">
        <v>1623</v>
      </c>
      <c r="V224" t="s">
        <v>1626</v>
      </c>
      <c r="W224" s="17">
        <v>3.3</v>
      </c>
      <c r="X224" s="10">
        <f t="shared" si="32"/>
        <v>1</v>
      </c>
      <c r="Y224" s="10">
        <f t="shared" si="33"/>
        <v>0</v>
      </c>
      <c r="Z224" s="10">
        <f t="shared" si="34"/>
        <v>0</v>
      </c>
      <c r="AA224">
        <f t="shared" si="27"/>
        <v>0</v>
      </c>
      <c r="AB224">
        <f t="shared" si="35"/>
        <v>0</v>
      </c>
      <c r="AC224">
        <f t="shared" si="28"/>
        <v>0</v>
      </c>
    </row>
    <row r="225" spans="1:29" x14ac:dyDescent="0.35">
      <c r="A225" t="s">
        <v>241</v>
      </c>
      <c r="B225" t="s">
        <v>425</v>
      </c>
      <c r="C225" t="s">
        <v>846</v>
      </c>
      <c r="D225" t="s">
        <v>1782</v>
      </c>
      <c r="E225" t="s">
        <v>1877</v>
      </c>
      <c r="F225" t="s">
        <v>1026</v>
      </c>
      <c r="G225" t="s">
        <v>1028</v>
      </c>
      <c r="H225" t="s">
        <v>1039</v>
      </c>
      <c r="I225" t="s">
        <v>1045</v>
      </c>
      <c r="J225" t="s">
        <v>1742</v>
      </c>
      <c r="K225" s="9">
        <v>45680</v>
      </c>
      <c r="L225" s="20">
        <f t="shared" si="29"/>
        <v>45658</v>
      </c>
      <c r="M225" s="10">
        <f t="shared" si="30"/>
        <v>2025</v>
      </c>
      <c r="N225" s="9" t="s">
        <v>2350</v>
      </c>
      <c r="O225" s="9" t="s">
        <v>2350</v>
      </c>
      <c r="P225" s="9" t="s">
        <v>2350</v>
      </c>
      <c r="Q225" s="26" t="str">
        <f t="shared" si="31"/>
        <v/>
      </c>
      <c r="R225" t="s">
        <v>1619</v>
      </c>
      <c r="S225" s="15">
        <v>31327</v>
      </c>
      <c r="U225" t="s">
        <v>1625</v>
      </c>
      <c r="V225" t="s">
        <v>1626</v>
      </c>
      <c r="W225" s="17">
        <v>3</v>
      </c>
      <c r="X225" s="10">
        <f t="shared" si="32"/>
        <v>1</v>
      </c>
      <c r="Y225" s="10">
        <f t="shared" si="33"/>
        <v>0</v>
      </c>
      <c r="Z225" s="10">
        <f t="shared" si="34"/>
        <v>1</v>
      </c>
      <c r="AA225">
        <f t="shared" si="27"/>
        <v>0</v>
      </c>
      <c r="AB225">
        <f t="shared" si="35"/>
        <v>0</v>
      </c>
      <c r="AC225">
        <f t="shared" si="28"/>
        <v>0</v>
      </c>
    </row>
    <row r="226" spans="1:29" x14ac:dyDescent="0.35">
      <c r="A226" t="s">
        <v>242</v>
      </c>
      <c r="B226" t="s">
        <v>492</v>
      </c>
      <c r="C226" t="s">
        <v>847</v>
      </c>
      <c r="D226" t="s">
        <v>2143</v>
      </c>
      <c r="E226" t="s">
        <v>1744</v>
      </c>
      <c r="F226" t="s">
        <v>1027</v>
      </c>
      <c r="G226" t="s">
        <v>1028</v>
      </c>
      <c r="H226" t="s">
        <v>1037</v>
      </c>
      <c r="I226" t="s">
        <v>1041</v>
      </c>
      <c r="J226" t="s">
        <v>1048</v>
      </c>
      <c r="K226" s="9">
        <v>45570</v>
      </c>
      <c r="L226" s="20">
        <f t="shared" si="29"/>
        <v>45566</v>
      </c>
      <c r="M226" s="10">
        <f t="shared" si="30"/>
        <v>2024</v>
      </c>
      <c r="N226" s="9" t="s">
        <v>2350</v>
      </c>
      <c r="O226" s="9" t="s">
        <v>2350</v>
      </c>
      <c r="P226" s="9" t="s">
        <v>2350</v>
      </c>
      <c r="Q226" s="26" t="str">
        <f t="shared" si="31"/>
        <v/>
      </c>
      <c r="R226" t="s">
        <v>1616</v>
      </c>
      <c r="S226" s="15">
        <v>38045</v>
      </c>
      <c r="U226" t="s">
        <v>1625</v>
      </c>
      <c r="V226" t="s">
        <v>1626</v>
      </c>
      <c r="W226" s="17">
        <v>4.0999999999999996</v>
      </c>
      <c r="X226" s="10">
        <f t="shared" si="32"/>
        <v>1</v>
      </c>
      <c r="Y226" s="10">
        <f t="shared" si="33"/>
        <v>0</v>
      </c>
      <c r="Z226" s="10">
        <f t="shared" si="34"/>
        <v>0</v>
      </c>
      <c r="AA226">
        <f t="shared" si="27"/>
        <v>0</v>
      </c>
      <c r="AB226">
        <f t="shared" si="35"/>
        <v>0</v>
      </c>
      <c r="AC226">
        <f t="shared" si="28"/>
        <v>0</v>
      </c>
    </row>
    <row r="227" spans="1:29" x14ac:dyDescent="0.35">
      <c r="A227" t="s">
        <v>243</v>
      </c>
      <c r="B227" t="s">
        <v>576</v>
      </c>
      <c r="C227" t="s">
        <v>848</v>
      </c>
      <c r="D227" t="s">
        <v>2144</v>
      </c>
      <c r="E227" t="s">
        <v>1852</v>
      </c>
      <c r="F227" t="s">
        <v>1022</v>
      </c>
      <c r="G227" t="s">
        <v>1031</v>
      </c>
      <c r="H227" t="s">
        <v>1039</v>
      </c>
      <c r="I227" t="s">
        <v>1043</v>
      </c>
      <c r="J227" t="s">
        <v>1742</v>
      </c>
      <c r="K227" s="9">
        <v>45776</v>
      </c>
      <c r="L227" s="20">
        <f t="shared" si="29"/>
        <v>45748</v>
      </c>
      <c r="M227" s="10">
        <f t="shared" si="30"/>
        <v>2025</v>
      </c>
      <c r="N227" s="9" t="s">
        <v>2350</v>
      </c>
      <c r="O227" s="9" t="s">
        <v>2350</v>
      </c>
      <c r="P227" s="9" t="s">
        <v>2350</v>
      </c>
      <c r="Q227" s="26" t="str">
        <f t="shared" si="31"/>
        <v/>
      </c>
      <c r="R227" t="s">
        <v>1616</v>
      </c>
      <c r="S227" s="15">
        <v>29811</v>
      </c>
      <c r="U227" t="s">
        <v>1623</v>
      </c>
      <c r="V227" t="s">
        <v>1627</v>
      </c>
      <c r="W227" s="17">
        <v>2.8</v>
      </c>
      <c r="X227" s="10">
        <f t="shared" si="32"/>
        <v>1</v>
      </c>
      <c r="Y227" s="10">
        <f t="shared" si="33"/>
        <v>0</v>
      </c>
      <c r="Z227" s="10">
        <f t="shared" si="34"/>
        <v>0</v>
      </c>
      <c r="AA227">
        <f t="shared" si="27"/>
        <v>0</v>
      </c>
      <c r="AB227">
        <f t="shared" si="35"/>
        <v>0</v>
      </c>
      <c r="AC227">
        <f t="shared" si="28"/>
        <v>0</v>
      </c>
    </row>
    <row r="228" spans="1:29" x14ac:dyDescent="0.35">
      <c r="A228" t="s">
        <v>244</v>
      </c>
      <c r="B228" t="s">
        <v>577</v>
      </c>
      <c r="C228" t="s">
        <v>849</v>
      </c>
      <c r="D228" t="s">
        <v>2022</v>
      </c>
      <c r="E228" t="s">
        <v>1940</v>
      </c>
      <c r="F228" t="s">
        <v>1025</v>
      </c>
      <c r="G228" t="s">
        <v>1031</v>
      </c>
      <c r="H228" t="s">
        <v>1037</v>
      </c>
      <c r="I228" t="s">
        <v>1043</v>
      </c>
      <c r="J228" t="s">
        <v>1742</v>
      </c>
      <c r="K228" s="9">
        <v>45780</v>
      </c>
      <c r="L228" s="20">
        <f t="shared" si="29"/>
        <v>45778</v>
      </c>
      <c r="M228" s="10">
        <f t="shared" si="30"/>
        <v>2025</v>
      </c>
      <c r="N228" s="9" t="s">
        <v>2350</v>
      </c>
      <c r="O228" s="9" t="s">
        <v>2350</v>
      </c>
      <c r="P228" s="9" t="s">
        <v>2350</v>
      </c>
      <c r="Q228" s="26" t="str">
        <f t="shared" si="31"/>
        <v/>
      </c>
      <c r="R228" t="s">
        <v>1616</v>
      </c>
      <c r="S228" s="15">
        <v>29542</v>
      </c>
      <c r="U228" t="s">
        <v>1624</v>
      </c>
      <c r="V228" t="s">
        <v>1628</v>
      </c>
      <c r="W228" s="17">
        <v>2.7</v>
      </c>
      <c r="X228" s="10">
        <f t="shared" si="32"/>
        <v>1</v>
      </c>
      <c r="Y228" s="10">
        <f t="shared" si="33"/>
        <v>0</v>
      </c>
      <c r="Z228" s="10">
        <f t="shared" si="34"/>
        <v>0</v>
      </c>
      <c r="AA228">
        <f t="shared" si="27"/>
        <v>0</v>
      </c>
      <c r="AB228">
        <f t="shared" si="35"/>
        <v>0</v>
      </c>
      <c r="AC228">
        <f t="shared" si="28"/>
        <v>0</v>
      </c>
    </row>
    <row r="229" spans="1:29" x14ac:dyDescent="0.35">
      <c r="A229" t="s">
        <v>245</v>
      </c>
      <c r="B229" t="s">
        <v>578</v>
      </c>
      <c r="C229" t="s">
        <v>850</v>
      </c>
      <c r="D229" t="s">
        <v>1805</v>
      </c>
      <c r="E229" t="s">
        <v>2145</v>
      </c>
      <c r="F229" t="s">
        <v>1022</v>
      </c>
      <c r="G229" t="s">
        <v>1032</v>
      </c>
      <c r="H229" t="s">
        <v>1034</v>
      </c>
      <c r="I229" t="s">
        <v>1045</v>
      </c>
      <c r="J229" t="s">
        <v>1742</v>
      </c>
      <c r="K229" s="9">
        <v>45773</v>
      </c>
      <c r="L229" s="20">
        <f t="shared" si="29"/>
        <v>45748</v>
      </c>
      <c r="M229" s="10">
        <f t="shared" si="30"/>
        <v>2025</v>
      </c>
      <c r="N229" s="9" t="s">
        <v>2350</v>
      </c>
      <c r="O229" s="9" t="s">
        <v>2350</v>
      </c>
      <c r="P229" s="9" t="s">
        <v>2350</v>
      </c>
      <c r="Q229" s="26" t="str">
        <f t="shared" si="31"/>
        <v/>
      </c>
      <c r="R229" t="s">
        <v>1619</v>
      </c>
      <c r="S229" s="15">
        <v>50678</v>
      </c>
      <c r="U229" t="s">
        <v>1622</v>
      </c>
      <c r="V229" t="s">
        <v>1626</v>
      </c>
      <c r="W229" s="17">
        <v>3.9</v>
      </c>
      <c r="X229" s="10">
        <f t="shared" si="32"/>
        <v>1</v>
      </c>
      <c r="Y229" s="10">
        <f t="shared" si="33"/>
        <v>0</v>
      </c>
      <c r="Z229" s="10">
        <f t="shared" si="34"/>
        <v>1</v>
      </c>
      <c r="AA229">
        <f t="shared" si="27"/>
        <v>0</v>
      </c>
      <c r="AB229">
        <f t="shared" si="35"/>
        <v>0</v>
      </c>
      <c r="AC229">
        <f t="shared" si="28"/>
        <v>0</v>
      </c>
    </row>
    <row r="230" spans="1:29" x14ac:dyDescent="0.35">
      <c r="A230" t="s">
        <v>246</v>
      </c>
      <c r="B230" t="s">
        <v>506</v>
      </c>
      <c r="C230" t="s">
        <v>851</v>
      </c>
      <c r="D230" t="s">
        <v>1764</v>
      </c>
      <c r="E230" t="s">
        <v>1776</v>
      </c>
      <c r="F230" t="s">
        <v>1026</v>
      </c>
      <c r="G230" t="s">
        <v>1028</v>
      </c>
      <c r="H230" t="s">
        <v>1037</v>
      </c>
      <c r="I230" t="s">
        <v>1043</v>
      </c>
      <c r="J230" t="s">
        <v>1050</v>
      </c>
      <c r="K230" s="9">
        <v>45554</v>
      </c>
      <c r="L230" s="20">
        <f t="shared" si="29"/>
        <v>45536</v>
      </c>
      <c r="M230" s="10">
        <f t="shared" si="30"/>
        <v>2024</v>
      </c>
      <c r="N230" s="9" t="s">
        <v>2350</v>
      </c>
      <c r="O230" s="9" t="s">
        <v>2350</v>
      </c>
      <c r="P230" s="9" t="s">
        <v>2350</v>
      </c>
      <c r="Q230" s="26" t="str">
        <f t="shared" si="31"/>
        <v/>
      </c>
      <c r="R230" t="s">
        <v>1616</v>
      </c>
      <c r="S230" s="15">
        <v>34998</v>
      </c>
      <c r="U230" t="s">
        <v>1621</v>
      </c>
      <c r="V230" t="s">
        <v>1626</v>
      </c>
      <c r="W230" s="17">
        <v>2.4</v>
      </c>
      <c r="X230" s="10">
        <f t="shared" si="32"/>
        <v>1</v>
      </c>
      <c r="Y230" s="10">
        <f t="shared" si="33"/>
        <v>0</v>
      </c>
      <c r="Z230" s="10">
        <f t="shared" si="34"/>
        <v>0</v>
      </c>
      <c r="AA230">
        <f t="shared" si="27"/>
        <v>0</v>
      </c>
      <c r="AB230">
        <f t="shared" si="35"/>
        <v>0</v>
      </c>
      <c r="AC230">
        <f t="shared" si="28"/>
        <v>0</v>
      </c>
    </row>
    <row r="231" spans="1:29" x14ac:dyDescent="0.35">
      <c r="A231" t="s">
        <v>247</v>
      </c>
      <c r="B231" t="s">
        <v>579</v>
      </c>
      <c r="C231" t="s">
        <v>2146</v>
      </c>
      <c r="D231" t="s">
        <v>2147</v>
      </c>
      <c r="E231" t="s">
        <v>2148</v>
      </c>
      <c r="F231" t="s">
        <v>1026</v>
      </c>
      <c r="G231" t="s">
        <v>1029</v>
      </c>
      <c r="H231" t="s">
        <v>1034</v>
      </c>
      <c r="I231" t="s">
        <v>1043</v>
      </c>
      <c r="J231" t="s">
        <v>1048</v>
      </c>
      <c r="K231" s="9">
        <v>45440</v>
      </c>
      <c r="L231" s="20">
        <f t="shared" si="29"/>
        <v>45413</v>
      </c>
      <c r="M231" s="10">
        <f t="shared" si="30"/>
        <v>2024</v>
      </c>
      <c r="N231" s="9" t="s">
        <v>2350</v>
      </c>
      <c r="O231" s="9" t="s">
        <v>2350</v>
      </c>
      <c r="P231" s="9" t="s">
        <v>2350</v>
      </c>
      <c r="Q231" s="26" t="str">
        <f t="shared" si="31"/>
        <v/>
      </c>
      <c r="R231" t="s">
        <v>1619</v>
      </c>
      <c r="S231" s="15">
        <v>44716</v>
      </c>
      <c r="U231" t="s">
        <v>1621</v>
      </c>
      <c r="V231" t="s">
        <v>1628</v>
      </c>
      <c r="W231" s="17">
        <v>3.8</v>
      </c>
      <c r="X231" s="10">
        <f t="shared" si="32"/>
        <v>1</v>
      </c>
      <c r="Y231" s="10">
        <f t="shared" si="33"/>
        <v>0</v>
      </c>
      <c r="Z231" s="10">
        <f t="shared" si="34"/>
        <v>1</v>
      </c>
      <c r="AA231">
        <f t="shared" si="27"/>
        <v>0</v>
      </c>
      <c r="AB231">
        <f t="shared" si="35"/>
        <v>0</v>
      </c>
      <c r="AC231">
        <f t="shared" si="28"/>
        <v>0</v>
      </c>
    </row>
    <row r="232" spans="1:29" x14ac:dyDescent="0.35">
      <c r="A232" t="s">
        <v>248</v>
      </c>
      <c r="B232" t="s">
        <v>560</v>
      </c>
      <c r="C232" t="s">
        <v>2149</v>
      </c>
      <c r="D232" t="s">
        <v>1903</v>
      </c>
      <c r="E232" t="s">
        <v>2150</v>
      </c>
      <c r="F232" t="s">
        <v>1022</v>
      </c>
      <c r="G232" t="s">
        <v>1031</v>
      </c>
      <c r="H232" t="s">
        <v>1037</v>
      </c>
      <c r="I232" t="s">
        <v>1044</v>
      </c>
      <c r="J232" t="s">
        <v>1742</v>
      </c>
      <c r="K232" s="9">
        <v>45567</v>
      </c>
      <c r="L232" s="20">
        <f t="shared" si="29"/>
        <v>45566</v>
      </c>
      <c r="M232" s="10">
        <f t="shared" si="30"/>
        <v>2024</v>
      </c>
      <c r="N232" s="9" t="s">
        <v>2350</v>
      </c>
      <c r="O232" s="9" t="s">
        <v>2350</v>
      </c>
      <c r="P232" s="9" t="s">
        <v>2350</v>
      </c>
      <c r="Q232" s="26" t="str">
        <f t="shared" si="31"/>
        <v/>
      </c>
      <c r="R232" t="s">
        <v>1616</v>
      </c>
      <c r="S232" s="15">
        <v>38213</v>
      </c>
      <c r="U232" t="s">
        <v>1625</v>
      </c>
      <c r="V232" t="s">
        <v>1626</v>
      </c>
      <c r="W232" s="17">
        <v>4.4000000000000004</v>
      </c>
      <c r="X232" s="10">
        <f t="shared" si="32"/>
        <v>1</v>
      </c>
      <c r="Y232" s="10">
        <f t="shared" si="33"/>
        <v>0</v>
      </c>
      <c r="Z232" s="10">
        <f t="shared" si="34"/>
        <v>0</v>
      </c>
      <c r="AA232">
        <f t="shared" si="27"/>
        <v>0</v>
      </c>
      <c r="AB232">
        <f t="shared" si="35"/>
        <v>0</v>
      </c>
      <c r="AC232">
        <f t="shared" si="28"/>
        <v>0</v>
      </c>
    </row>
    <row r="233" spans="1:29" x14ac:dyDescent="0.35">
      <c r="A233" t="s">
        <v>249</v>
      </c>
      <c r="B233" t="s">
        <v>580</v>
      </c>
      <c r="C233" t="s">
        <v>854</v>
      </c>
      <c r="D233" t="s">
        <v>1974</v>
      </c>
      <c r="E233" t="s">
        <v>1907</v>
      </c>
      <c r="F233" t="s">
        <v>1025</v>
      </c>
      <c r="G233" t="s">
        <v>1029</v>
      </c>
      <c r="H233" t="s">
        <v>1037</v>
      </c>
      <c r="I233" t="s">
        <v>1042</v>
      </c>
      <c r="J233" t="s">
        <v>1742</v>
      </c>
      <c r="K233" s="9">
        <v>45570</v>
      </c>
      <c r="L233" s="20">
        <f t="shared" si="29"/>
        <v>45566</v>
      </c>
      <c r="M233" s="10">
        <f t="shared" si="30"/>
        <v>2024</v>
      </c>
      <c r="N233" s="9" t="s">
        <v>2350</v>
      </c>
      <c r="O233" s="9" t="s">
        <v>2350</v>
      </c>
      <c r="P233" s="9" t="s">
        <v>2350</v>
      </c>
      <c r="Q233" s="26" t="str">
        <f t="shared" si="31"/>
        <v/>
      </c>
      <c r="R233" t="s">
        <v>1616</v>
      </c>
      <c r="S233" s="15">
        <v>40024</v>
      </c>
      <c r="U233" t="s">
        <v>1624</v>
      </c>
      <c r="V233" t="s">
        <v>1628</v>
      </c>
      <c r="W233" s="17">
        <v>4.3</v>
      </c>
      <c r="X233" s="10">
        <f t="shared" si="32"/>
        <v>1</v>
      </c>
      <c r="Y233" s="10">
        <f t="shared" si="33"/>
        <v>0</v>
      </c>
      <c r="Z233" s="10">
        <f t="shared" si="34"/>
        <v>0</v>
      </c>
      <c r="AA233">
        <f t="shared" si="27"/>
        <v>0</v>
      </c>
      <c r="AB233">
        <f t="shared" si="35"/>
        <v>0</v>
      </c>
      <c r="AC233">
        <f t="shared" si="28"/>
        <v>0</v>
      </c>
    </row>
    <row r="234" spans="1:29" x14ac:dyDescent="0.35">
      <c r="A234" t="s">
        <v>250</v>
      </c>
      <c r="B234" t="s">
        <v>527</v>
      </c>
      <c r="C234" t="s">
        <v>848</v>
      </c>
      <c r="D234" t="s">
        <v>2144</v>
      </c>
      <c r="E234" t="s">
        <v>1852</v>
      </c>
      <c r="F234" t="s">
        <v>1025</v>
      </c>
      <c r="G234" t="s">
        <v>1032</v>
      </c>
      <c r="H234" t="s">
        <v>1037</v>
      </c>
      <c r="I234" t="s">
        <v>1042</v>
      </c>
      <c r="J234" t="s">
        <v>1050</v>
      </c>
      <c r="K234" s="9">
        <v>45731</v>
      </c>
      <c r="L234" s="20">
        <f t="shared" si="29"/>
        <v>45717</v>
      </c>
      <c r="M234" s="10">
        <f t="shared" si="30"/>
        <v>2025</v>
      </c>
      <c r="N234" s="9" t="s">
        <v>2350</v>
      </c>
      <c r="O234" s="9" t="s">
        <v>2350</v>
      </c>
      <c r="P234" s="9" t="s">
        <v>2350</v>
      </c>
      <c r="Q234" s="26" t="str">
        <f t="shared" si="31"/>
        <v/>
      </c>
      <c r="R234" t="s">
        <v>1616</v>
      </c>
      <c r="S234" s="15">
        <v>50839</v>
      </c>
      <c r="U234" t="s">
        <v>1621</v>
      </c>
      <c r="V234" t="s">
        <v>1626</v>
      </c>
      <c r="W234" s="17">
        <v>4.5</v>
      </c>
      <c r="X234" s="10">
        <f t="shared" si="32"/>
        <v>1</v>
      </c>
      <c r="Y234" s="10">
        <f t="shared" si="33"/>
        <v>0</v>
      </c>
      <c r="Z234" s="10">
        <f t="shared" si="34"/>
        <v>0</v>
      </c>
      <c r="AA234">
        <f t="shared" si="27"/>
        <v>0</v>
      </c>
      <c r="AB234">
        <f t="shared" si="35"/>
        <v>0</v>
      </c>
      <c r="AC234">
        <f t="shared" si="28"/>
        <v>0</v>
      </c>
    </row>
    <row r="235" spans="1:29" x14ac:dyDescent="0.35">
      <c r="A235" t="s">
        <v>251</v>
      </c>
      <c r="B235" t="s">
        <v>485</v>
      </c>
      <c r="C235" t="s">
        <v>855</v>
      </c>
      <c r="D235" t="s">
        <v>2151</v>
      </c>
      <c r="E235" t="s">
        <v>1852</v>
      </c>
      <c r="F235" t="s">
        <v>1023</v>
      </c>
      <c r="G235" t="s">
        <v>1030</v>
      </c>
      <c r="H235" t="s">
        <v>1037</v>
      </c>
      <c r="I235" t="s">
        <v>1043</v>
      </c>
      <c r="J235" t="s">
        <v>1742</v>
      </c>
      <c r="K235" s="9">
        <v>45505</v>
      </c>
      <c r="L235" s="20">
        <f t="shared" si="29"/>
        <v>45505</v>
      </c>
      <c r="M235" s="10">
        <f t="shared" si="30"/>
        <v>2024</v>
      </c>
      <c r="N235" s="9" t="s">
        <v>2350</v>
      </c>
      <c r="O235" s="9" t="s">
        <v>2350</v>
      </c>
      <c r="P235" s="9" t="s">
        <v>2350</v>
      </c>
      <c r="Q235" s="26" t="str">
        <f t="shared" si="31"/>
        <v/>
      </c>
      <c r="R235" t="s">
        <v>1616</v>
      </c>
      <c r="S235" s="15">
        <v>50440</v>
      </c>
      <c r="U235" t="s">
        <v>1623</v>
      </c>
      <c r="V235" t="s">
        <v>1626</v>
      </c>
      <c r="W235" s="17">
        <v>3.4</v>
      </c>
      <c r="X235" s="10">
        <f t="shared" si="32"/>
        <v>1</v>
      </c>
      <c r="Y235" s="10">
        <f t="shared" si="33"/>
        <v>0</v>
      </c>
      <c r="Z235" s="10">
        <f t="shared" si="34"/>
        <v>0</v>
      </c>
      <c r="AA235">
        <f t="shared" si="27"/>
        <v>0</v>
      </c>
      <c r="AB235">
        <f t="shared" si="35"/>
        <v>0</v>
      </c>
      <c r="AC235">
        <f t="shared" si="28"/>
        <v>0</v>
      </c>
    </row>
    <row r="236" spans="1:29" x14ac:dyDescent="0.35">
      <c r="A236" t="s">
        <v>252</v>
      </c>
      <c r="B236" t="s">
        <v>448</v>
      </c>
      <c r="C236" t="s">
        <v>856</v>
      </c>
      <c r="D236" t="s">
        <v>2152</v>
      </c>
      <c r="E236" t="s">
        <v>2153</v>
      </c>
      <c r="F236" t="s">
        <v>1022</v>
      </c>
      <c r="G236" t="s">
        <v>1030</v>
      </c>
      <c r="H236" t="s">
        <v>1036</v>
      </c>
      <c r="I236" t="s">
        <v>1043</v>
      </c>
      <c r="J236" t="s">
        <v>1742</v>
      </c>
      <c r="K236" s="9">
        <v>45497</v>
      </c>
      <c r="L236" s="20">
        <f t="shared" si="29"/>
        <v>45474</v>
      </c>
      <c r="M236" s="10">
        <f t="shared" si="30"/>
        <v>2024</v>
      </c>
      <c r="N236" s="9">
        <v>45504</v>
      </c>
      <c r="O236" s="9">
        <v>45528</v>
      </c>
      <c r="P236" s="9">
        <v>45534</v>
      </c>
      <c r="Q236" s="26">
        <f t="shared" si="31"/>
        <v>37</v>
      </c>
      <c r="R236" t="s">
        <v>1620</v>
      </c>
      <c r="S236" s="15">
        <v>34176</v>
      </c>
      <c r="T236" s="15">
        <v>36770</v>
      </c>
      <c r="U236" t="s">
        <v>1625</v>
      </c>
      <c r="V236" t="s">
        <v>1626</v>
      </c>
      <c r="W236" s="17">
        <v>2.8</v>
      </c>
      <c r="X236" s="10">
        <f t="shared" si="32"/>
        <v>1</v>
      </c>
      <c r="Y236" s="10">
        <f t="shared" si="33"/>
        <v>0</v>
      </c>
      <c r="Z236" s="10">
        <f t="shared" si="34"/>
        <v>0</v>
      </c>
      <c r="AA236">
        <f t="shared" si="27"/>
        <v>1</v>
      </c>
      <c r="AB236">
        <f t="shared" si="35"/>
        <v>0</v>
      </c>
      <c r="AC236">
        <f t="shared" si="28"/>
        <v>1</v>
      </c>
    </row>
    <row r="237" spans="1:29" x14ac:dyDescent="0.35">
      <c r="A237" t="s">
        <v>253</v>
      </c>
      <c r="B237" t="s">
        <v>464</v>
      </c>
      <c r="C237" t="s">
        <v>857</v>
      </c>
      <c r="D237" t="s">
        <v>1813</v>
      </c>
      <c r="E237" t="s">
        <v>1868</v>
      </c>
      <c r="F237" t="s">
        <v>1027</v>
      </c>
      <c r="G237" t="s">
        <v>1029</v>
      </c>
      <c r="H237" t="s">
        <v>1741</v>
      </c>
      <c r="I237" t="s">
        <v>1042</v>
      </c>
      <c r="J237" t="s">
        <v>1742</v>
      </c>
      <c r="K237" s="9">
        <v>45386</v>
      </c>
      <c r="L237" s="20">
        <f t="shared" si="29"/>
        <v>45383</v>
      </c>
      <c r="M237" s="10">
        <f t="shared" si="30"/>
        <v>2024</v>
      </c>
      <c r="N237" s="9">
        <v>45399</v>
      </c>
      <c r="O237" s="9" t="s">
        <v>2350</v>
      </c>
      <c r="P237" s="9" t="s">
        <v>2350</v>
      </c>
      <c r="Q237" s="26" t="str">
        <f t="shared" si="31"/>
        <v/>
      </c>
      <c r="R237" t="s">
        <v>1615</v>
      </c>
      <c r="S237" s="15">
        <v>31908</v>
      </c>
      <c r="U237" t="s">
        <v>1621</v>
      </c>
      <c r="V237" t="s">
        <v>1626</v>
      </c>
      <c r="W237" s="17">
        <v>4.5999999999999996</v>
      </c>
      <c r="X237" s="10">
        <f t="shared" si="32"/>
        <v>1</v>
      </c>
      <c r="Y237" s="10">
        <f t="shared" si="33"/>
        <v>0</v>
      </c>
      <c r="Z237" s="10">
        <f t="shared" si="34"/>
        <v>0</v>
      </c>
      <c r="AA237">
        <f t="shared" si="27"/>
        <v>1</v>
      </c>
      <c r="AB237">
        <f t="shared" si="35"/>
        <v>0</v>
      </c>
      <c r="AC237">
        <f t="shared" si="28"/>
        <v>0</v>
      </c>
    </row>
    <row r="238" spans="1:29" x14ac:dyDescent="0.35">
      <c r="A238" t="s">
        <v>254</v>
      </c>
      <c r="B238" t="s">
        <v>581</v>
      </c>
      <c r="C238" t="s">
        <v>2154</v>
      </c>
      <c r="D238" t="s">
        <v>2155</v>
      </c>
      <c r="E238" t="s">
        <v>2052</v>
      </c>
      <c r="F238" t="s">
        <v>1022</v>
      </c>
      <c r="G238" t="s">
        <v>1031</v>
      </c>
      <c r="H238" t="s">
        <v>1035</v>
      </c>
      <c r="I238" t="s">
        <v>1043</v>
      </c>
      <c r="J238" t="s">
        <v>1742</v>
      </c>
      <c r="K238" s="9">
        <v>45621</v>
      </c>
      <c r="L238" s="20">
        <f t="shared" si="29"/>
        <v>45597</v>
      </c>
      <c r="M238" s="10">
        <f t="shared" si="30"/>
        <v>2024</v>
      </c>
      <c r="N238" s="9" t="s">
        <v>2350</v>
      </c>
      <c r="O238" s="9" t="s">
        <v>2350</v>
      </c>
      <c r="P238" s="9" t="s">
        <v>2350</v>
      </c>
      <c r="Q238" s="26" t="str">
        <f t="shared" si="31"/>
        <v/>
      </c>
      <c r="R238" t="s">
        <v>1616</v>
      </c>
      <c r="S238" s="15">
        <v>46276</v>
      </c>
      <c r="U238" t="s">
        <v>1624</v>
      </c>
      <c r="V238" t="s">
        <v>1627</v>
      </c>
      <c r="W238" s="17">
        <v>2.6</v>
      </c>
      <c r="X238" s="10">
        <f t="shared" si="32"/>
        <v>1</v>
      </c>
      <c r="Y238" s="10">
        <f t="shared" si="33"/>
        <v>0</v>
      </c>
      <c r="Z238" s="10">
        <f t="shared" si="34"/>
        <v>0</v>
      </c>
      <c r="AA238">
        <f t="shared" si="27"/>
        <v>0</v>
      </c>
      <c r="AB238">
        <f t="shared" si="35"/>
        <v>0</v>
      </c>
      <c r="AC238">
        <f t="shared" si="28"/>
        <v>0</v>
      </c>
    </row>
    <row r="239" spans="1:29" x14ac:dyDescent="0.35">
      <c r="A239" t="s">
        <v>255</v>
      </c>
      <c r="B239" t="s">
        <v>582</v>
      </c>
      <c r="C239" t="s">
        <v>859</v>
      </c>
      <c r="D239" t="s">
        <v>1826</v>
      </c>
      <c r="E239" t="s">
        <v>2156</v>
      </c>
      <c r="F239" t="s">
        <v>1025</v>
      </c>
      <c r="G239" t="s">
        <v>1029</v>
      </c>
      <c r="H239" t="s">
        <v>1741</v>
      </c>
      <c r="I239" t="s">
        <v>1042</v>
      </c>
      <c r="J239" t="s">
        <v>1742</v>
      </c>
      <c r="K239" s="9">
        <v>45400</v>
      </c>
      <c r="L239" s="20">
        <f t="shared" si="29"/>
        <v>45383</v>
      </c>
      <c r="M239" s="10">
        <f t="shared" si="30"/>
        <v>2024</v>
      </c>
      <c r="N239" s="9">
        <v>45426</v>
      </c>
      <c r="O239" s="9">
        <v>45424</v>
      </c>
      <c r="P239" s="9">
        <v>45435</v>
      </c>
      <c r="Q239" s="26">
        <f t="shared" si="31"/>
        <v>35</v>
      </c>
      <c r="R239" t="s">
        <v>1620</v>
      </c>
      <c r="S239" s="15">
        <v>32708</v>
      </c>
      <c r="T239" s="15">
        <v>35014</v>
      </c>
      <c r="U239" t="s">
        <v>1623</v>
      </c>
      <c r="V239" t="s">
        <v>1626</v>
      </c>
      <c r="W239" s="17">
        <v>3.1</v>
      </c>
      <c r="X239" s="10">
        <f t="shared" si="32"/>
        <v>1</v>
      </c>
      <c r="Y239" s="10">
        <f t="shared" si="33"/>
        <v>0</v>
      </c>
      <c r="Z239" s="10">
        <f t="shared" si="34"/>
        <v>0</v>
      </c>
      <c r="AA239">
        <f t="shared" si="27"/>
        <v>1</v>
      </c>
      <c r="AB239">
        <f t="shared" si="35"/>
        <v>0</v>
      </c>
      <c r="AC239">
        <f t="shared" si="28"/>
        <v>1</v>
      </c>
    </row>
    <row r="240" spans="1:29" x14ac:dyDescent="0.35">
      <c r="A240" t="s">
        <v>256</v>
      </c>
      <c r="B240" t="s">
        <v>583</v>
      </c>
      <c r="C240" t="s">
        <v>2157</v>
      </c>
      <c r="D240" t="s">
        <v>2061</v>
      </c>
      <c r="E240" t="s">
        <v>2158</v>
      </c>
      <c r="F240" t="s">
        <v>1024</v>
      </c>
      <c r="G240" t="s">
        <v>1028</v>
      </c>
      <c r="H240" t="s">
        <v>1037</v>
      </c>
      <c r="I240" t="s">
        <v>1043</v>
      </c>
      <c r="J240" t="s">
        <v>1049</v>
      </c>
      <c r="K240" s="9">
        <v>45481</v>
      </c>
      <c r="L240" s="20">
        <f t="shared" si="29"/>
        <v>45474</v>
      </c>
      <c r="M240" s="10">
        <f t="shared" si="30"/>
        <v>2024</v>
      </c>
      <c r="N240" s="9" t="s">
        <v>2350</v>
      </c>
      <c r="O240" s="9" t="s">
        <v>2350</v>
      </c>
      <c r="P240" s="9" t="s">
        <v>2350</v>
      </c>
      <c r="Q240" s="26" t="str">
        <f t="shared" si="31"/>
        <v/>
      </c>
      <c r="R240" t="s">
        <v>1619</v>
      </c>
      <c r="S240" s="15">
        <v>43659</v>
      </c>
      <c r="U240" t="s">
        <v>1622</v>
      </c>
      <c r="V240" t="s">
        <v>1627</v>
      </c>
      <c r="W240" s="17">
        <v>3.9</v>
      </c>
      <c r="X240" s="10">
        <f t="shared" si="32"/>
        <v>1</v>
      </c>
      <c r="Y240" s="10">
        <f t="shared" si="33"/>
        <v>0</v>
      </c>
      <c r="Z240" s="10">
        <f t="shared" si="34"/>
        <v>1</v>
      </c>
      <c r="AA240">
        <f t="shared" si="27"/>
        <v>0</v>
      </c>
      <c r="AB240">
        <f t="shared" si="35"/>
        <v>0</v>
      </c>
      <c r="AC240">
        <f t="shared" si="28"/>
        <v>0</v>
      </c>
    </row>
    <row r="241" spans="1:29" x14ac:dyDescent="0.35">
      <c r="A241" t="s">
        <v>257</v>
      </c>
      <c r="B241" t="s">
        <v>419</v>
      </c>
      <c r="C241" t="s">
        <v>861</v>
      </c>
      <c r="D241" t="s">
        <v>1844</v>
      </c>
      <c r="E241" t="s">
        <v>1837</v>
      </c>
      <c r="F241" t="s">
        <v>1026</v>
      </c>
      <c r="G241" t="s">
        <v>1029</v>
      </c>
      <c r="H241" t="s">
        <v>1037</v>
      </c>
      <c r="I241" t="s">
        <v>1042</v>
      </c>
      <c r="J241" t="s">
        <v>1051</v>
      </c>
      <c r="K241" s="9">
        <v>45485</v>
      </c>
      <c r="L241" s="20">
        <f t="shared" si="29"/>
        <v>45474</v>
      </c>
      <c r="M241" s="10">
        <f t="shared" si="30"/>
        <v>2024</v>
      </c>
      <c r="N241" s="9">
        <v>45512</v>
      </c>
      <c r="O241" s="9" t="s">
        <v>2350</v>
      </c>
      <c r="P241" s="9" t="s">
        <v>2350</v>
      </c>
      <c r="Q241" s="26" t="str">
        <f t="shared" si="31"/>
        <v/>
      </c>
      <c r="R241" t="s">
        <v>1615</v>
      </c>
      <c r="S241" s="15">
        <v>48097</v>
      </c>
      <c r="U241" t="s">
        <v>1624</v>
      </c>
      <c r="V241" t="s">
        <v>1626</v>
      </c>
      <c r="W241" s="17">
        <v>2.4</v>
      </c>
      <c r="X241" s="10">
        <f t="shared" si="32"/>
        <v>1</v>
      </c>
      <c r="Y241" s="10">
        <f t="shared" si="33"/>
        <v>0</v>
      </c>
      <c r="Z241" s="10">
        <f t="shared" si="34"/>
        <v>0</v>
      </c>
      <c r="AA241">
        <f t="shared" si="27"/>
        <v>1</v>
      </c>
      <c r="AB241">
        <f t="shared" si="35"/>
        <v>0</v>
      </c>
      <c r="AC241">
        <f t="shared" si="28"/>
        <v>0</v>
      </c>
    </row>
    <row r="242" spans="1:29" x14ac:dyDescent="0.35">
      <c r="A242" t="s">
        <v>258</v>
      </c>
      <c r="B242" t="s">
        <v>556</v>
      </c>
      <c r="C242" t="s">
        <v>2159</v>
      </c>
      <c r="D242" t="s">
        <v>2160</v>
      </c>
      <c r="E242" t="s">
        <v>2161</v>
      </c>
      <c r="F242" t="s">
        <v>1025</v>
      </c>
      <c r="G242" t="s">
        <v>1028</v>
      </c>
      <c r="H242" t="s">
        <v>1039</v>
      </c>
      <c r="I242" t="s">
        <v>1041</v>
      </c>
      <c r="J242" t="s">
        <v>1048</v>
      </c>
      <c r="K242" s="9">
        <v>45680</v>
      </c>
      <c r="L242" s="20">
        <f t="shared" si="29"/>
        <v>45658</v>
      </c>
      <c r="M242" s="10">
        <f t="shared" si="30"/>
        <v>2025</v>
      </c>
      <c r="N242" s="9" t="s">
        <v>2350</v>
      </c>
      <c r="O242" s="9" t="s">
        <v>2350</v>
      </c>
      <c r="P242" s="9" t="s">
        <v>2350</v>
      </c>
      <c r="Q242" s="26" t="str">
        <f t="shared" si="31"/>
        <v/>
      </c>
      <c r="R242" t="s">
        <v>1617</v>
      </c>
      <c r="S242" s="15">
        <v>40555</v>
      </c>
      <c r="U242" t="s">
        <v>1624</v>
      </c>
      <c r="V242" t="s">
        <v>1627</v>
      </c>
      <c r="W242" s="17">
        <v>4.7</v>
      </c>
      <c r="X242" s="10">
        <f t="shared" si="32"/>
        <v>1</v>
      </c>
      <c r="Y242" s="10">
        <f t="shared" si="33"/>
        <v>1</v>
      </c>
      <c r="Z242" s="10">
        <f t="shared" si="34"/>
        <v>0</v>
      </c>
      <c r="AA242">
        <f t="shared" si="27"/>
        <v>0</v>
      </c>
      <c r="AB242">
        <f t="shared" si="35"/>
        <v>0</v>
      </c>
      <c r="AC242">
        <f t="shared" si="28"/>
        <v>0</v>
      </c>
    </row>
    <row r="243" spans="1:29" x14ac:dyDescent="0.35">
      <c r="A243" t="s">
        <v>259</v>
      </c>
      <c r="B243" t="s">
        <v>584</v>
      </c>
      <c r="C243" t="s">
        <v>2162</v>
      </c>
      <c r="D243" t="s">
        <v>2163</v>
      </c>
      <c r="E243" t="s">
        <v>2164</v>
      </c>
      <c r="F243" t="s">
        <v>1025</v>
      </c>
      <c r="G243" t="s">
        <v>1032</v>
      </c>
      <c r="H243" t="s">
        <v>1034</v>
      </c>
      <c r="I243" t="s">
        <v>1043</v>
      </c>
      <c r="J243" t="s">
        <v>1049</v>
      </c>
      <c r="K243" s="9">
        <v>45456</v>
      </c>
      <c r="L243" s="20">
        <f t="shared" si="29"/>
        <v>45444</v>
      </c>
      <c r="M243" s="10">
        <f t="shared" si="30"/>
        <v>2024</v>
      </c>
      <c r="N243" s="9">
        <v>45463</v>
      </c>
      <c r="O243" s="9" t="s">
        <v>2350</v>
      </c>
      <c r="P243" s="9" t="s">
        <v>2350</v>
      </c>
      <c r="Q243" s="26" t="str">
        <f t="shared" si="31"/>
        <v/>
      </c>
      <c r="R243" t="s">
        <v>1615</v>
      </c>
      <c r="S243" s="15">
        <v>51983</v>
      </c>
      <c r="U243" t="s">
        <v>1624</v>
      </c>
      <c r="V243" t="s">
        <v>1627</v>
      </c>
      <c r="W243" s="17">
        <v>3.8</v>
      </c>
      <c r="X243" s="10">
        <f t="shared" si="32"/>
        <v>1</v>
      </c>
      <c r="Y243" s="10">
        <f t="shared" si="33"/>
        <v>0</v>
      </c>
      <c r="Z243" s="10">
        <f t="shared" si="34"/>
        <v>0</v>
      </c>
      <c r="AA243">
        <f t="shared" si="27"/>
        <v>1</v>
      </c>
      <c r="AB243">
        <f t="shared" si="35"/>
        <v>0</v>
      </c>
      <c r="AC243">
        <f t="shared" si="28"/>
        <v>0</v>
      </c>
    </row>
    <row r="244" spans="1:29" x14ac:dyDescent="0.35">
      <c r="A244" t="s">
        <v>260</v>
      </c>
      <c r="B244" t="s">
        <v>496</v>
      </c>
      <c r="C244" t="s">
        <v>2165</v>
      </c>
      <c r="D244" t="s">
        <v>2166</v>
      </c>
      <c r="E244" t="s">
        <v>1907</v>
      </c>
      <c r="F244" t="s">
        <v>1025</v>
      </c>
      <c r="G244" t="s">
        <v>1028</v>
      </c>
      <c r="H244" t="s">
        <v>1037</v>
      </c>
      <c r="I244" t="s">
        <v>1041</v>
      </c>
      <c r="J244" t="s">
        <v>1050</v>
      </c>
      <c r="K244" s="9">
        <v>45441</v>
      </c>
      <c r="L244" s="20">
        <f t="shared" si="29"/>
        <v>45413</v>
      </c>
      <c r="M244" s="10">
        <f t="shared" si="30"/>
        <v>2024</v>
      </c>
      <c r="N244" s="9" t="s">
        <v>2350</v>
      </c>
      <c r="O244" s="9" t="s">
        <v>2350</v>
      </c>
      <c r="P244" s="9" t="s">
        <v>2350</v>
      </c>
      <c r="Q244" s="26" t="str">
        <f t="shared" si="31"/>
        <v/>
      </c>
      <c r="R244" t="s">
        <v>1619</v>
      </c>
      <c r="S244" s="15">
        <v>45843</v>
      </c>
      <c r="U244" t="s">
        <v>1624</v>
      </c>
      <c r="V244" t="s">
        <v>1626</v>
      </c>
      <c r="W244" s="17">
        <v>4.2</v>
      </c>
      <c r="X244" s="10">
        <f t="shared" si="32"/>
        <v>1</v>
      </c>
      <c r="Y244" s="10">
        <f t="shared" si="33"/>
        <v>0</v>
      </c>
      <c r="Z244" s="10">
        <f t="shared" si="34"/>
        <v>1</v>
      </c>
      <c r="AA244">
        <f t="shared" si="27"/>
        <v>0</v>
      </c>
      <c r="AB244">
        <f t="shared" si="35"/>
        <v>0</v>
      </c>
      <c r="AC244">
        <f t="shared" si="28"/>
        <v>0</v>
      </c>
    </row>
    <row r="245" spans="1:29" x14ac:dyDescent="0.35">
      <c r="A245" t="s">
        <v>261</v>
      </c>
      <c r="B245" t="s">
        <v>585</v>
      </c>
      <c r="C245" t="s">
        <v>865</v>
      </c>
      <c r="D245" t="s">
        <v>1960</v>
      </c>
      <c r="E245" t="s">
        <v>1794</v>
      </c>
      <c r="F245" t="s">
        <v>1027</v>
      </c>
      <c r="G245" t="s">
        <v>1028</v>
      </c>
      <c r="H245" t="s">
        <v>1040</v>
      </c>
      <c r="I245" t="s">
        <v>1045</v>
      </c>
      <c r="J245" t="s">
        <v>1742</v>
      </c>
      <c r="K245" s="9">
        <v>45745</v>
      </c>
      <c r="L245" s="20">
        <f t="shared" si="29"/>
        <v>45717</v>
      </c>
      <c r="M245" s="10">
        <f t="shared" si="30"/>
        <v>2025</v>
      </c>
      <c r="N245" s="9">
        <v>45767</v>
      </c>
      <c r="O245" s="9">
        <v>45782</v>
      </c>
      <c r="P245" s="9" t="s">
        <v>2350</v>
      </c>
      <c r="Q245" s="26" t="str">
        <f t="shared" si="31"/>
        <v/>
      </c>
      <c r="R245" t="s">
        <v>1618</v>
      </c>
      <c r="S245" s="15">
        <v>41730</v>
      </c>
      <c r="T245" s="15">
        <v>39142</v>
      </c>
      <c r="U245" t="s">
        <v>1625</v>
      </c>
      <c r="V245" t="s">
        <v>1628</v>
      </c>
      <c r="W245" s="17">
        <v>2.4</v>
      </c>
      <c r="X245" s="10">
        <f t="shared" si="32"/>
        <v>1</v>
      </c>
      <c r="Y245" s="10">
        <f t="shared" si="33"/>
        <v>0</v>
      </c>
      <c r="Z245" s="10">
        <f t="shared" si="34"/>
        <v>0</v>
      </c>
      <c r="AA245">
        <f t="shared" si="27"/>
        <v>1</v>
      </c>
      <c r="AB245">
        <f t="shared" si="35"/>
        <v>1</v>
      </c>
      <c r="AC245">
        <f t="shared" si="28"/>
        <v>0</v>
      </c>
    </row>
    <row r="246" spans="1:29" x14ac:dyDescent="0.35">
      <c r="A246" t="s">
        <v>262</v>
      </c>
      <c r="B246" t="s">
        <v>509</v>
      </c>
      <c r="C246" t="s">
        <v>2167</v>
      </c>
      <c r="D246" t="s">
        <v>2168</v>
      </c>
      <c r="E246" t="s">
        <v>2169</v>
      </c>
      <c r="F246" t="s">
        <v>1026</v>
      </c>
      <c r="G246" t="s">
        <v>1031</v>
      </c>
      <c r="H246" t="s">
        <v>1741</v>
      </c>
      <c r="I246" t="s">
        <v>1044</v>
      </c>
      <c r="J246" t="s">
        <v>1050</v>
      </c>
      <c r="K246" s="9">
        <v>45764</v>
      </c>
      <c r="L246" s="20">
        <f t="shared" si="29"/>
        <v>45748</v>
      </c>
      <c r="M246" s="10">
        <f t="shared" si="30"/>
        <v>2025</v>
      </c>
      <c r="N246" s="9" t="s">
        <v>2350</v>
      </c>
      <c r="O246" s="9" t="s">
        <v>2350</v>
      </c>
      <c r="P246" s="9" t="s">
        <v>2350</v>
      </c>
      <c r="Q246" s="26" t="str">
        <f t="shared" si="31"/>
        <v/>
      </c>
      <c r="R246" t="s">
        <v>1619</v>
      </c>
      <c r="S246" s="15">
        <v>39688</v>
      </c>
      <c r="U246" t="s">
        <v>1625</v>
      </c>
      <c r="V246" t="s">
        <v>1627</v>
      </c>
      <c r="W246" s="17">
        <v>4.0999999999999996</v>
      </c>
      <c r="X246" s="10">
        <f t="shared" si="32"/>
        <v>1</v>
      </c>
      <c r="Y246" s="10">
        <f t="shared" si="33"/>
        <v>0</v>
      </c>
      <c r="Z246" s="10">
        <f t="shared" si="34"/>
        <v>1</v>
      </c>
      <c r="AA246">
        <f t="shared" si="27"/>
        <v>0</v>
      </c>
      <c r="AB246">
        <f t="shared" si="35"/>
        <v>0</v>
      </c>
      <c r="AC246">
        <f t="shared" si="28"/>
        <v>0</v>
      </c>
    </row>
    <row r="247" spans="1:29" x14ac:dyDescent="0.35">
      <c r="A247" t="s">
        <v>263</v>
      </c>
      <c r="B247" t="s">
        <v>586</v>
      </c>
      <c r="C247" t="s">
        <v>2170</v>
      </c>
      <c r="D247" t="s">
        <v>1811</v>
      </c>
      <c r="E247" t="s">
        <v>1754</v>
      </c>
      <c r="F247" t="s">
        <v>1026</v>
      </c>
      <c r="G247" t="s">
        <v>1028</v>
      </c>
      <c r="H247" t="s">
        <v>1036</v>
      </c>
      <c r="I247" t="s">
        <v>1045</v>
      </c>
      <c r="J247" t="s">
        <v>1050</v>
      </c>
      <c r="K247" s="9">
        <v>45331</v>
      </c>
      <c r="L247" s="20">
        <f t="shared" si="29"/>
        <v>45323</v>
      </c>
      <c r="M247" s="10">
        <f t="shared" si="30"/>
        <v>2024</v>
      </c>
      <c r="N247" s="9" t="s">
        <v>2350</v>
      </c>
      <c r="O247" s="9" t="s">
        <v>2350</v>
      </c>
      <c r="P247" s="9" t="s">
        <v>2350</v>
      </c>
      <c r="Q247" s="26" t="str">
        <f t="shared" si="31"/>
        <v/>
      </c>
      <c r="R247" t="s">
        <v>1616</v>
      </c>
      <c r="S247" s="15">
        <v>37869</v>
      </c>
      <c r="U247" t="s">
        <v>1625</v>
      </c>
      <c r="V247" t="s">
        <v>1627</v>
      </c>
      <c r="W247" s="17">
        <v>2.2999999999999998</v>
      </c>
      <c r="X247" s="10">
        <f t="shared" si="32"/>
        <v>1</v>
      </c>
      <c r="Y247" s="10">
        <f t="shared" si="33"/>
        <v>0</v>
      </c>
      <c r="Z247" s="10">
        <f t="shared" si="34"/>
        <v>0</v>
      </c>
      <c r="AA247">
        <f t="shared" si="27"/>
        <v>0</v>
      </c>
      <c r="AB247">
        <f t="shared" si="35"/>
        <v>0</v>
      </c>
      <c r="AC247">
        <f t="shared" si="28"/>
        <v>0</v>
      </c>
    </row>
    <row r="248" spans="1:29" x14ac:dyDescent="0.35">
      <c r="A248" t="s">
        <v>264</v>
      </c>
      <c r="B248" t="s">
        <v>495</v>
      </c>
      <c r="C248" t="s">
        <v>868</v>
      </c>
      <c r="D248" t="s">
        <v>1851</v>
      </c>
      <c r="E248" t="s">
        <v>2171</v>
      </c>
      <c r="F248" t="s">
        <v>1027</v>
      </c>
      <c r="G248" t="s">
        <v>1032</v>
      </c>
      <c r="H248" t="s">
        <v>1037</v>
      </c>
      <c r="I248" t="s">
        <v>1043</v>
      </c>
      <c r="J248" t="s">
        <v>1048</v>
      </c>
      <c r="K248" s="9">
        <v>45535</v>
      </c>
      <c r="L248" s="20">
        <f t="shared" si="29"/>
        <v>45505</v>
      </c>
      <c r="M248" s="10">
        <f t="shared" si="30"/>
        <v>2024</v>
      </c>
      <c r="N248" s="9" t="s">
        <v>2350</v>
      </c>
      <c r="O248" s="9" t="s">
        <v>2350</v>
      </c>
      <c r="P248" s="9" t="s">
        <v>2350</v>
      </c>
      <c r="Q248" s="26" t="str">
        <f t="shared" si="31"/>
        <v/>
      </c>
      <c r="R248" t="s">
        <v>1619</v>
      </c>
      <c r="S248" s="15">
        <v>35616</v>
      </c>
      <c r="U248" t="s">
        <v>1621</v>
      </c>
      <c r="V248" t="s">
        <v>1626</v>
      </c>
      <c r="W248" s="17">
        <v>2.5</v>
      </c>
      <c r="X248" s="10">
        <f t="shared" si="32"/>
        <v>1</v>
      </c>
      <c r="Y248" s="10">
        <f t="shared" si="33"/>
        <v>0</v>
      </c>
      <c r="Z248" s="10">
        <f t="shared" si="34"/>
        <v>1</v>
      </c>
      <c r="AA248">
        <f t="shared" si="27"/>
        <v>0</v>
      </c>
      <c r="AB248">
        <f t="shared" si="35"/>
        <v>0</v>
      </c>
      <c r="AC248">
        <f t="shared" si="28"/>
        <v>0</v>
      </c>
    </row>
    <row r="249" spans="1:29" x14ac:dyDescent="0.35">
      <c r="A249" t="s">
        <v>265</v>
      </c>
      <c r="B249" t="s">
        <v>426</v>
      </c>
      <c r="C249" t="s">
        <v>2172</v>
      </c>
      <c r="D249" t="s">
        <v>1903</v>
      </c>
      <c r="E249" t="s">
        <v>2173</v>
      </c>
      <c r="F249" t="s">
        <v>1026</v>
      </c>
      <c r="G249" t="s">
        <v>1029</v>
      </c>
      <c r="H249" t="s">
        <v>1037</v>
      </c>
      <c r="I249" t="s">
        <v>1044</v>
      </c>
      <c r="J249" t="s">
        <v>1742</v>
      </c>
      <c r="K249" s="9">
        <v>45349</v>
      </c>
      <c r="L249" s="20">
        <f t="shared" si="29"/>
        <v>45323</v>
      </c>
      <c r="M249" s="10">
        <f t="shared" si="30"/>
        <v>2024</v>
      </c>
      <c r="N249" s="9" t="s">
        <v>2350</v>
      </c>
      <c r="O249" s="9" t="s">
        <v>2350</v>
      </c>
      <c r="P249" s="9" t="s">
        <v>2350</v>
      </c>
      <c r="Q249" s="26" t="str">
        <f t="shared" si="31"/>
        <v/>
      </c>
      <c r="R249" t="s">
        <v>1616</v>
      </c>
      <c r="S249" s="15">
        <v>49544</v>
      </c>
      <c r="U249" t="s">
        <v>1625</v>
      </c>
      <c r="V249" t="s">
        <v>1628</v>
      </c>
      <c r="X249" s="10">
        <f t="shared" si="32"/>
        <v>1</v>
      </c>
      <c r="Y249" s="10">
        <f t="shared" si="33"/>
        <v>0</v>
      </c>
      <c r="Z249" s="10">
        <f t="shared" si="34"/>
        <v>0</v>
      </c>
      <c r="AA249">
        <f t="shared" si="27"/>
        <v>0</v>
      </c>
      <c r="AB249">
        <f t="shared" si="35"/>
        <v>0</v>
      </c>
      <c r="AC249">
        <f t="shared" si="28"/>
        <v>0</v>
      </c>
    </row>
    <row r="250" spans="1:29" x14ac:dyDescent="0.35">
      <c r="A250" t="s">
        <v>266</v>
      </c>
      <c r="B250" t="s">
        <v>427</v>
      </c>
      <c r="C250" t="s">
        <v>2174</v>
      </c>
      <c r="D250" t="s">
        <v>2175</v>
      </c>
      <c r="E250" t="s">
        <v>2176</v>
      </c>
      <c r="F250" t="s">
        <v>1023</v>
      </c>
      <c r="G250" t="s">
        <v>1032</v>
      </c>
      <c r="H250" t="s">
        <v>1035</v>
      </c>
      <c r="I250" t="s">
        <v>1042</v>
      </c>
      <c r="J250" t="s">
        <v>1050</v>
      </c>
      <c r="K250" s="9">
        <v>45687</v>
      </c>
      <c r="L250" s="20">
        <f t="shared" si="29"/>
        <v>45658</v>
      </c>
      <c r="M250" s="10">
        <f t="shared" si="30"/>
        <v>2025</v>
      </c>
      <c r="N250" s="9" t="s">
        <v>2350</v>
      </c>
      <c r="O250" s="9" t="s">
        <v>2350</v>
      </c>
      <c r="P250" s="9" t="s">
        <v>2350</v>
      </c>
      <c r="Q250" s="26" t="str">
        <f t="shared" si="31"/>
        <v/>
      </c>
      <c r="R250" t="s">
        <v>1616</v>
      </c>
      <c r="S250" s="15">
        <v>38873</v>
      </c>
      <c r="U250" t="s">
        <v>1623</v>
      </c>
      <c r="V250" t="s">
        <v>1626</v>
      </c>
      <c r="W250" s="17">
        <v>2.9</v>
      </c>
      <c r="X250" s="10">
        <f t="shared" si="32"/>
        <v>1</v>
      </c>
      <c r="Y250" s="10">
        <f t="shared" si="33"/>
        <v>0</v>
      </c>
      <c r="Z250" s="10">
        <f t="shared" si="34"/>
        <v>0</v>
      </c>
      <c r="AA250">
        <f t="shared" si="27"/>
        <v>0</v>
      </c>
      <c r="AB250">
        <f t="shared" si="35"/>
        <v>0</v>
      </c>
      <c r="AC250">
        <f t="shared" si="28"/>
        <v>0</v>
      </c>
    </row>
    <row r="251" spans="1:29" x14ac:dyDescent="0.35">
      <c r="A251" t="s">
        <v>267</v>
      </c>
      <c r="B251" t="s">
        <v>552</v>
      </c>
      <c r="C251" t="s">
        <v>871</v>
      </c>
      <c r="D251" t="s">
        <v>2177</v>
      </c>
      <c r="E251" t="s">
        <v>2178</v>
      </c>
      <c r="F251" t="s">
        <v>1022</v>
      </c>
      <c r="G251" t="s">
        <v>1028</v>
      </c>
      <c r="H251" t="s">
        <v>1037</v>
      </c>
      <c r="I251" t="s">
        <v>1042</v>
      </c>
      <c r="J251" t="s">
        <v>1048</v>
      </c>
      <c r="K251" s="9">
        <v>45349</v>
      </c>
      <c r="L251" s="20">
        <f t="shared" si="29"/>
        <v>45323</v>
      </c>
      <c r="M251" s="10">
        <f t="shared" si="30"/>
        <v>2024</v>
      </c>
      <c r="N251" s="9" t="s">
        <v>2350</v>
      </c>
      <c r="O251" s="9" t="s">
        <v>2350</v>
      </c>
      <c r="P251" s="9" t="s">
        <v>2350</v>
      </c>
      <c r="Q251" s="26" t="str">
        <f t="shared" si="31"/>
        <v/>
      </c>
      <c r="R251" t="s">
        <v>1616</v>
      </c>
      <c r="S251" s="15">
        <v>33259</v>
      </c>
      <c r="U251" t="s">
        <v>1622</v>
      </c>
      <c r="V251" t="s">
        <v>1627</v>
      </c>
      <c r="W251" s="17">
        <v>2.8</v>
      </c>
      <c r="X251" s="10">
        <f t="shared" si="32"/>
        <v>1</v>
      </c>
      <c r="Y251" s="10">
        <f t="shared" si="33"/>
        <v>0</v>
      </c>
      <c r="Z251" s="10">
        <f t="shared" si="34"/>
        <v>0</v>
      </c>
      <c r="AA251">
        <f t="shared" si="27"/>
        <v>0</v>
      </c>
      <c r="AB251">
        <f t="shared" si="35"/>
        <v>0</v>
      </c>
      <c r="AC251">
        <f t="shared" si="28"/>
        <v>0</v>
      </c>
    </row>
    <row r="252" spans="1:29" x14ac:dyDescent="0.35">
      <c r="A252" t="s">
        <v>268</v>
      </c>
      <c r="B252" t="s">
        <v>574</v>
      </c>
      <c r="C252" t="s">
        <v>872</v>
      </c>
      <c r="D252" t="s">
        <v>2026</v>
      </c>
      <c r="E252" t="s">
        <v>1948</v>
      </c>
      <c r="F252" t="s">
        <v>1026</v>
      </c>
      <c r="G252" t="s">
        <v>1030</v>
      </c>
      <c r="H252" t="s">
        <v>1040</v>
      </c>
      <c r="I252" t="s">
        <v>1042</v>
      </c>
      <c r="J252" t="s">
        <v>1050</v>
      </c>
      <c r="K252" s="9">
        <v>45734</v>
      </c>
      <c r="L252" s="20">
        <f t="shared" si="29"/>
        <v>45717</v>
      </c>
      <c r="M252" s="10">
        <f t="shared" si="30"/>
        <v>2025</v>
      </c>
      <c r="N252" s="9">
        <v>45761</v>
      </c>
      <c r="O252" s="9">
        <v>45750</v>
      </c>
      <c r="P252" s="9" t="s">
        <v>2350</v>
      </c>
      <c r="Q252" s="26" t="str">
        <f t="shared" si="31"/>
        <v/>
      </c>
      <c r="R252" t="s">
        <v>1618</v>
      </c>
      <c r="S252" s="15">
        <v>45332</v>
      </c>
      <c r="T252" s="15">
        <v>46484</v>
      </c>
      <c r="U252" t="s">
        <v>1621</v>
      </c>
      <c r="V252" t="s">
        <v>1626</v>
      </c>
      <c r="W252" s="17">
        <v>4.8</v>
      </c>
      <c r="X252" s="10">
        <f t="shared" si="32"/>
        <v>1</v>
      </c>
      <c r="Y252" s="10">
        <f t="shared" si="33"/>
        <v>0</v>
      </c>
      <c r="Z252" s="10">
        <f t="shared" si="34"/>
        <v>0</v>
      </c>
      <c r="AA252">
        <f t="shared" si="27"/>
        <v>1</v>
      </c>
      <c r="AB252">
        <f t="shared" si="35"/>
        <v>1</v>
      </c>
      <c r="AC252">
        <f t="shared" si="28"/>
        <v>0</v>
      </c>
    </row>
    <row r="253" spans="1:29" x14ac:dyDescent="0.35">
      <c r="A253" t="s">
        <v>269</v>
      </c>
      <c r="B253" t="s">
        <v>531</v>
      </c>
      <c r="C253" t="s">
        <v>2179</v>
      </c>
      <c r="D253" t="s">
        <v>2180</v>
      </c>
      <c r="E253" t="s">
        <v>1933</v>
      </c>
      <c r="F253" t="s">
        <v>1025</v>
      </c>
      <c r="G253" t="s">
        <v>1030</v>
      </c>
      <c r="H253" t="s">
        <v>1037</v>
      </c>
      <c r="I253" t="s">
        <v>1041</v>
      </c>
      <c r="J253" t="s">
        <v>1051</v>
      </c>
      <c r="K253" s="9">
        <v>45355</v>
      </c>
      <c r="L253" s="20">
        <f t="shared" si="29"/>
        <v>45352</v>
      </c>
      <c r="M253" s="10">
        <f t="shared" si="30"/>
        <v>2024</v>
      </c>
      <c r="N253" s="9">
        <v>45367</v>
      </c>
      <c r="O253" s="9">
        <v>45377</v>
      </c>
      <c r="P253" s="9" t="s">
        <v>2350</v>
      </c>
      <c r="Q253" s="26" t="str">
        <f t="shared" si="31"/>
        <v/>
      </c>
      <c r="R253" t="s">
        <v>1618</v>
      </c>
      <c r="S253" s="15">
        <v>50664</v>
      </c>
      <c r="T253" s="15">
        <v>51046</v>
      </c>
      <c r="U253" t="s">
        <v>1621</v>
      </c>
      <c r="V253" t="s">
        <v>1627</v>
      </c>
      <c r="W253" s="17">
        <v>2.5</v>
      </c>
      <c r="X253" s="10">
        <f t="shared" si="32"/>
        <v>1</v>
      </c>
      <c r="Y253" s="10">
        <f t="shared" si="33"/>
        <v>0</v>
      </c>
      <c r="Z253" s="10">
        <f t="shared" si="34"/>
        <v>0</v>
      </c>
      <c r="AA253">
        <f t="shared" si="27"/>
        <v>1</v>
      </c>
      <c r="AB253">
        <f t="shared" si="35"/>
        <v>1</v>
      </c>
      <c r="AC253">
        <f t="shared" si="28"/>
        <v>0</v>
      </c>
    </row>
    <row r="254" spans="1:29" x14ac:dyDescent="0.35">
      <c r="A254" t="s">
        <v>270</v>
      </c>
      <c r="B254" t="s">
        <v>574</v>
      </c>
      <c r="C254" t="s">
        <v>874</v>
      </c>
      <c r="D254" t="s">
        <v>1946</v>
      </c>
      <c r="E254" t="s">
        <v>2181</v>
      </c>
      <c r="F254" t="s">
        <v>1022</v>
      </c>
      <c r="G254" t="s">
        <v>1029</v>
      </c>
      <c r="H254" t="s">
        <v>1040</v>
      </c>
      <c r="I254" t="s">
        <v>1045</v>
      </c>
      <c r="J254" t="s">
        <v>1742</v>
      </c>
      <c r="K254" s="9">
        <v>45442</v>
      </c>
      <c r="L254" s="20">
        <f t="shared" si="29"/>
        <v>45413</v>
      </c>
      <c r="M254" s="10">
        <f t="shared" si="30"/>
        <v>2024</v>
      </c>
      <c r="N254" s="9" t="s">
        <v>2350</v>
      </c>
      <c r="O254" s="9" t="s">
        <v>2350</v>
      </c>
      <c r="P254" s="9" t="s">
        <v>2350</v>
      </c>
      <c r="Q254" s="26" t="str">
        <f t="shared" si="31"/>
        <v/>
      </c>
      <c r="R254" t="s">
        <v>1616</v>
      </c>
      <c r="S254" s="15">
        <v>36993</v>
      </c>
      <c r="U254" t="s">
        <v>1625</v>
      </c>
      <c r="V254" t="s">
        <v>1627</v>
      </c>
      <c r="W254" s="17">
        <v>2.5</v>
      </c>
      <c r="X254" s="10">
        <f t="shared" si="32"/>
        <v>1</v>
      </c>
      <c r="Y254" s="10">
        <f t="shared" si="33"/>
        <v>0</v>
      </c>
      <c r="Z254" s="10">
        <f t="shared" si="34"/>
        <v>0</v>
      </c>
      <c r="AA254">
        <f t="shared" si="27"/>
        <v>0</v>
      </c>
      <c r="AB254">
        <f t="shared" si="35"/>
        <v>0</v>
      </c>
      <c r="AC254">
        <f t="shared" si="28"/>
        <v>0</v>
      </c>
    </row>
    <row r="255" spans="1:29" x14ac:dyDescent="0.35">
      <c r="A255" t="s">
        <v>271</v>
      </c>
      <c r="B255" t="s">
        <v>551</v>
      </c>
      <c r="C255" t="s">
        <v>875</v>
      </c>
      <c r="D255" t="s">
        <v>2022</v>
      </c>
      <c r="E255" t="s">
        <v>2178</v>
      </c>
      <c r="F255" t="s">
        <v>1023</v>
      </c>
      <c r="G255" t="s">
        <v>1031</v>
      </c>
      <c r="H255" t="s">
        <v>1034</v>
      </c>
      <c r="I255" t="s">
        <v>1042</v>
      </c>
      <c r="J255" t="s">
        <v>1742</v>
      </c>
      <c r="K255" s="9">
        <v>45763</v>
      </c>
      <c r="L255" s="20">
        <f t="shared" si="29"/>
        <v>45748</v>
      </c>
      <c r="M255" s="10">
        <f t="shared" si="30"/>
        <v>2025</v>
      </c>
      <c r="N255" s="9">
        <v>45788</v>
      </c>
      <c r="O255" s="9" t="s">
        <v>2350</v>
      </c>
      <c r="P255" s="9" t="s">
        <v>2350</v>
      </c>
      <c r="Q255" s="26" t="str">
        <f t="shared" si="31"/>
        <v/>
      </c>
      <c r="R255" t="s">
        <v>1615</v>
      </c>
      <c r="S255" s="15">
        <v>47168</v>
      </c>
      <c r="U255" t="s">
        <v>1622</v>
      </c>
      <c r="V255" t="s">
        <v>1628</v>
      </c>
      <c r="W255" s="17">
        <v>4.4000000000000004</v>
      </c>
      <c r="X255" s="10">
        <f t="shared" si="32"/>
        <v>1</v>
      </c>
      <c r="Y255" s="10">
        <f t="shared" si="33"/>
        <v>0</v>
      </c>
      <c r="Z255" s="10">
        <f t="shared" si="34"/>
        <v>0</v>
      </c>
      <c r="AA255">
        <f t="shared" si="27"/>
        <v>1</v>
      </c>
      <c r="AB255">
        <f t="shared" si="35"/>
        <v>0</v>
      </c>
      <c r="AC255">
        <f t="shared" si="28"/>
        <v>0</v>
      </c>
    </row>
    <row r="256" spans="1:29" x14ac:dyDescent="0.35">
      <c r="A256" t="s">
        <v>272</v>
      </c>
      <c r="B256" t="s">
        <v>437</v>
      </c>
      <c r="C256" t="s">
        <v>2182</v>
      </c>
      <c r="D256" t="s">
        <v>2183</v>
      </c>
      <c r="E256" t="s">
        <v>1912</v>
      </c>
      <c r="F256" t="s">
        <v>1022</v>
      </c>
      <c r="G256" t="s">
        <v>1031</v>
      </c>
      <c r="H256" t="s">
        <v>1035</v>
      </c>
      <c r="I256" t="s">
        <v>1041</v>
      </c>
      <c r="J256" t="s">
        <v>1050</v>
      </c>
      <c r="K256" s="9">
        <v>45371</v>
      </c>
      <c r="L256" s="20">
        <f t="shared" si="29"/>
        <v>45352</v>
      </c>
      <c r="M256" s="10">
        <f t="shared" si="30"/>
        <v>2024</v>
      </c>
      <c r="N256" s="9" t="s">
        <v>2350</v>
      </c>
      <c r="O256" s="9" t="s">
        <v>2350</v>
      </c>
      <c r="P256" s="9" t="s">
        <v>2350</v>
      </c>
      <c r="Q256" s="26" t="str">
        <f t="shared" si="31"/>
        <v/>
      </c>
      <c r="R256" t="s">
        <v>1619</v>
      </c>
      <c r="S256" s="15">
        <v>50986</v>
      </c>
      <c r="U256" t="s">
        <v>1621</v>
      </c>
      <c r="V256" t="s">
        <v>1628</v>
      </c>
      <c r="W256" s="17">
        <v>4.2</v>
      </c>
      <c r="X256" s="10">
        <f t="shared" si="32"/>
        <v>1</v>
      </c>
      <c r="Y256" s="10">
        <f t="shared" si="33"/>
        <v>0</v>
      </c>
      <c r="Z256" s="10">
        <f t="shared" si="34"/>
        <v>1</v>
      </c>
      <c r="AA256">
        <f t="shared" si="27"/>
        <v>0</v>
      </c>
      <c r="AB256">
        <f t="shared" si="35"/>
        <v>0</v>
      </c>
      <c r="AC256">
        <f t="shared" si="28"/>
        <v>0</v>
      </c>
    </row>
    <row r="257" spans="1:29" x14ac:dyDescent="0.35">
      <c r="A257" t="s">
        <v>273</v>
      </c>
      <c r="B257" t="s">
        <v>546</v>
      </c>
      <c r="C257" t="s">
        <v>877</v>
      </c>
      <c r="D257" t="s">
        <v>2143</v>
      </c>
      <c r="E257" t="s">
        <v>2184</v>
      </c>
      <c r="F257" t="s">
        <v>1027</v>
      </c>
      <c r="G257" t="s">
        <v>1030</v>
      </c>
      <c r="H257" t="s">
        <v>1741</v>
      </c>
      <c r="I257" t="s">
        <v>1044</v>
      </c>
      <c r="J257" t="s">
        <v>1049</v>
      </c>
      <c r="K257" s="9">
        <v>45463</v>
      </c>
      <c r="L257" s="20">
        <f t="shared" si="29"/>
        <v>45444</v>
      </c>
      <c r="M257" s="10">
        <f t="shared" si="30"/>
        <v>2024</v>
      </c>
      <c r="N257" s="9">
        <v>45490</v>
      </c>
      <c r="O257" s="9">
        <v>45488</v>
      </c>
      <c r="P257" s="9">
        <v>45515</v>
      </c>
      <c r="Q257" s="26">
        <f t="shared" si="31"/>
        <v>52</v>
      </c>
      <c r="R257" t="s">
        <v>1620</v>
      </c>
      <c r="S257" s="15">
        <v>50717</v>
      </c>
      <c r="T257" s="15">
        <v>47768</v>
      </c>
      <c r="U257" t="s">
        <v>1625</v>
      </c>
      <c r="V257" t="s">
        <v>1626</v>
      </c>
      <c r="W257" s="17">
        <v>4.4000000000000004</v>
      </c>
      <c r="X257" s="10">
        <f t="shared" si="32"/>
        <v>1</v>
      </c>
      <c r="Y257" s="10">
        <f t="shared" si="33"/>
        <v>0</v>
      </c>
      <c r="Z257" s="10">
        <f t="shared" si="34"/>
        <v>0</v>
      </c>
      <c r="AA257">
        <f t="shared" si="27"/>
        <v>1</v>
      </c>
      <c r="AB257">
        <f t="shared" si="35"/>
        <v>0</v>
      </c>
      <c r="AC257">
        <f t="shared" si="28"/>
        <v>1</v>
      </c>
    </row>
    <row r="258" spans="1:29" x14ac:dyDescent="0.35">
      <c r="A258" t="s">
        <v>274</v>
      </c>
      <c r="B258" t="s">
        <v>522</v>
      </c>
      <c r="C258" t="s">
        <v>878</v>
      </c>
      <c r="D258" t="s">
        <v>1933</v>
      </c>
      <c r="E258" t="s">
        <v>1807</v>
      </c>
      <c r="F258" t="s">
        <v>1022</v>
      </c>
      <c r="G258" t="s">
        <v>1030</v>
      </c>
      <c r="H258" t="s">
        <v>1037</v>
      </c>
      <c r="I258" t="s">
        <v>1044</v>
      </c>
      <c r="J258" t="s">
        <v>1742</v>
      </c>
      <c r="K258" s="9">
        <v>45668</v>
      </c>
      <c r="L258" s="20">
        <f t="shared" si="29"/>
        <v>45658</v>
      </c>
      <c r="M258" s="10">
        <f t="shared" si="30"/>
        <v>2025</v>
      </c>
      <c r="N258" s="9">
        <v>45687</v>
      </c>
      <c r="O258" s="9" t="s">
        <v>2350</v>
      </c>
      <c r="P258" s="9" t="s">
        <v>2350</v>
      </c>
      <c r="Q258" s="26" t="str">
        <f t="shared" si="31"/>
        <v/>
      </c>
      <c r="R258" t="s">
        <v>1615</v>
      </c>
      <c r="S258" s="15">
        <v>45428</v>
      </c>
      <c r="U258" t="s">
        <v>1624</v>
      </c>
      <c r="V258" t="s">
        <v>1626</v>
      </c>
      <c r="W258" s="17">
        <v>2.2999999999999998</v>
      </c>
      <c r="X258" s="10">
        <f t="shared" si="32"/>
        <v>1</v>
      </c>
      <c r="Y258" s="10">
        <f t="shared" si="33"/>
        <v>0</v>
      </c>
      <c r="Z258" s="10">
        <f t="shared" si="34"/>
        <v>0</v>
      </c>
      <c r="AA258">
        <f t="shared" ref="AA258:AA321" si="36">IF(OR(R258="Interviewed",R258="offered",R258="hired"),1,0)</f>
        <v>1</v>
      </c>
      <c r="AB258">
        <f t="shared" si="35"/>
        <v>0</v>
      </c>
      <c r="AC258">
        <f t="shared" ref="AC258:AC321" si="37">IF(R258="hired", 1, 0)</f>
        <v>0</v>
      </c>
    </row>
    <row r="259" spans="1:29" x14ac:dyDescent="0.35">
      <c r="A259" t="s">
        <v>275</v>
      </c>
      <c r="B259" t="s">
        <v>587</v>
      </c>
      <c r="C259" t="s">
        <v>879</v>
      </c>
      <c r="D259" t="s">
        <v>2185</v>
      </c>
      <c r="E259" t="s">
        <v>2153</v>
      </c>
      <c r="F259" t="s">
        <v>1027</v>
      </c>
      <c r="G259" t="s">
        <v>1028</v>
      </c>
      <c r="H259" t="s">
        <v>1036</v>
      </c>
      <c r="I259" t="s">
        <v>1043</v>
      </c>
      <c r="J259" t="s">
        <v>1051</v>
      </c>
      <c r="K259" s="9">
        <v>45670</v>
      </c>
      <c r="L259" s="20">
        <f t="shared" ref="L259:L322" si="38">DATE(YEAR(K259), MONTH(K259), 1)</f>
        <v>45658</v>
      </c>
      <c r="M259" s="10">
        <f t="shared" ref="M259:M322" si="39">YEAR(K259)</f>
        <v>2025</v>
      </c>
      <c r="N259" s="9">
        <v>45678</v>
      </c>
      <c r="O259" s="9" t="s">
        <v>2350</v>
      </c>
      <c r="P259" s="9" t="s">
        <v>2350</v>
      </c>
      <c r="Q259" s="26" t="str">
        <f t="shared" ref="Q259:Q322" si="40">IF(OR(P259="", K259=""),"", P259-K259)</f>
        <v/>
      </c>
      <c r="R259" t="s">
        <v>1615</v>
      </c>
      <c r="S259" s="15">
        <v>47732</v>
      </c>
      <c r="U259" t="s">
        <v>1621</v>
      </c>
      <c r="V259" t="s">
        <v>1628</v>
      </c>
      <c r="W259" s="17">
        <v>3.7</v>
      </c>
      <c r="X259" s="10">
        <f t="shared" ref="X259:X322" si="41">IF(R259=" ",0,1)</f>
        <v>1</v>
      </c>
      <c r="Y259" s="10">
        <f t="shared" ref="Y259:Y322" si="42">IF(R259="Withdrawn",1,0)</f>
        <v>0</v>
      </c>
      <c r="Z259" s="10">
        <f t="shared" ref="Z259:Z322" si="43">IF(R259=$R$6,1,0)</f>
        <v>0</v>
      </c>
      <c r="AA259">
        <f t="shared" si="36"/>
        <v>1</v>
      </c>
      <c r="AB259">
        <f t="shared" ref="AB259:AB322" si="44">IF(R259=$R$5,1,0)</f>
        <v>0</v>
      </c>
      <c r="AC259">
        <f t="shared" si="37"/>
        <v>0</v>
      </c>
    </row>
    <row r="260" spans="1:29" x14ac:dyDescent="0.35">
      <c r="A260" t="s">
        <v>276</v>
      </c>
      <c r="B260" t="s">
        <v>571</v>
      </c>
      <c r="C260" t="s">
        <v>880</v>
      </c>
      <c r="D260" t="s">
        <v>2186</v>
      </c>
      <c r="E260" t="s">
        <v>1750</v>
      </c>
      <c r="F260" t="s">
        <v>1026</v>
      </c>
      <c r="G260" t="s">
        <v>1032</v>
      </c>
      <c r="H260" t="s">
        <v>1037</v>
      </c>
      <c r="I260" t="s">
        <v>1043</v>
      </c>
      <c r="J260" t="s">
        <v>1050</v>
      </c>
      <c r="K260" s="9">
        <v>45469</v>
      </c>
      <c r="L260" s="20">
        <f t="shared" si="38"/>
        <v>45444</v>
      </c>
      <c r="M260" s="10">
        <f t="shared" si="39"/>
        <v>2024</v>
      </c>
      <c r="N260" s="9">
        <v>45490</v>
      </c>
      <c r="O260" s="9" t="s">
        <v>2350</v>
      </c>
      <c r="P260" s="9" t="s">
        <v>2350</v>
      </c>
      <c r="Q260" s="26" t="str">
        <f t="shared" si="40"/>
        <v/>
      </c>
      <c r="R260" t="s">
        <v>1615</v>
      </c>
      <c r="S260" s="15">
        <v>51088</v>
      </c>
      <c r="U260" t="s">
        <v>1622</v>
      </c>
      <c r="V260" t="s">
        <v>1626</v>
      </c>
      <c r="X260" s="10">
        <f t="shared" si="41"/>
        <v>1</v>
      </c>
      <c r="Y260" s="10">
        <f t="shared" si="42"/>
        <v>0</v>
      </c>
      <c r="Z260" s="10">
        <f t="shared" si="43"/>
        <v>0</v>
      </c>
      <c r="AA260">
        <f t="shared" si="36"/>
        <v>1</v>
      </c>
      <c r="AB260">
        <f t="shared" si="44"/>
        <v>0</v>
      </c>
      <c r="AC260">
        <f t="shared" si="37"/>
        <v>0</v>
      </c>
    </row>
    <row r="261" spans="1:29" x14ac:dyDescent="0.35">
      <c r="A261" t="s">
        <v>277</v>
      </c>
      <c r="B261" t="s">
        <v>455</v>
      </c>
      <c r="C261" t="s">
        <v>881</v>
      </c>
      <c r="D261" t="s">
        <v>2187</v>
      </c>
      <c r="E261" t="s">
        <v>2188</v>
      </c>
      <c r="F261" t="s">
        <v>1026</v>
      </c>
      <c r="G261" t="s">
        <v>1030</v>
      </c>
      <c r="H261" t="s">
        <v>1037</v>
      </c>
      <c r="I261" t="s">
        <v>1043</v>
      </c>
      <c r="J261" t="s">
        <v>1051</v>
      </c>
      <c r="K261" s="9">
        <v>45575</v>
      </c>
      <c r="L261" s="20">
        <f t="shared" si="38"/>
        <v>45566</v>
      </c>
      <c r="M261" s="10">
        <f t="shared" si="39"/>
        <v>2024</v>
      </c>
      <c r="N261" s="9">
        <v>45580</v>
      </c>
      <c r="O261" s="9">
        <v>45596</v>
      </c>
      <c r="P261" s="9">
        <v>45617</v>
      </c>
      <c r="Q261" s="26">
        <f t="shared" si="40"/>
        <v>42</v>
      </c>
      <c r="R261" t="s">
        <v>1620</v>
      </c>
      <c r="S261" s="15">
        <v>40212</v>
      </c>
      <c r="T261" s="15">
        <v>40707</v>
      </c>
      <c r="U261" t="s">
        <v>1623</v>
      </c>
      <c r="V261" t="s">
        <v>1628</v>
      </c>
      <c r="W261" s="17">
        <v>4.0999999999999996</v>
      </c>
      <c r="X261" s="10">
        <f t="shared" si="41"/>
        <v>1</v>
      </c>
      <c r="Y261" s="10">
        <f t="shared" si="42"/>
        <v>0</v>
      </c>
      <c r="Z261" s="10">
        <f t="shared" si="43"/>
        <v>0</v>
      </c>
      <c r="AA261">
        <f t="shared" si="36"/>
        <v>1</v>
      </c>
      <c r="AB261">
        <f t="shared" si="44"/>
        <v>0</v>
      </c>
      <c r="AC261">
        <f t="shared" si="37"/>
        <v>1</v>
      </c>
    </row>
    <row r="262" spans="1:29" x14ac:dyDescent="0.35">
      <c r="A262" t="s">
        <v>278</v>
      </c>
      <c r="B262" t="s">
        <v>493</v>
      </c>
      <c r="C262" t="s">
        <v>2189</v>
      </c>
      <c r="D262" t="s">
        <v>2190</v>
      </c>
      <c r="E262" t="s">
        <v>1977</v>
      </c>
      <c r="F262" t="s">
        <v>1024</v>
      </c>
      <c r="G262" t="s">
        <v>1031</v>
      </c>
      <c r="H262" t="s">
        <v>1034</v>
      </c>
      <c r="I262" t="s">
        <v>1044</v>
      </c>
      <c r="J262" t="s">
        <v>1051</v>
      </c>
      <c r="K262" s="9">
        <v>45602</v>
      </c>
      <c r="L262" s="20">
        <f t="shared" si="38"/>
        <v>45597</v>
      </c>
      <c r="M262" s="10">
        <f t="shared" si="39"/>
        <v>2024</v>
      </c>
      <c r="N262" s="9" t="s">
        <v>2350</v>
      </c>
      <c r="O262" s="9" t="s">
        <v>2350</v>
      </c>
      <c r="P262" s="9" t="s">
        <v>2350</v>
      </c>
      <c r="Q262" s="26" t="str">
        <f t="shared" si="40"/>
        <v/>
      </c>
      <c r="R262" t="s">
        <v>1619</v>
      </c>
      <c r="S262" s="15">
        <v>34684</v>
      </c>
      <c r="U262" t="s">
        <v>1622</v>
      </c>
      <c r="V262" t="s">
        <v>1627</v>
      </c>
      <c r="W262" s="17">
        <v>4.0999999999999996</v>
      </c>
      <c r="X262" s="10">
        <f t="shared" si="41"/>
        <v>1</v>
      </c>
      <c r="Y262" s="10">
        <f t="shared" si="42"/>
        <v>0</v>
      </c>
      <c r="Z262" s="10">
        <f t="shared" si="43"/>
        <v>1</v>
      </c>
      <c r="AA262">
        <f t="shared" si="36"/>
        <v>0</v>
      </c>
      <c r="AB262">
        <f t="shared" si="44"/>
        <v>0</v>
      </c>
      <c r="AC262">
        <f t="shared" si="37"/>
        <v>0</v>
      </c>
    </row>
    <row r="263" spans="1:29" x14ac:dyDescent="0.35">
      <c r="A263" t="s">
        <v>279</v>
      </c>
      <c r="B263" t="s">
        <v>499</v>
      </c>
      <c r="C263" t="s">
        <v>2191</v>
      </c>
      <c r="D263" t="s">
        <v>2031</v>
      </c>
      <c r="E263" t="s">
        <v>2148</v>
      </c>
      <c r="F263" t="s">
        <v>1024</v>
      </c>
      <c r="G263" t="s">
        <v>1032</v>
      </c>
      <c r="H263" t="s">
        <v>1034</v>
      </c>
      <c r="I263" t="s">
        <v>1041</v>
      </c>
      <c r="J263" t="s">
        <v>1048</v>
      </c>
      <c r="K263" s="9">
        <v>45391</v>
      </c>
      <c r="L263" s="20">
        <f t="shared" si="38"/>
        <v>45383</v>
      </c>
      <c r="M263" s="10">
        <f t="shared" si="39"/>
        <v>2024</v>
      </c>
      <c r="N263" s="9">
        <v>45403</v>
      </c>
      <c r="O263" s="9">
        <v>45434</v>
      </c>
      <c r="P263" s="9">
        <v>45442</v>
      </c>
      <c r="Q263" s="26">
        <f t="shared" si="40"/>
        <v>51</v>
      </c>
      <c r="R263" t="s">
        <v>1620</v>
      </c>
      <c r="S263" s="15">
        <v>28134</v>
      </c>
      <c r="T263" s="15">
        <v>31583</v>
      </c>
      <c r="U263" t="s">
        <v>1622</v>
      </c>
      <c r="V263" t="s">
        <v>1628</v>
      </c>
      <c r="W263" s="17">
        <v>4.9000000000000004</v>
      </c>
      <c r="X263" s="10">
        <f t="shared" si="41"/>
        <v>1</v>
      </c>
      <c r="Y263" s="10">
        <f t="shared" si="42"/>
        <v>0</v>
      </c>
      <c r="Z263" s="10">
        <f t="shared" si="43"/>
        <v>0</v>
      </c>
      <c r="AA263">
        <f t="shared" si="36"/>
        <v>1</v>
      </c>
      <c r="AB263">
        <f t="shared" si="44"/>
        <v>0</v>
      </c>
      <c r="AC263">
        <f t="shared" si="37"/>
        <v>1</v>
      </c>
    </row>
    <row r="264" spans="1:29" x14ac:dyDescent="0.35">
      <c r="A264" t="s">
        <v>280</v>
      </c>
      <c r="B264" t="s">
        <v>588</v>
      </c>
      <c r="C264" t="s">
        <v>2192</v>
      </c>
      <c r="D264" t="s">
        <v>2114</v>
      </c>
      <c r="E264" t="s">
        <v>2124</v>
      </c>
      <c r="F264" t="s">
        <v>1022</v>
      </c>
      <c r="G264" t="s">
        <v>1031</v>
      </c>
      <c r="H264" t="s">
        <v>1037</v>
      </c>
      <c r="I264" t="s">
        <v>1044</v>
      </c>
      <c r="J264" t="s">
        <v>1742</v>
      </c>
      <c r="K264" s="9">
        <v>45495</v>
      </c>
      <c r="L264" s="20">
        <f t="shared" si="38"/>
        <v>45474</v>
      </c>
      <c r="M264" s="10">
        <f t="shared" si="39"/>
        <v>2024</v>
      </c>
      <c r="N264" s="9" t="s">
        <v>2350</v>
      </c>
      <c r="O264" s="9" t="s">
        <v>2350</v>
      </c>
      <c r="P264" s="9" t="s">
        <v>2350</v>
      </c>
      <c r="Q264" s="26" t="str">
        <f t="shared" si="40"/>
        <v/>
      </c>
      <c r="R264" t="s">
        <v>1619</v>
      </c>
      <c r="S264" s="15">
        <v>36009</v>
      </c>
      <c r="U264" t="s">
        <v>1622</v>
      </c>
      <c r="V264" t="s">
        <v>1626</v>
      </c>
      <c r="W264" s="17">
        <v>3.1</v>
      </c>
      <c r="X264" s="10">
        <f t="shared" si="41"/>
        <v>1</v>
      </c>
      <c r="Y264" s="10">
        <f t="shared" si="42"/>
        <v>0</v>
      </c>
      <c r="Z264" s="10">
        <f t="shared" si="43"/>
        <v>1</v>
      </c>
      <c r="AA264">
        <f t="shared" si="36"/>
        <v>0</v>
      </c>
      <c r="AB264">
        <f t="shared" si="44"/>
        <v>0</v>
      </c>
      <c r="AC264">
        <f t="shared" si="37"/>
        <v>0</v>
      </c>
    </row>
    <row r="265" spans="1:29" x14ac:dyDescent="0.35">
      <c r="A265" t="s">
        <v>281</v>
      </c>
      <c r="B265" t="s">
        <v>575</v>
      </c>
      <c r="C265" t="s">
        <v>885</v>
      </c>
      <c r="D265" t="s">
        <v>2193</v>
      </c>
      <c r="E265" t="s">
        <v>1887</v>
      </c>
      <c r="F265" t="s">
        <v>1026</v>
      </c>
      <c r="G265" t="s">
        <v>1029</v>
      </c>
      <c r="H265" t="s">
        <v>1035</v>
      </c>
      <c r="I265" t="s">
        <v>1044</v>
      </c>
      <c r="J265" t="s">
        <v>1050</v>
      </c>
      <c r="K265" s="9">
        <v>45396</v>
      </c>
      <c r="L265" s="20">
        <f t="shared" si="38"/>
        <v>45383</v>
      </c>
      <c r="M265" s="10">
        <f t="shared" si="39"/>
        <v>2024</v>
      </c>
      <c r="N265" s="9">
        <v>45402</v>
      </c>
      <c r="O265" s="9">
        <v>45411</v>
      </c>
      <c r="P265" s="9">
        <v>45438</v>
      </c>
      <c r="Q265" s="26">
        <f t="shared" si="40"/>
        <v>42</v>
      </c>
      <c r="R265" t="s">
        <v>1620</v>
      </c>
      <c r="S265" s="15">
        <v>40466</v>
      </c>
      <c r="T265" s="15">
        <v>37941</v>
      </c>
      <c r="U265" t="s">
        <v>1625</v>
      </c>
      <c r="V265" t="s">
        <v>1628</v>
      </c>
      <c r="W265" s="17">
        <v>4.3</v>
      </c>
      <c r="X265" s="10">
        <f t="shared" si="41"/>
        <v>1</v>
      </c>
      <c r="Y265" s="10">
        <f t="shared" si="42"/>
        <v>0</v>
      </c>
      <c r="Z265" s="10">
        <f t="shared" si="43"/>
        <v>0</v>
      </c>
      <c r="AA265">
        <f t="shared" si="36"/>
        <v>1</v>
      </c>
      <c r="AB265">
        <f t="shared" si="44"/>
        <v>0</v>
      </c>
      <c r="AC265">
        <f t="shared" si="37"/>
        <v>1</v>
      </c>
    </row>
    <row r="266" spans="1:29" x14ac:dyDescent="0.35">
      <c r="A266" t="s">
        <v>282</v>
      </c>
      <c r="B266" t="s">
        <v>561</v>
      </c>
      <c r="C266" t="s">
        <v>2194</v>
      </c>
      <c r="D266" t="s">
        <v>2060</v>
      </c>
      <c r="E266" t="s">
        <v>1862</v>
      </c>
      <c r="F266" t="s">
        <v>1025</v>
      </c>
      <c r="G266" t="s">
        <v>1028</v>
      </c>
      <c r="H266" t="s">
        <v>1039</v>
      </c>
      <c r="I266" t="s">
        <v>1042</v>
      </c>
      <c r="J266" t="s">
        <v>1742</v>
      </c>
      <c r="K266" s="9">
        <v>45323</v>
      </c>
      <c r="L266" s="20">
        <f t="shared" si="38"/>
        <v>45323</v>
      </c>
      <c r="M266" s="10">
        <f t="shared" si="39"/>
        <v>2024</v>
      </c>
      <c r="N266" s="9">
        <v>45339</v>
      </c>
      <c r="O266" s="9" t="s">
        <v>2350</v>
      </c>
      <c r="P266" s="9" t="s">
        <v>2350</v>
      </c>
      <c r="Q266" s="26" t="str">
        <f t="shared" si="40"/>
        <v/>
      </c>
      <c r="R266" t="s">
        <v>1615</v>
      </c>
      <c r="S266" s="15">
        <v>40722</v>
      </c>
      <c r="U266" t="s">
        <v>1623</v>
      </c>
      <c r="V266" t="s">
        <v>1628</v>
      </c>
      <c r="W266" s="17">
        <v>3.2</v>
      </c>
      <c r="X266" s="10">
        <f t="shared" si="41"/>
        <v>1</v>
      </c>
      <c r="Y266" s="10">
        <f t="shared" si="42"/>
        <v>0</v>
      </c>
      <c r="Z266" s="10">
        <f t="shared" si="43"/>
        <v>0</v>
      </c>
      <c r="AA266">
        <f t="shared" si="36"/>
        <v>1</v>
      </c>
      <c r="AB266">
        <f t="shared" si="44"/>
        <v>0</v>
      </c>
      <c r="AC266">
        <f t="shared" si="37"/>
        <v>0</v>
      </c>
    </row>
    <row r="267" spans="1:29" x14ac:dyDescent="0.35">
      <c r="A267" t="s">
        <v>283</v>
      </c>
      <c r="B267" t="s">
        <v>564</v>
      </c>
      <c r="C267" t="s">
        <v>2195</v>
      </c>
      <c r="D267" t="s">
        <v>1879</v>
      </c>
      <c r="E267" t="s">
        <v>2196</v>
      </c>
      <c r="F267" t="s">
        <v>1023</v>
      </c>
      <c r="G267" t="s">
        <v>1029</v>
      </c>
      <c r="H267" t="s">
        <v>1039</v>
      </c>
      <c r="I267" t="s">
        <v>1044</v>
      </c>
      <c r="J267" t="s">
        <v>1050</v>
      </c>
      <c r="K267" s="9">
        <v>45344</v>
      </c>
      <c r="L267" s="20">
        <f t="shared" si="38"/>
        <v>45323</v>
      </c>
      <c r="M267" s="10">
        <f t="shared" si="39"/>
        <v>2024</v>
      </c>
      <c r="N267" s="9">
        <v>45357</v>
      </c>
      <c r="O267" s="9" t="s">
        <v>2350</v>
      </c>
      <c r="P267" s="9" t="s">
        <v>2350</v>
      </c>
      <c r="Q267" s="26" t="str">
        <f t="shared" si="40"/>
        <v/>
      </c>
      <c r="R267" t="s">
        <v>1615</v>
      </c>
      <c r="S267" s="15">
        <v>30710</v>
      </c>
      <c r="U267" t="s">
        <v>1622</v>
      </c>
      <c r="V267" t="s">
        <v>1626</v>
      </c>
      <c r="W267" s="17">
        <v>3.2</v>
      </c>
      <c r="X267" s="10">
        <f t="shared" si="41"/>
        <v>1</v>
      </c>
      <c r="Y267" s="10">
        <f t="shared" si="42"/>
        <v>0</v>
      </c>
      <c r="Z267" s="10">
        <f t="shared" si="43"/>
        <v>0</v>
      </c>
      <c r="AA267">
        <f t="shared" si="36"/>
        <v>1</v>
      </c>
      <c r="AB267">
        <f t="shared" si="44"/>
        <v>0</v>
      </c>
      <c r="AC267">
        <f t="shared" si="37"/>
        <v>0</v>
      </c>
    </row>
    <row r="268" spans="1:29" x14ac:dyDescent="0.35">
      <c r="A268" t="s">
        <v>284</v>
      </c>
      <c r="B268" t="s">
        <v>572</v>
      </c>
      <c r="C268" t="s">
        <v>888</v>
      </c>
      <c r="D268" t="s">
        <v>2197</v>
      </c>
      <c r="E268" t="s">
        <v>2198</v>
      </c>
      <c r="F268" t="s">
        <v>1023</v>
      </c>
      <c r="G268" t="s">
        <v>1031</v>
      </c>
      <c r="H268" t="s">
        <v>1741</v>
      </c>
      <c r="I268" t="s">
        <v>1041</v>
      </c>
      <c r="J268" t="s">
        <v>1051</v>
      </c>
      <c r="K268" s="9">
        <v>45692</v>
      </c>
      <c r="L268" s="20">
        <f t="shared" si="38"/>
        <v>45689</v>
      </c>
      <c r="M268" s="10">
        <f t="shared" si="39"/>
        <v>2025</v>
      </c>
      <c r="N268" s="9" t="s">
        <v>2350</v>
      </c>
      <c r="O268" s="9" t="s">
        <v>2350</v>
      </c>
      <c r="P268" s="9" t="s">
        <v>2350</v>
      </c>
      <c r="Q268" s="26" t="str">
        <f t="shared" si="40"/>
        <v/>
      </c>
      <c r="R268" t="s">
        <v>1619</v>
      </c>
      <c r="S268" s="15">
        <v>35491</v>
      </c>
      <c r="U268" t="s">
        <v>1625</v>
      </c>
      <c r="V268" t="s">
        <v>1627</v>
      </c>
      <c r="X268" s="10">
        <f t="shared" si="41"/>
        <v>1</v>
      </c>
      <c r="Y268" s="10">
        <f t="shared" si="42"/>
        <v>0</v>
      </c>
      <c r="Z268" s="10">
        <f t="shared" si="43"/>
        <v>1</v>
      </c>
      <c r="AA268">
        <f t="shared" si="36"/>
        <v>0</v>
      </c>
      <c r="AB268">
        <f t="shared" si="44"/>
        <v>0</v>
      </c>
      <c r="AC268">
        <f t="shared" si="37"/>
        <v>0</v>
      </c>
    </row>
    <row r="269" spans="1:29" x14ac:dyDescent="0.35">
      <c r="A269" t="s">
        <v>285</v>
      </c>
      <c r="B269" t="s">
        <v>426</v>
      </c>
      <c r="C269" t="s">
        <v>889</v>
      </c>
      <c r="D269" t="s">
        <v>2097</v>
      </c>
      <c r="E269" t="s">
        <v>2199</v>
      </c>
      <c r="F269" t="s">
        <v>1025</v>
      </c>
      <c r="G269" t="s">
        <v>1032</v>
      </c>
      <c r="H269" t="s">
        <v>1741</v>
      </c>
      <c r="I269" t="s">
        <v>1043</v>
      </c>
      <c r="J269" t="s">
        <v>1048</v>
      </c>
      <c r="K269" s="9">
        <v>45704</v>
      </c>
      <c r="L269" s="20">
        <f t="shared" si="38"/>
        <v>45689</v>
      </c>
      <c r="M269" s="10">
        <f t="shared" si="39"/>
        <v>2025</v>
      </c>
      <c r="N269" s="9">
        <v>45713</v>
      </c>
      <c r="O269" s="9">
        <v>45728</v>
      </c>
      <c r="P269" s="9" t="s">
        <v>2350</v>
      </c>
      <c r="Q269" s="26" t="str">
        <f t="shared" si="40"/>
        <v/>
      </c>
      <c r="R269" t="s">
        <v>1618</v>
      </c>
      <c r="S269" s="15">
        <v>28035</v>
      </c>
      <c r="T269" s="15">
        <v>31156</v>
      </c>
      <c r="U269" t="s">
        <v>1622</v>
      </c>
      <c r="V269" t="s">
        <v>1626</v>
      </c>
      <c r="W269" s="17">
        <v>3.4</v>
      </c>
      <c r="X269" s="10">
        <f t="shared" si="41"/>
        <v>1</v>
      </c>
      <c r="Y269" s="10">
        <f t="shared" si="42"/>
        <v>0</v>
      </c>
      <c r="Z269" s="10">
        <f t="shared" si="43"/>
        <v>0</v>
      </c>
      <c r="AA269">
        <f t="shared" si="36"/>
        <v>1</v>
      </c>
      <c r="AB269">
        <f t="shared" si="44"/>
        <v>1</v>
      </c>
      <c r="AC269">
        <f t="shared" si="37"/>
        <v>0</v>
      </c>
    </row>
    <row r="270" spans="1:29" x14ac:dyDescent="0.35">
      <c r="A270" t="s">
        <v>286</v>
      </c>
      <c r="B270" t="s">
        <v>474</v>
      </c>
      <c r="C270" t="s">
        <v>890</v>
      </c>
      <c r="D270" t="s">
        <v>2200</v>
      </c>
      <c r="E270" t="s">
        <v>1954</v>
      </c>
      <c r="F270" t="s">
        <v>1024</v>
      </c>
      <c r="G270" t="s">
        <v>1029</v>
      </c>
      <c r="H270" t="s">
        <v>1036</v>
      </c>
      <c r="I270" t="s">
        <v>1041</v>
      </c>
      <c r="J270" t="s">
        <v>1049</v>
      </c>
      <c r="K270" s="9">
        <v>45366</v>
      </c>
      <c r="L270" s="20">
        <f t="shared" si="38"/>
        <v>45352</v>
      </c>
      <c r="M270" s="10">
        <f t="shared" si="39"/>
        <v>2024</v>
      </c>
      <c r="N270" s="9" t="s">
        <v>2350</v>
      </c>
      <c r="O270" s="9" t="s">
        <v>2350</v>
      </c>
      <c r="P270" s="9" t="s">
        <v>2350</v>
      </c>
      <c r="Q270" s="26" t="str">
        <f t="shared" si="40"/>
        <v/>
      </c>
      <c r="R270" t="s">
        <v>1616</v>
      </c>
      <c r="S270" s="15">
        <v>46255</v>
      </c>
      <c r="U270" t="s">
        <v>1623</v>
      </c>
      <c r="V270" t="s">
        <v>1627</v>
      </c>
      <c r="W270" s="17">
        <v>2.2999999999999998</v>
      </c>
      <c r="X270" s="10">
        <f t="shared" si="41"/>
        <v>1</v>
      </c>
      <c r="Y270" s="10">
        <f t="shared" si="42"/>
        <v>0</v>
      </c>
      <c r="Z270" s="10">
        <f t="shared" si="43"/>
        <v>0</v>
      </c>
      <c r="AA270">
        <f t="shared" si="36"/>
        <v>0</v>
      </c>
      <c r="AB270">
        <f t="shared" si="44"/>
        <v>0</v>
      </c>
      <c r="AC270">
        <f t="shared" si="37"/>
        <v>0</v>
      </c>
    </row>
    <row r="271" spans="1:29" x14ac:dyDescent="0.35">
      <c r="A271" t="s">
        <v>287</v>
      </c>
      <c r="B271" t="s">
        <v>519</v>
      </c>
      <c r="C271" t="s">
        <v>891</v>
      </c>
      <c r="D271" t="s">
        <v>2201</v>
      </c>
      <c r="E271" t="s">
        <v>1754</v>
      </c>
      <c r="F271" t="s">
        <v>1025</v>
      </c>
      <c r="G271" t="s">
        <v>1028</v>
      </c>
      <c r="H271" t="s">
        <v>1040</v>
      </c>
      <c r="I271" t="s">
        <v>1043</v>
      </c>
      <c r="J271" t="s">
        <v>1742</v>
      </c>
      <c r="K271" s="9">
        <v>45437</v>
      </c>
      <c r="L271" s="20">
        <f t="shared" si="38"/>
        <v>45413</v>
      </c>
      <c r="M271" s="10">
        <f t="shared" si="39"/>
        <v>2024</v>
      </c>
      <c r="N271" s="9" t="s">
        <v>2350</v>
      </c>
      <c r="O271" s="9" t="s">
        <v>2350</v>
      </c>
      <c r="P271" s="9" t="s">
        <v>2350</v>
      </c>
      <c r="Q271" s="26" t="str">
        <f t="shared" si="40"/>
        <v/>
      </c>
      <c r="R271" t="s">
        <v>1619</v>
      </c>
      <c r="S271" s="15">
        <v>47309</v>
      </c>
      <c r="U271" t="s">
        <v>1621</v>
      </c>
      <c r="V271" t="s">
        <v>1628</v>
      </c>
      <c r="W271" s="17">
        <v>3.2</v>
      </c>
      <c r="X271" s="10">
        <f t="shared" si="41"/>
        <v>1</v>
      </c>
      <c r="Y271" s="10">
        <f t="shared" si="42"/>
        <v>0</v>
      </c>
      <c r="Z271" s="10">
        <f t="shared" si="43"/>
        <v>1</v>
      </c>
      <c r="AA271">
        <f t="shared" si="36"/>
        <v>0</v>
      </c>
      <c r="AB271">
        <f t="shared" si="44"/>
        <v>0</v>
      </c>
      <c r="AC271">
        <f t="shared" si="37"/>
        <v>0</v>
      </c>
    </row>
    <row r="272" spans="1:29" x14ac:dyDescent="0.35">
      <c r="A272" t="s">
        <v>288</v>
      </c>
      <c r="B272" t="s">
        <v>467</v>
      </c>
      <c r="C272" t="s">
        <v>892</v>
      </c>
      <c r="D272" t="s">
        <v>1861</v>
      </c>
      <c r="E272" t="s">
        <v>2063</v>
      </c>
      <c r="F272" t="s">
        <v>1022</v>
      </c>
      <c r="G272" t="s">
        <v>1029</v>
      </c>
      <c r="H272" t="s">
        <v>1035</v>
      </c>
      <c r="I272" t="s">
        <v>1042</v>
      </c>
      <c r="J272" t="s">
        <v>1742</v>
      </c>
      <c r="K272" s="9">
        <v>45712</v>
      </c>
      <c r="L272" s="20">
        <f t="shared" si="38"/>
        <v>45689</v>
      </c>
      <c r="M272" s="10">
        <f t="shared" si="39"/>
        <v>2025</v>
      </c>
      <c r="N272" s="9">
        <v>45729</v>
      </c>
      <c r="O272" s="9">
        <v>45750</v>
      </c>
      <c r="P272" s="9" t="s">
        <v>2350</v>
      </c>
      <c r="Q272" s="26" t="str">
        <f t="shared" si="40"/>
        <v/>
      </c>
      <c r="R272" t="s">
        <v>1618</v>
      </c>
      <c r="S272" s="15">
        <v>38059</v>
      </c>
      <c r="T272" s="15">
        <v>35281</v>
      </c>
      <c r="U272" t="s">
        <v>1625</v>
      </c>
      <c r="V272" t="s">
        <v>1628</v>
      </c>
      <c r="X272" s="10">
        <f t="shared" si="41"/>
        <v>1</v>
      </c>
      <c r="Y272" s="10">
        <f t="shared" si="42"/>
        <v>0</v>
      </c>
      <c r="Z272" s="10">
        <f t="shared" si="43"/>
        <v>0</v>
      </c>
      <c r="AA272">
        <f t="shared" si="36"/>
        <v>1</v>
      </c>
      <c r="AB272">
        <f t="shared" si="44"/>
        <v>1</v>
      </c>
      <c r="AC272">
        <f t="shared" si="37"/>
        <v>0</v>
      </c>
    </row>
    <row r="273" spans="1:29" x14ac:dyDescent="0.35">
      <c r="A273" t="s">
        <v>289</v>
      </c>
      <c r="B273" t="s">
        <v>589</v>
      </c>
      <c r="C273" t="s">
        <v>2202</v>
      </c>
      <c r="D273" t="s">
        <v>2203</v>
      </c>
      <c r="E273" t="s">
        <v>2204</v>
      </c>
      <c r="F273" t="s">
        <v>1024</v>
      </c>
      <c r="G273" t="s">
        <v>1028</v>
      </c>
      <c r="H273" t="s">
        <v>1036</v>
      </c>
      <c r="I273" t="s">
        <v>1044</v>
      </c>
      <c r="J273" t="s">
        <v>1742</v>
      </c>
      <c r="K273" s="9">
        <v>45423</v>
      </c>
      <c r="L273" s="20">
        <f t="shared" si="38"/>
        <v>45413</v>
      </c>
      <c r="M273" s="10">
        <f t="shared" si="39"/>
        <v>2024</v>
      </c>
      <c r="N273" s="9">
        <v>45448</v>
      </c>
      <c r="O273" s="9" t="s">
        <v>2350</v>
      </c>
      <c r="P273" s="9" t="s">
        <v>2350</v>
      </c>
      <c r="Q273" s="26" t="str">
        <f t="shared" si="40"/>
        <v/>
      </c>
      <c r="R273" t="s">
        <v>1615</v>
      </c>
      <c r="S273" s="15">
        <v>30155</v>
      </c>
      <c r="U273" t="s">
        <v>1623</v>
      </c>
      <c r="V273" t="s">
        <v>1628</v>
      </c>
      <c r="W273" s="17">
        <v>2.2000000000000002</v>
      </c>
      <c r="X273" s="10">
        <f t="shared" si="41"/>
        <v>1</v>
      </c>
      <c r="Y273" s="10">
        <f t="shared" si="42"/>
        <v>0</v>
      </c>
      <c r="Z273" s="10">
        <f t="shared" si="43"/>
        <v>0</v>
      </c>
      <c r="AA273">
        <f t="shared" si="36"/>
        <v>1</v>
      </c>
      <c r="AB273">
        <f t="shared" si="44"/>
        <v>0</v>
      </c>
      <c r="AC273">
        <f t="shared" si="37"/>
        <v>0</v>
      </c>
    </row>
    <row r="274" spans="1:29" x14ac:dyDescent="0.35">
      <c r="A274" t="s">
        <v>290</v>
      </c>
      <c r="B274" t="s">
        <v>590</v>
      </c>
      <c r="C274" t="s">
        <v>894</v>
      </c>
      <c r="D274" t="s">
        <v>1974</v>
      </c>
      <c r="E274" t="s">
        <v>2205</v>
      </c>
      <c r="F274" t="s">
        <v>1027</v>
      </c>
      <c r="G274" t="s">
        <v>1031</v>
      </c>
      <c r="H274" t="s">
        <v>1741</v>
      </c>
      <c r="I274" t="s">
        <v>1045</v>
      </c>
      <c r="J274" t="s">
        <v>1742</v>
      </c>
      <c r="K274" s="9">
        <v>45746</v>
      </c>
      <c r="L274" s="20">
        <f t="shared" si="38"/>
        <v>45717</v>
      </c>
      <c r="M274" s="10">
        <f t="shared" si="39"/>
        <v>2025</v>
      </c>
      <c r="N274" s="9" t="s">
        <v>2350</v>
      </c>
      <c r="O274" s="9" t="s">
        <v>2350</v>
      </c>
      <c r="P274" s="9" t="s">
        <v>2350</v>
      </c>
      <c r="Q274" s="26" t="str">
        <f t="shared" si="40"/>
        <v/>
      </c>
      <c r="R274" t="s">
        <v>1617</v>
      </c>
      <c r="S274" s="15">
        <v>32856</v>
      </c>
      <c r="U274" t="s">
        <v>1625</v>
      </c>
      <c r="V274" t="s">
        <v>1627</v>
      </c>
      <c r="X274" s="10">
        <f t="shared" si="41"/>
        <v>1</v>
      </c>
      <c r="Y274" s="10">
        <f t="shared" si="42"/>
        <v>1</v>
      </c>
      <c r="Z274" s="10">
        <f t="shared" si="43"/>
        <v>0</v>
      </c>
      <c r="AA274">
        <f t="shared" si="36"/>
        <v>0</v>
      </c>
      <c r="AB274">
        <f t="shared" si="44"/>
        <v>0</v>
      </c>
      <c r="AC274">
        <f t="shared" si="37"/>
        <v>0</v>
      </c>
    </row>
    <row r="275" spans="1:29" x14ac:dyDescent="0.35">
      <c r="A275" t="s">
        <v>291</v>
      </c>
      <c r="B275" t="s">
        <v>533</v>
      </c>
      <c r="C275" t="s">
        <v>895</v>
      </c>
      <c r="D275" t="s">
        <v>1892</v>
      </c>
      <c r="E275" t="s">
        <v>2206</v>
      </c>
      <c r="F275" t="s">
        <v>1025</v>
      </c>
      <c r="G275" t="s">
        <v>1031</v>
      </c>
      <c r="H275" t="s">
        <v>1034</v>
      </c>
      <c r="I275" t="s">
        <v>1042</v>
      </c>
      <c r="J275" t="s">
        <v>1051</v>
      </c>
      <c r="K275" s="9">
        <v>45450</v>
      </c>
      <c r="L275" s="20">
        <f t="shared" si="38"/>
        <v>45444</v>
      </c>
      <c r="M275" s="10">
        <f t="shared" si="39"/>
        <v>2024</v>
      </c>
      <c r="N275" s="9">
        <v>45459</v>
      </c>
      <c r="O275" s="9" t="s">
        <v>2350</v>
      </c>
      <c r="P275" s="9" t="s">
        <v>2350</v>
      </c>
      <c r="Q275" s="26" t="str">
        <f t="shared" si="40"/>
        <v/>
      </c>
      <c r="R275" t="s">
        <v>1615</v>
      </c>
      <c r="S275" s="15">
        <v>49828</v>
      </c>
      <c r="U275" t="s">
        <v>1623</v>
      </c>
      <c r="V275" t="s">
        <v>1626</v>
      </c>
      <c r="X275" s="10">
        <f t="shared" si="41"/>
        <v>1</v>
      </c>
      <c r="Y275" s="10">
        <f t="shared" si="42"/>
        <v>0</v>
      </c>
      <c r="Z275" s="10">
        <f t="shared" si="43"/>
        <v>0</v>
      </c>
      <c r="AA275">
        <f t="shared" si="36"/>
        <v>1</v>
      </c>
      <c r="AB275">
        <f t="shared" si="44"/>
        <v>0</v>
      </c>
      <c r="AC275">
        <f t="shared" si="37"/>
        <v>0</v>
      </c>
    </row>
    <row r="276" spans="1:29" x14ac:dyDescent="0.35">
      <c r="A276" t="s">
        <v>292</v>
      </c>
      <c r="B276" t="s">
        <v>426</v>
      </c>
      <c r="C276" t="s">
        <v>896</v>
      </c>
      <c r="D276" t="s">
        <v>2094</v>
      </c>
      <c r="E276" t="s">
        <v>2207</v>
      </c>
      <c r="F276" t="s">
        <v>1023</v>
      </c>
      <c r="G276" t="s">
        <v>1032</v>
      </c>
      <c r="H276" t="s">
        <v>1037</v>
      </c>
      <c r="I276" t="s">
        <v>1041</v>
      </c>
      <c r="J276" t="s">
        <v>1049</v>
      </c>
      <c r="K276" s="9">
        <v>45441</v>
      </c>
      <c r="L276" s="20">
        <f t="shared" si="38"/>
        <v>45413</v>
      </c>
      <c r="M276" s="10">
        <f t="shared" si="39"/>
        <v>2024</v>
      </c>
      <c r="N276" s="9" t="s">
        <v>2350</v>
      </c>
      <c r="O276" s="9" t="s">
        <v>2350</v>
      </c>
      <c r="P276" s="9" t="s">
        <v>2350</v>
      </c>
      <c r="Q276" s="26" t="str">
        <f t="shared" si="40"/>
        <v/>
      </c>
      <c r="R276" t="s">
        <v>1619</v>
      </c>
      <c r="S276" s="15">
        <v>33432</v>
      </c>
      <c r="U276" t="s">
        <v>1623</v>
      </c>
      <c r="V276" t="s">
        <v>1627</v>
      </c>
      <c r="W276" s="17">
        <v>4.0999999999999996</v>
      </c>
      <c r="X276" s="10">
        <f t="shared" si="41"/>
        <v>1</v>
      </c>
      <c r="Y276" s="10">
        <f t="shared" si="42"/>
        <v>0</v>
      </c>
      <c r="Z276" s="10">
        <f t="shared" si="43"/>
        <v>1</v>
      </c>
      <c r="AA276">
        <f t="shared" si="36"/>
        <v>0</v>
      </c>
      <c r="AB276">
        <f t="shared" si="44"/>
        <v>0</v>
      </c>
      <c r="AC276">
        <f t="shared" si="37"/>
        <v>0</v>
      </c>
    </row>
    <row r="277" spans="1:29" x14ac:dyDescent="0.35">
      <c r="A277" t="s">
        <v>293</v>
      </c>
      <c r="B277" t="s">
        <v>447</v>
      </c>
      <c r="C277" t="s">
        <v>897</v>
      </c>
      <c r="D277" t="s">
        <v>2208</v>
      </c>
      <c r="E277" t="s">
        <v>2209</v>
      </c>
      <c r="F277" t="s">
        <v>1024</v>
      </c>
      <c r="G277" t="s">
        <v>1030</v>
      </c>
      <c r="H277" t="s">
        <v>1741</v>
      </c>
      <c r="I277" t="s">
        <v>1045</v>
      </c>
      <c r="J277" t="s">
        <v>1049</v>
      </c>
      <c r="K277" s="9">
        <v>45743</v>
      </c>
      <c r="L277" s="20">
        <f t="shared" si="38"/>
        <v>45717</v>
      </c>
      <c r="M277" s="10">
        <f t="shared" si="39"/>
        <v>2025</v>
      </c>
      <c r="N277" s="9" t="s">
        <v>2350</v>
      </c>
      <c r="O277" s="9" t="s">
        <v>2350</v>
      </c>
      <c r="P277" s="9" t="s">
        <v>2350</v>
      </c>
      <c r="Q277" s="26" t="str">
        <f t="shared" si="40"/>
        <v/>
      </c>
      <c r="R277" t="s">
        <v>1617</v>
      </c>
      <c r="S277" s="15">
        <v>40429</v>
      </c>
      <c r="U277" t="s">
        <v>1621</v>
      </c>
      <c r="V277" t="s">
        <v>1628</v>
      </c>
      <c r="W277" s="17">
        <v>2.5</v>
      </c>
      <c r="X277" s="10">
        <f t="shared" si="41"/>
        <v>1</v>
      </c>
      <c r="Y277" s="10">
        <f t="shared" si="42"/>
        <v>1</v>
      </c>
      <c r="Z277" s="10">
        <f t="shared" si="43"/>
        <v>0</v>
      </c>
      <c r="AA277">
        <f t="shared" si="36"/>
        <v>0</v>
      </c>
      <c r="AB277">
        <f t="shared" si="44"/>
        <v>0</v>
      </c>
      <c r="AC277">
        <f t="shared" si="37"/>
        <v>0</v>
      </c>
    </row>
    <row r="278" spans="1:29" x14ac:dyDescent="0.35">
      <c r="A278" t="s">
        <v>294</v>
      </c>
      <c r="B278" t="s">
        <v>591</v>
      </c>
      <c r="C278" t="s">
        <v>898</v>
      </c>
      <c r="D278" t="s">
        <v>1769</v>
      </c>
      <c r="E278" t="s">
        <v>2161</v>
      </c>
      <c r="F278" t="s">
        <v>1024</v>
      </c>
      <c r="G278" t="s">
        <v>1029</v>
      </c>
      <c r="H278" t="s">
        <v>1034</v>
      </c>
      <c r="I278" t="s">
        <v>1044</v>
      </c>
      <c r="J278" t="s">
        <v>1049</v>
      </c>
      <c r="K278" s="9">
        <v>45301</v>
      </c>
      <c r="L278" s="20">
        <f t="shared" si="38"/>
        <v>45292</v>
      </c>
      <c r="M278" s="10">
        <f t="shared" si="39"/>
        <v>2024</v>
      </c>
      <c r="N278" s="9" t="s">
        <v>2350</v>
      </c>
      <c r="O278" s="9" t="s">
        <v>2350</v>
      </c>
      <c r="P278" s="9" t="s">
        <v>2350</v>
      </c>
      <c r="Q278" s="26" t="str">
        <f t="shared" si="40"/>
        <v/>
      </c>
      <c r="R278" t="s">
        <v>1617</v>
      </c>
      <c r="S278" s="15">
        <v>51179</v>
      </c>
      <c r="U278" t="s">
        <v>1623</v>
      </c>
      <c r="V278" t="s">
        <v>1628</v>
      </c>
      <c r="W278" s="17">
        <v>4</v>
      </c>
      <c r="X278" s="10">
        <f t="shared" si="41"/>
        <v>1</v>
      </c>
      <c r="Y278" s="10">
        <f t="shared" si="42"/>
        <v>1</v>
      </c>
      <c r="Z278" s="10">
        <f t="shared" si="43"/>
        <v>0</v>
      </c>
      <c r="AA278">
        <f t="shared" si="36"/>
        <v>0</v>
      </c>
      <c r="AB278">
        <f t="shared" si="44"/>
        <v>0</v>
      </c>
      <c r="AC278">
        <f t="shared" si="37"/>
        <v>0</v>
      </c>
    </row>
    <row r="279" spans="1:29" x14ac:dyDescent="0.35">
      <c r="A279" t="s">
        <v>295</v>
      </c>
      <c r="B279" t="s">
        <v>568</v>
      </c>
      <c r="C279" t="s">
        <v>2210</v>
      </c>
      <c r="D279" t="s">
        <v>2031</v>
      </c>
      <c r="E279" t="s">
        <v>1852</v>
      </c>
      <c r="F279" t="s">
        <v>1022</v>
      </c>
      <c r="G279" t="s">
        <v>1032</v>
      </c>
      <c r="H279" t="s">
        <v>1034</v>
      </c>
      <c r="I279" t="s">
        <v>1041</v>
      </c>
      <c r="J279" t="s">
        <v>1051</v>
      </c>
      <c r="K279" s="9">
        <v>45628</v>
      </c>
      <c r="L279" s="20">
        <f t="shared" si="38"/>
        <v>45627</v>
      </c>
      <c r="M279" s="10">
        <f t="shared" si="39"/>
        <v>2024</v>
      </c>
      <c r="N279" s="9">
        <v>45635</v>
      </c>
      <c r="O279" s="9">
        <v>45647</v>
      </c>
      <c r="P279" s="9" t="s">
        <v>2350</v>
      </c>
      <c r="Q279" s="26" t="str">
        <f t="shared" si="40"/>
        <v/>
      </c>
      <c r="R279" t="s">
        <v>1618</v>
      </c>
      <c r="S279" s="15">
        <v>31897</v>
      </c>
      <c r="T279" s="15">
        <v>31145</v>
      </c>
      <c r="U279" t="s">
        <v>1623</v>
      </c>
      <c r="V279" t="s">
        <v>1626</v>
      </c>
      <c r="X279" s="10">
        <f t="shared" si="41"/>
        <v>1</v>
      </c>
      <c r="Y279" s="10">
        <f t="shared" si="42"/>
        <v>0</v>
      </c>
      <c r="Z279" s="10">
        <f t="shared" si="43"/>
        <v>0</v>
      </c>
      <c r="AA279">
        <f t="shared" si="36"/>
        <v>1</v>
      </c>
      <c r="AB279">
        <f t="shared" si="44"/>
        <v>1</v>
      </c>
      <c r="AC279">
        <f t="shared" si="37"/>
        <v>0</v>
      </c>
    </row>
    <row r="280" spans="1:29" x14ac:dyDescent="0.35">
      <c r="A280" t="s">
        <v>296</v>
      </c>
      <c r="B280" t="s">
        <v>556</v>
      </c>
      <c r="C280" t="s">
        <v>2211</v>
      </c>
      <c r="D280" t="s">
        <v>1873</v>
      </c>
      <c r="E280" t="s">
        <v>2212</v>
      </c>
      <c r="F280" t="s">
        <v>1027</v>
      </c>
      <c r="G280" t="s">
        <v>1030</v>
      </c>
      <c r="H280" t="s">
        <v>1741</v>
      </c>
      <c r="I280" t="s">
        <v>1041</v>
      </c>
      <c r="J280" t="s">
        <v>1050</v>
      </c>
      <c r="K280" s="9">
        <v>45306</v>
      </c>
      <c r="L280" s="20">
        <f t="shared" si="38"/>
        <v>45292</v>
      </c>
      <c r="M280" s="10">
        <f t="shared" si="39"/>
        <v>2024</v>
      </c>
      <c r="N280" s="9" t="s">
        <v>2350</v>
      </c>
      <c r="O280" s="9" t="s">
        <v>2350</v>
      </c>
      <c r="P280" s="9" t="s">
        <v>2350</v>
      </c>
      <c r="Q280" s="26" t="str">
        <f t="shared" si="40"/>
        <v/>
      </c>
      <c r="R280" t="s">
        <v>1619</v>
      </c>
      <c r="S280" s="15">
        <v>44699</v>
      </c>
      <c r="U280" t="s">
        <v>1621</v>
      </c>
      <c r="V280" t="s">
        <v>1628</v>
      </c>
      <c r="W280" s="17">
        <v>4.7</v>
      </c>
      <c r="X280" s="10">
        <f t="shared" si="41"/>
        <v>1</v>
      </c>
      <c r="Y280" s="10">
        <f t="shared" si="42"/>
        <v>0</v>
      </c>
      <c r="Z280" s="10">
        <f t="shared" si="43"/>
        <v>1</v>
      </c>
      <c r="AA280">
        <f t="shared" si="36"/>
        <v>0</v>
      </c>
      <c r="AB280">
        <f t="shared" si="44"/>
        <v>0</v>
      </c>
      <c r="AC280">
        <f t="shared" si="37"/>
        <v>0</v>
      </c>
    </row>
    <row r="281" spans="1:29" x14ac:dyDescent="0.35">
      <c r="A281" t="s">
        <v>297</v>
      </c>
      <c r="B281" t="s">
        <v>549</v>
      </c>
      <c r="C281" t="s">
        <v>2213</v>
      </c>
      <c r="D281" t="s">
        <v>2097</v>
      </c>
      <c r="E281" t="s">
        <v>1765</v>
      </c>
      <c r="F281" t="s">
        <v>1022</v>
      </c>
      <c r="G281" t="s">
        <v>1031</v>
      </c>
      <c r="H281" t="s">
        <v>1741</v>
      </c>
      <c r="I281" t="s">
        <v>1042</v>
      </c>
      <c r="J281" t="s">
        <v>1742</v>
      </c>
      <c r="K281" s="9">
        <v>45712</v>
      </c>
      <c r="L281" s="20">
        <f t="shared" si="38"/>
        <v>45689</v>
      </c>
      <c r="M281" s="10">
        <f t="shared" si="39"/>
        <v>2025</v>
      </c>
      <c r="N281" s="9" t="s">
        <v>2350</v>
      </c>
      <c r="O281" s="9" t="s">
        <v>2350</v>
      </c>
      <c r="P281" s="9" t="s">
        <v>2350</v>
      </c>
      <c r="Q281" s="26" t="str">
        <f t="shared" si="40"/>
        <v/>
      </c>
      <c r="R281" t="s">
        <v>1616</v>
      </c>
      <c r="S281" s="15">
        <v>46363</v>
      </c>
      <c r="U281" t="s">
        <v>1623</v>
      </c>
      <c r="V281" t="s">
        <v>1627</v>
      </c>
      <c r="W281" s="17">
        <v>3.1</v>
      </c>
      <c r="X281" s="10">
        <f t="shared" si="41"/>
        <v>1</v>
      </c>
      <c r="Y281" s="10">
        <f t="shared" si="42"/>
        <v>0</v>
      </c>
      <c r="Z281" s="10">
        <f t="shared" si="43"/>
        <v>0</v>
      </c>
      <c r="AA281">
        <f t="shared" si="36"/>
        <v>0</v>
      </c>
      <c r="AB281">
        <f t="shared" si="44"/>
        <v>0</v>
      </c>
      <c r="AC281">
        <f t="shared" si="37"/>
        <v>0</v>
      </c>
    </row>
    <row r="282" spans="1:29" x14ac:dyDescent="0.35">
      <c r="A282" t="s">
        <v>298</v>
      </c>
      <c r="B282" t="s">
        <v>423</v>
      </c>
      <c r="C282" t="s">
        <v>902</v>
      </c>
      <c r="D282" t="s">
        <v>1936</v>
      </c>
      <c r="E282" t="s">
        <v>1912</v>
      </c>
      <c r="F282" t="s">
        <v>1022</v>
      </c>
      <c r="G282" t="s">
        <v>1030</v>
      </c>
      <c r="H282" t="s">
        <v>1741</v>
      </c>
      <c r="I282" t="s">
        <v>1041</v>
      </c>
      <c r="J282" t="s">
        <v>1050</v>
      </c>
      <c r="K282" s="9">
        <v>45701</v>
      </c>
      <c r="L282" s="20">
        <f t="shared" si="38"/>
        <v>45689</v>
      </c>
      <c r="M282" s="10">
        <f t="shared" si="39"/>
        <v>2025</v>
      </c>
      <c r="N282" s="9" t="s">
        <v>2350</v>
      </c>
      <c r="O282" s="9" t="s">
        <v>2350</v>
      </c>
      <c r="P282" s="9" t="s">
        <v>2350</v>
      </c>
      <c r="Q282" s="26" t="str">
        <f t="shared" si="40"/>
        <v/>
      </c>
      <c r="R282" t="s">
        <v>1619</v>
      </c>
      <c r="S282" s="15">
        <v>50641</v>
      </c>
      <c r="U282" t="s">
        <v>1623</v>
      </c>
      <c r="V282" t="s">
        <v>1628</v>
      </c>
      <c r="W282" s="17">
        <v>4.4000000000000004</v>
      </c>
      <c r="X282" s="10">
        <f t="shared" si="41"/>
        <v>1</v>
      </c>
      <c r="Y282" s="10">
        <f t="shared" si="42"/>
        <v>0</v>
      </c>
      <c r="Z282" s="10">
        <f t="shared" si="43"/>
        <v>1</v>
      </c>
      <c r="AA282">
        <f t="shared" si="36"/>
        <v>0</v>
      </c>
      <c r="AB282">
        <f t="shared" si="44"/>
        <v>0</v>
      </c>
      <c r="AC282">
        <f t="shared" si="37"/>
        <v>0</v>
      </c>
    </row>
    <row r="283" spans="1:29" x14ac:dyDescent="0.35">
      <c r="A283" t="s">
        <v>299</v>
      </c>
      <c r="B283" t="s">
        <v>592</v>
      </c>
      <c r="C283" t="s">
        <v>2214</v>
      </c>
      <c r="D283" t="s">
        <v>2215</v>
      </c>
      <c r="E283" t="s">
        <v>1926</v>
      </c>
      <c r="F283" t="s">
        <v>1022</v>
      </c>
      <c r="G283" t="s">
        <v>1031</v>
      </c>
      <c r="H283" t="s">
        <v>1037</v>
      </c>
      <c r="I283" t="s">
        <v>1042</v>
      </c>
      <c r="J283" t="s">
        <v>1048</v>
      </c>
      <c r="K283" s="9">
        <v>45709</v>
      </c>
      <c r="L283" s="20">
        <f t="shared" si="38"/>
        <v>45689</v>
      </c>
      <c r="M283" s="10">
        <f t="shared" si="39"/>
        <v>2025</v>
      </c>
      <c r="N283" s="9">
        <v>45721</v>
      </c>
      <c r="O283" s="9">
        <v>45749</v>
      </c>
      <c r="P283" s="9" t="s">
        <v>2350</v>
      </c>
      <c r="Q283" s="26" t="str">
        <f t="shared" si="40"/>
        <v/>
      </c>
      <c r="R283" t="s">
        <v>1618</v>
      </c>
      <c r="S283" s="15">
        <v>42265</v>
      </c>
      <c r="T283" s="15">
        <v>45500</v>
      </c>
      <c r="U283" t="s">
        <v>1622</v>
      </c>
      <c r="V283" t="s">
        <v>1628</v>
      </c>
      <c r="W283" s="17">
        <v>3.6</v>
      </c>
      <c r="X283" s="10">
        <f t="shared" si="41"/>
        <v>1</v>
      </c>
      <c r="Y283" s="10">
        <f t="shared" si="42"/>
        <v>0</v>
      </c>
      <c r="Z283" s="10">
        <f t="shared" si="43"/>
        <v>0</v>
      </c>
      <c r="AA283">
        <f t="shared" si="36"/>
        <v>1</v>
      </c>
      <c r="AB283">
        <f t="shared" si="44"/>
        <v>1</v>
      </c>
      <c r="AC283">
        <f t="shared" si="37"/>
        <v>0</v>
      </c>
    </row>
    <row r="284" spans="1:29" x14ac:dyDescent="0.35">
      <c r="A284" t="s">
        <v>300</v>
      </c>
      <c r="B284" t="s">
        <v>521</v>
      </c>
      <c r="C284" t="s">
        <v>904</v>
      </c>
      <c r="D284" t="s">
        <v>2147</v>
      </c>
      <c r="E284" t="s">
        <v>1852</v>
      </c>
      <c r="F284" t="s">
        <v>1025</v>
      </c>
      <c r="G284" t="s">
        <v>1028</v>
      </c>
      <c r="H284" t="s">
        <v>1741</v>
      </c>
      <c r="I284" t="s">
        <v>1044</v>
      </c>
      <c r="J284" t="s">
        <v>1049</v>
      </c>
      <c r="K284" s="9">
        <v>45703</v>
      </c>
      <c r="L284" s="20">
        <f t="shared" si="38"/>
        <v>45689</v>
      </c>
      <c r="M284" s="10">
        <f t="shared" si="39"/>
        <v>2025</v>
      </c>
      <c r="N284" s="9">
        <v>45730</v>
      </c>
      <c r="O284" s="9">
        <v>45724</v>
      </c>
      <c r="P284" s="9" t="s">
        <v>2350</v>
      </c>
      <c r="Q284" s="26" t="str">
        <f t="shared" si="40"/>
        <v/>
      </c>
      <c r="R284" t="s">
        <v>1618</v>
      </c>
      <c r="S284" s="15">
        <v>45025</v>
      </c>
      <c r="T284" s="15">
        <v>44603</v>
      </c>
      <c r="U284" t="s">
        <v>1625</v>
      </c>
      <c r="V284" t="s">
        <v>1627</v>
      </c>
      <c r="W284" s="17">
        <v>2.2999999999999998</v>
      </c>
      <c r="X284" s="10">
        <f t="shared" si="41"/>
        <v>1</v>
      </c>
      <c r="Y284" s="10">
        <f t="shared" si="42"/>
        <v>0</v>
      </c>
      <c r="Z284" s="10">
        <f t="shared" si="43"/>
        <v>0</v>
      </c>
      <c r="AA284">
        <f t="shared" si="36"/>
        <v>1</v>
      </c>
      <c r="AB284">
        <f t="shared" si="44"/>
        <v>1</v>
      </c>
      <c r="AC284">
        <f t="shared" si="37"/>
        <v>0</v>
      </c>
    </row>
    <row r="285" spans="1:29" x14ac:dyDescent="0.35">
      <c r="A285" t="s">
        <v>301</v>
      </c>
      <c r="B285" t="s">
        <v>499</v>
      </c>
      <c r="C285" t="s">
        <v>2216</v>
      </c>
      <c r="D285" t="s">
        <v>2163</v>
      </c>
      <c r="E285" t="s">
        <v>1754</v>
      </c>
      <c r="F285" t="s">
        <v>1024</v>
      </c>
      <c r="G285" t="s">
        <v>1030</v>
      </c>
      <c r="H285" t="s">
        <v>1037</v>
      </c>
      <c r="I285" t="s">
        <v>1041</v>
      </c>
      <c r="J285" t="s">
        <v>1742</v>
      </c>
      <c r="K285" s="9">
        <v>45769</v>
      </c>
      <c r="L285" s="20">
        <f t="shared" si="38"/>
        <v>45748</v>
      </c>
      <c r="M285" s="10">
        <f t="shared" si="39"/>
        <v>2025</v>
      </c>
      <c r="N285" s="9" t="s">
        <v>2350</v>
      </c>
      <c r="O285" s="9" t="s">
        <v>2350</v>
      </c>
      <c r="P285" s="9" t="s">
        <v>2350</v>
      </c>
      <c r="Q285" s="26" t="str">
        <f t="shared" si="40"/>
        <v/>
      </c>
      <c r="R285" t="s">
        <v>1619</v>
      </c>
      <c r="S285" s="15">
        <v>33469</v>
      </c>
      <c r="U285" t="s">
        <v>1622</v>
      </c>
      <c r="V285" t="s">
        <v>1628</v>
      </c>
      <c r="W285" s="17">
        <v>2.6</v>
      </c>
      <c r="X285" s="10">
        <f t="shared" si="41"/>
        <v>1</v>
      </c>
      <c r="Y285" s="10">
        <f t="shared" si="42"/>
        <v>0</v>
      </c>
      <c r="Z285" s="10">
        <f t="shared" si="43"/>
        <v>1</v>
      </c>
      <c r="AA285">
        <f t="shared" si="36"/>
        <v>0</v>
      </c>
      <c r="AB285">
        <f t="shared" si="44"/>
        <v>0</v>
      </c>
      <c r="AC285">
        <f t="shared" si="37"/>
        <v>0</v>
      </c>
    </row>
    <row r="286" spans="1:29" x14ac:dyDescent="0.35">
      <c r="A286" t="s">
        <v>302</v>
      </c>
      <c r="B286" t="s">
        <v>503</v>
      </c>
      <c r="C286" t="s">
        <v>2217</v>
      </c>
      <c r="D286" t="s">
        <v>2218</v>
      </c>
      <c r="E286" t="s">
        <v>2051</v>
      </c>
      <c r="F286" t="s">
        <v>1022</v>
      </c>
      <c r="G286" t="s">
        <v>1031</v>
      </c>
      <c r="H286" t="s">
        <v>1037</v>
      </c>
      <c r="I286" t="s">
        <v>1044</v>
      </c>
      <c r="J286" t="s">
        <v>1742</v>
      </c>
      <c r="K286" s="9">
        <v>45374</v>
      </c>
      <c r="L286" s="20">
        <f t="shared" si="38"/>
        <v>45352</v>
      </c>
      <c r="M286" s="10">
        <f t="shared" si="39"/>
        <v>2024</v>
      </c>
      <c r="N286" s="9" t="s">
        <v>2350</v>
      </c>
      <c r="O286" s="9" t="s">
        <v>2350</v>
      </c>
      <c r="P286" s="9" t="s">
        <v>2350</v>
      </c>
      <c r="Q286" s="26" t="str">
        <f t="shared" si="40"/>
        <v/>
      </c>
      <c r="R286" t="s">
        <v>1616</v>
      </c>
      <c r="S286" s="15">
        <v>37714</v>
      </c>
      <c r="U286" t="s">
        <v>1624</v>
      </c>
      <c r="V286" t="s">
        <v>1628</v>
      </c>
      <c r="W286" s="17">
        <v>3.5</v>
      </c>
      <c r="X286" s="10">
        <f t="shared" si="41"/>
        <v>1</v>
      </c>
      <c r="Y286" s="10">
        <f t="shared" si="42"/>
        <v>0</v>
      </c>
      <c r="Z286" s="10">
        <f t="shared" si="43"/>
        <v>0</v>
      </c>
      <c r="AA286">
        <f t="shared" si="36"/>
        <v>0</v>
      </c>
      <c r="AB286">
        <f t="shared" si="44"/>
        <v>0</v>
      </c>
      <c r="AC286">
        <f t="shared" si="37"/>
        <v>0</v>
      </c>
    </row>
    <row r="287" spans="1:29" x14ac:dyDescent="0.35">
      <c r="A287" t="s">
        <v>303</v>
      </c>
      <c r="B287" t="s">
        <v>571</v>
      </c>
      <c r="C287" t="s">
        <v>907</v>
      </c>
      <c r="D287" t="s">
        <v>2219</v>
      </c>
      <c r="E287" t="s">
        <v>1931</v>
      </c>
      <c r="F287" t="s">
        <v>1023</v>
      </c>
      <c r="G287" t="s">
        <v>1029</v>
      </c>
      <c r="H287" t="s">
        <v>1040</v>
      </c>
      <c r="I287" t="s">
        <v>1043</v>
      </c>
      <c r="J287" t="s">
        <v>1742</v>
      </c>
      <c r="K287" s="9">
        <v>45696</v>
      </c>
      <c r="L287" s="20">
        <f t="shared" si="38"/>
        <v>45689</v>
      </c>
      <c r="M287" s="10">
        <f t="shared" si="39"/>
        <v>2025</v>
      </c>
      <c r="N287" s="9">
        <v>45723</v>
      </c>
      <c r="O287" s="9" t="s">
        <v>2350</v>
      </c>
      <c r="P287" s="9" t="s">
        <v>2350</v>
      </c>
      <c r="Q287" s="26" t="str">
        <f t="shared" si="40"/>
        <v/>
      </c>
      <c r="R287" t="s">
        <v>1615</v>
      </c>
      <c r="S287" s="15">
        <v>40739</v>
      </c>
      <c r="U287" t="s">
        <v>1625</v>
      </c>
      <c r="V287" t="s">
        <v>1628</v>
      </c>
      <c r="X287" s="10">
        <f t="shared" si="41"/>
        <v>1</v>
      </c>
      <c r="Y287" s="10">
        <f t="shared" si="42"/>
        <v>0</v>
      </c>
      <c r="Z287" s="10">
        <f t="shared" si="43"/>
        <v>0</v>
      </c>
      <c r="AA287">
        <f t="shared" si="36"/>
        <v>1</v>
      </c>
      <c r="AB287">
        <f t="shared" si="44"/>
        <v>0</v>
      </c>
      <c r="AC287">
        <f t="shared" si="37"/>
        <v>0</v>
      </c>
    </row>
    <row r="288" spans="1:29" x14ac:dyDescent="0.35">
      <c r="A288" t="s">
        <v>304</v>
      </c>
      <c r="B288" t="s">
        <v>490</v>
      </c>
      <c r="C288" t="s">
        <v>908</v>
      </c>
      <c r="D288" t="s">
        <v>2087</v>
      </c>
      <c r="E288" t="s">
        <v>2220</v>
      </c>
      <c r="F288" t="s">
        <v>1025</v>
      </c>
      <c r="G288" t="s">
        <v>1031</v>
      </c>
      <c r="H288" t="s">
        <v>1741</v>
      </c>
      <c r="I288" t="s">
        <v>1044</v>
      </c>
      <c r="J288" t="s">
        <v>1742</v>
      </c>
      <c r="K288" s="9">
        <v>45413</v>
      </c>
      <c r="L288" s="20">
        <f t="shared" si="38"/>
        <v>45413</v>
      </c>
      <c r="M288" s="10">
        <f t="shared" si="39"/>
        <v>2024</v>
      </c>
      <c r="N288" s="9">
        <v>45428</v>
      </c>
      <c r="O288" s="9">
        <v>45429</v>
      </c>
      <c r="P288" s="9" t="s">
        <v>2350</v>
      </c>
      <c r="Q288" s="26" t="str">
        <f t="shared" si="40"/>
        <v/>
      </c>
      <c r="R288" t="s">
        <v>1618</v>
      </c>
      <c r="S288" s="15">
        <v>28452</v>
      </c>
      <c r="T288" s="15">
        <v>25597</v>
      </c>
      <c r="U288" t="s">
        <v>1622</v>
      </c>
      <c r="V288" t="s">
        <v>1628</v>
      </c>
      <c r="W288" s="17">
        <v>3.3</v>
      </c>
      <c r="X288" s="10">
        <f t="shared" si="41"/>
        <v>1</v>
      </c>
      <c r="Y288" s="10">
        <f t="shared" si="42"/>
        <v>0</v>
      </c>
      <c r="Z288" s="10">
        <f t="shared" si="43"/>
        <v>0</v>
      </c>
      <c r="AA288">
        <f t="shared" si="36"/>
        <v>1</v>
      </c>
      <c r="AB288">
        <f t="shared" si="44"/>
        <v>1</v>
      </c>
      <c r="AC288">
        <f t="shared" si="37"/>
        <v>0</v>
      </c>
    </row>
    <row r="289" spans="1:29" x14ac:dyDescent="0.35">
      <c r="A289" t="s">
        <v>305</v>
      </c>
      <c r="B289" t="s">
        <v>593</v>
      </c>
      <c r="C289" t="s">
        <v>909</v>
      </c>
      <c r="D289" t="s">
        <v>2099</v>
      </c>
      <c r="E289" t="s">
        <v>2209</v>
      </c>
      <c r="F289" t="s">
        <v>1023</v>
      </c>
      <c r="G289" t="s">
        <v>1028</v>
      </c>
      <c r="H289" t="s">
        <v>1037</v>
      </c>
      <c r="I289" t="s">
        <v>1044</v>
      </c>
      <c r="J289" t="s">
        <v>1049</v>
      </c>
      <c r="K289" s="9">
        <v>45613</v>
      </c>
      <c r="L289" s="20">
        <f t="shared" si="38"/>
        <v>45597</v>
      </c>
      <c r="M289" s="10">
        <f t="shared" si="39"/>
        <v>2024</v>
      </c>
      <c r="N289" s="9" t="s">
        <v>2350</v>
      </c>
      <c r="O289" s="9" t="s">
        <v>2350</v>
      </c>
      <c r="P289" s="9" t="s">
        <v>2350</v>
      </c>
      <c r="Q289" s="26" t="str">
        <f t="shared" si="40"/>
        <v/>
      </c>
      <c r="R289" t="s">
        <v>1616</v>
      </c>
      <c r="S289" s="15">
        <v>41179</v>
      </c>
      <c r="U289" t="s">
        <v>1621</v>
      </c>
      <c r="V289" t="s">
        <v>1628</v>
      </c>
      <c r="W289" s="17">
        <v>4.5</v>
      </c>
      <c r="X289" s="10">
        <f t="shared" si="41"/>
        <v>1</v>
      </c>
      <c r="Y289" s="10">
        <f t="shared" si="42"/>
        <v>0</v>
      </c>
      <c r="Z289" s="10">
        <f t="shared" si="43"/>
        <v>0</v>
      </c>
      <c r="AA289">
        <f t="shared" si="36"/>
        <v>0</v>
      </c>
      <c r="AB289">
        <f t="shared" si="44"/>
        <v>0</v>
      </c>
      <c r="AC289">
        <f t="shared" si="37"/>
        <v>0</v>
      </c>
    </row>
    <row r="290" spans="1:29" x14ac:dyDescent="0.35">
      <c r="A290" t="s">
        <v>306</v>
      </c>
      <c r="B290" t="s">
        <v>594</v>
      </c>
      <c r="C290" t="s">
        <v>2221</v>
      </c>
      <c r="D290" t="s">
        <v>2093</v>
      </c>
      <c r="E290" t="s">
        <v>1779</v>
      </c>
      <c r="F290" t="s">
        <v>1024</v>
      </c>
      <c r="G290" t="s">
        <v>1032</v>
      </c>
      <c r="H290" t="s">
        <v>1035</v>
      </c>
      <c r="I290" t="s">
        <v>1045</v>
      </c>
      <c r="J290" t="s">
        <v>1049</v>
      </c>
      <c r="K290" s="9">
        <v>45679</v>
      </c>
      <c r="L290" s="20">
        <f t="shared" si="38"/>
        <v>45658</v>
      </c>
      <c r="M290" s="10">
        <f t="shared" si="39"/>
        <v>2025</v>
      </c>
      <c r="N290" s="9" t="s">
        <v>2350</v>
      </c>
      <c r="O290" s="9" t="s">
        <v>2350</v>
      </c>
      <c r="P290" s="9" t="s">
        <v>2350</v>
      </c>
      <c r="Q290" s="26" t="str">
        <f t="shared" si="40"/>
        <v/>
      </c>
      <c r="R290" t="s">
        <v>1616</v>
      </c>
      <c r="S290" s="15">
        <v>28942</v>
      </c>
      <c r="U290" t="s">
        <v>1621</v>
      </c>
      <c r="V290" t="s">
        <v>1628</v>
      </c>
      <c r="W290" s="17">
        <v>3.7</v>
      </c>
      <c r="X290" s="10">
        <f t="shared" si="41"/>
        <v>1</v>
      </c>
      <c r="Y290" s="10">
        <f t="shared" si="42"/>
        <v>0</v>
      </c>
      <c r="Z290" s="10">
        <f t="shared" si="43"/>
        <v>0</v>
      </c>
      <c r="AA290">
        <f t="shared" si="36"/>
        <v>0</v>
      </c>
      <c r="AB290">
        <f t="shared" si="44"/>
        <v>0</v>
      </c>
      <c r="AC290">
        <f t="shared" si="37"/>
        <v>0</v>
      </c>
    </row>
    <row r="291" spans="1:29" x14ac:dyDescent="0.35">
      <c r="A291" t="s">
        <v>307</v>
      </c>
      <c r="B291" t="s">
        <v>440</v>
      </c>
      <c r="C291" t="s">
        <v>2222</v>
      </c>
      <c r="D291" t="s">
        <v>2223</v>
      </c>
      <c r="E291" t="s">
        <v>1999</v>
      </c>
      <c r="F291" t="s">
        <v>1024</v>
      </c>
      <c r="G291" t="s">
        <v>1032</v>
      </c>
      <c r="H291" t="s">
        <v>1741</v>
      </c>
      <c r="I291" t="s">
        <v>1045</v>
      </c>
      <c r="J291" t="s">
        <v>1742</v>
      </c>
      <c r="K291" s="9">
        <v>45329</v>
      </c>
      <c r="L291" s="20">
        <f t="shared" si="38"/>
        <v>45323</v>
      </c>
      <c r="M291" s="10">
        <f t="shared" si="39"/>
        <v>2024</v>
      </c>
      <c r="N291" s="9" t="s">
        <v>2350</v>
      </c>
      <c r="O291" s="9" t="s">
        <v>2350</v>
      </c>
      <c r="P291" s="9" t="s">
        <v>2350</v>
      </c>
      <c r="Q291" s="26" t="str">
        <f t="shared" si="40"/>
        <v/>
      </c>
      <c r="R291" t="s">
        <v>1616</v>
      </c>
      <c r="S291" s="15">
        <v>29553</v>
      </c>
      <c r="U291" t="s">
        <v>1622</v>
      </c>
      <c r="V291" t="s">
        <v>1627</v>
      </c>
      <c r="W291" s="17">
        <v>2.6</v>
      </c>
      <c r="X291" s="10">
        <f t="shared" si="41"/>
        <v>1</v>
      </c>
      <c r="Y291" s="10">
        <f t="shared" si="42"/>
        <v>0</v>
      </c>
      <c r="Z291" s="10">
        <f t="shared" si="43"/>
        <v>0</v>
      </c>
      <c r="AA291">
        <f t="shared" si="36"/>
        <v>0</v>
      </c>
      <c r="AB291">
        <f t="shared" si="44"/>
        <v>0</v>
      </c>
      <c r="AC291">
        <f t="shared" si="37"/>
        <v>0</v>
      </c>
    </row>
    <row r="292" spans="1:29" x14ac:dyDescent="0.35">
      <c r="A292" t="s">
        <v>308</v>
      </c>
      <c r="B292" t="s">
        <v>595</v>
      </c>
      <c r="C292" t="s">
        <v>912</v>
      </c>
      <c r="D292" t="s">
        <v>2224</v>
      </c>
      <c r="E292" t="s">
        <v>1796</v>
      </c>
      <c r="F292" t="s">
        <v>1026</v>
      </c>
      <c r="G292" t="s">
        <v>1032</v>
      </c>
      <c r="H292" t="s">
        <v>1036</v>
      </c>
      <c r="I292" t="s">
        <v>1044</v>
      </c>
      <c r="J292" t="s">
        <v>1742</v>
      </c>
      <c r="K292" s="9">
        <v>45494</v>
      </c>
      <c r="L292" s="20">
        <f t="shared" si="38"/>
        <v>45474</v>
      </c>
      <c r="M292" s="10">
        <f t="shared" si="39"/>
        <v>2024</v>
      </c>
      <c r="N292" s="9" t="s">
        <v>2350</v>
      </c>
      <c r="O292" s="9" t="s">
        <v>2350</v>
      </c>
      <c r="P292" s="9" t="s">
        <v>2350</v>
      </c>
      <c r="Q292" s="26" t="str">
        <f t="shared" si="40"/>
        <v/>
      </c>
      <c r="R292" t="s">
        <v>1619</v>
      </c>
      <c r="S292" s="15">
        <v>44473</v>
      </c>
      <c r="U292" t="s">
        <v>1624</v>
      </c>
      <c r="V292" t="s">
        <v>1628</v>
      </c>
      <c r="X292" s="10">
        <f t="shared" si="41"/>
        <v>1</v>
      </c>
      <c r="Y292" s="10">
        <f t="shared" si="42"/>
        <v>0</v>
      </c>
      <c r="Z292" s="10">
        <f t="shared" si="43"/>
        <v>1</v>
      </c>
      <c r="AA292">
        <f t="shared" si="36"/>
        <v>0</v>
      </c>
      <c r="AB292">
        <f t="shared" si="44"/>
        <v>0</v>
      </c>
      <c r="AC292">
        <f t="shared" si="37"/>
        <v>0</v>
      </c>
    </row>
    <row r="293" spans="1:29" x14ac:dyDescent="0.35">
      <c r="A293" t="s">
        <v>309</v>
      </c>
      <c r="B293" t="s">
        <v>596</v>
      </c>
      <c r="C293" t="s">
        <v>2225</v>
      </c>
      <c r="D293" t="s">
        <v>2226</v>
      </c>
      <c r="E293" t="s">
        <v>2227</v>
      </c>
      <c r="F293" t="s">
        <v>1022</v>
      </c>
      <c r="G293" t="s">
        <v>1029</v>
      </c>
      <c r="H293" t="s">
        <v>1741</v>
      </c>
      <c r="I293" t="s">
        <v>1042</v>
      </c>
      <c r="J293" t="s">
        <v>1742</v>
      </c>
      <c r="K293" s="9">
        <v>45574</v>
      </c>
      <c r="L293" s="20">
        <f t="shared" si="38"/>
        <v>45566</v>
      </c>
      <c r="M293" s="10">
        <f t="shared" si="39"/>
        <v>2024</v>
      </c>
      <c r="N293" s="9">
        <v>45596</v>
      </c>
      <c r="O293" s="9" t="s">
        <v>2350</v>
      </c>
      <c r="P293" s="9" t="s">
        <v>2350</v>
      </c>
      <c r="Q293" s="26" t="str">
        <f t="shared" si="40"/>
        <v/>
      </c>
      <c r="R293" t="s">
        <v>1615</v>
      </c>
      <c r="S293" s="15">
        <v>42302</v>
      </c>
      <c r="U293" t="s">
        <v>1622</v>
      </c>
      <c r="V293" t="s">
        <v>1628</v>
      </c>
      <c r="W293" s="17">
        <v>4.3</v>
      </c>
      <c r="X293" s="10">
        <f t="shared" si="41"/>
        <v>1</v>
      </c>
      <c r="Y293" s="10">
        <f t="shared" si="42"/>
        <v>0</v>
      </c>
      <c r="Z293" s="10">
        <f t="shared" si="43"/>
        <v>0</v>
      </c>
      <c r="AA293">
        <f t="shared" si="36"/>
        <v>1</v>
      </c>
      <c r="AB293">
        <f t="shared" si="44"/>
        <v>0</v>
      </c>
      <c r="AC293">
        <f t="shared" si="37"/>
        <v>0</v>
      </c>
    </row>
    <row r="294" spans="1:29" x14ac:dyDescent="0.35">
      <c r="A294" t="s">
        <v>310</v>
      </c>
      <c r="B294" t="s">
        <v>565</v>
      </c>
      <c r="C294" t="s">
        <v>2228</v>
      </c>
      <c r="D294" t="s">
        <v>2229</v>
      </c>
      <c r="E294" t="s">
        <v>2230</v>
      </c>
      <c r="F294" t="s">
        <v>1026</v>
      </c>
      <c r="G294" t="s">
        <v>1030</v>
      </c>
      <c r="H294" t="s">
        <v>1037</v>
      </c>
      <c r="I294" t="s">
        <v>1041</v>
      </c>
      <c r="J294" t="s">
        <v>1742</v>
      </c>
      <c r="K294" s="9">
        <v>45371</v>
      </c>
      <c r="L294" s="20">
        <f t="shared" si="38"/>
        <v>45352</v>
      </c>
      <c r="M294" s="10">
        <f t="shared" si="39"/>
        <v>2024</v>
      </c>
      <c r="N294" s="9" t="s">
        <v>2350</v>
      </c>
      <c r="O294" s="9" t="s">
        <v>2350</v>
      </c>
      <c r="P294" s="9" t="s">
        <v>2350</v>
      </c>
      <c r="Q294" s="26" t="str">
        <f t="shared" si="40"/>
        <v/>
      </c>
      <c r="R294" t="s">
        <v>1619</v>
      </c>
      <c r="S294" s="15">
        <v>41705</v>
      </c>
      <c r="U294" t="s">
        <v>1624</v>
      </c>
      <c r="V294" t="s">
        <v>1627</v>
      </c>
      <c r="W294" s="17">
        <v>4.0999999999999996</v>
      </c>
      <c r="X294" s="10">
        <f t="shared" si="41"/>
        <v>1</v>
      </c>
      <c r="Y294" s="10">
        <f t="shared" si="42"/>
        <v>0</v>
      </c>
      <c r="Z294" s="10">
        <f t="shared" si="43"/>
        <v>1</v>
      </c>
      <c r="AA294">
        <f t="shared" si="36"/>
        <v>0</v>
      </c>
      <c r="AB294">
        <f t="shared" si="44"/>
        <v>0</v>
      </c>
      <c r="AC294">
        <f t="shared" si="37"/>
        <v>0</v>
      </c>
    </row>
    <row r="295" spans="1:29" x14ac:dyDescent="0.35">
      <c r="A295" t="s">
        <v>311</v>
      </c>
      <c r="B295" t="s">
        <v>558</v>
      </c>
      <c r="C295" t="s">
        <v>2231</v>
      </c>
      <c r="D295" t="s">
        <v>1819</v>
      </c>
      <c r="E295" t="s">
        <v>2232</v>
      </c>
      <c r="F295" t="s">
        <v>1027</v>
      </c>
      <c r="G295" t="s">
        <v>1028</v>
      </c>
      <c r="H295" t="s">
        <v>1040</v>
      </c>
      <c r="I295" t="s">
        <v>1045</v>
      </c>
      <c r="J295" t="s">
        <v>1742</v>
      </c>
      <c r="K295" s="9">
        <v>45713</v>
      </c>
      <c r="L295" s="20">
        <f t="shared" si="38"/>
        <v>45689</v>
      </c>
      <c r="M295" s="10">
        <f t="shared" si="39"/>
        <v>2025</v>
      </c>
      <c r="N295" s="9" t="s">
        <v>2350</v>
      </c>
      <c r="O295" s="9" t="s">
        <v>2350</v>
      </c>
      <c r="P295" s="9" t="s">
        <v>2350</v>
      </c>
      <c r="Q295" s="26" t="str">
        <f t="shared" si="40"/>
        <v/>
      </c>
      <c r="R295" t="s">
        <v>1616</v>
      </c>
      <c r="S295" s="15">
        <v>30363</v>
      </c>
      <c r="U295" t="s">
        <v>1625</v>
      </c>
      <c r="V295" t="s">
        <v>1626</v>
      </c>
      <c r="X295" s="10">
        <f t="shared" si="41"/>
        <v>1</v>
      </c>
      <c r="Y295" s="10">
        <f t="shared" si="42"/>
        <v>0</v>
      </c>
      <c r="Z295" s="10">
        <f t="shared" si="43"/>
        <v>0</v>
      </c>
      <c r="AA295">
        <f t="shared" si="36"/>
        <v>0</v>
      </c>
      <c r="AB295">
        <f t="shared" si="44"/>
        <v>0</v>
      </c>
      <c r="AC295">
        <f t="shared" si="37"/>
        <v>0</v>
      </c>
    </row>
    <row r="296" spans="1:29" x14ac:dyDescent="0.35">
      <c r="A296" t="s">
        <v>312</v>
      </c>
      <c r="B296" t="s">
        <v>502</v>
      </c>
      <c r="C296" t="s">
        <v>916</v>
      </c>
      <c r="D296" t="s">
        <v>2233</v>
      </c>
      <c r="E296" t="s">
        <v>2234</v>
      </c>
      <c r="F296" t="s">
        <v>1023</v>
      </c>
      <c r="G296" t="s">
        <v>1028</v>
      </c>
      <c r="H296" t="s">
        <v>1034</v>
      </c>
      <c r="I296" t="s">
        <v>1042</v>
      </c>
      <c r="J296" t="s">
        <v>1050</v>
      </c>
      <c r="K296" s="9">
        <v>45785</v>
      </c>
      <c r="L296" s="20">
        <f t="shared" si="38"/>
        <v>45778</v>
      </c>
      <c r="M296" s="10">
        <f t="shared" si="39"/>
        <v>2025</v>
      </c>
      <c r="N296" s="9" t="s">
        <v>2350</v>
      </c>
      <c r="O296" s="9" t="s">
        <v>2350</v>
      </c>
      <c r="P296" s="9" t="s">
        <v>2350</v>
      </c>
      <c r="Q296" s="26" t="str">
        <f t="shared" si="40"/>
        <v/>
      </c>
      <c r="R296" t="s">
        <v>1616</v>
      </c>
      <c r="S296" s="15">
        <v>36961</v>
      </c>
      <c r="U296" t="s">
        <v>1625</v>
      </c>
      <c r="V296" t="s">
        <v>1628</v>
      </c>
      <c r="W296" s="17">
        <v>3.4</v>
      </c>
      <c r="X296" s="10">
        <f t="shared" si="41"/>
        <v>1</v>
      </c>
      <c r="Y296" s="10">
        <f t="shared" si="42"/>
        <v>0</v>
      </c>
      <c r="Z296" s="10">
        <f t="shared" si="43"/>
        <v>0</v>
      </c>
      <c r="AA296">
        <f t="shared" si="36"/>
        <v>0</v>
      </c>
      <c r="AB296">
        <f t="shared" si="44"/>
        <v>0</v>
      </c>
      <c r="AC296">
        <f t="shared" si="37"/>
        <v>0</v>
      </c>
    </row>
    <row r="297" spans="1:29" x14ac:dyDescent="0.35">
      <c r="A297" t="s">
        <v>313</v>
      </c>
      <c r="B297" t="s">
        <v>597</v>
      </c>
      <c r="C297" t="s">
        <v>917</v>
      </c>
      <c r="D297" t="s">
        <v>2235</v>
      </c>
      <c r="E297" t="s">
        <v>2236</v>
      </c>
      <c r="F297" t="s">
        <v>1026</v>
      </c>
      <c r="G297" t="s">
        <v>1029</v>
      </c>
      <c r="H297" t="s">
        <v>1037</v>
      </c>
      <c r="I297" t="s">
        <v>1041</v>
      </c>
      <c r="J297" t="s">
        <v>1051</v>
      </c>
      <c r="K297" s="9">
        <v>45539</v>
      </c>
      <c r="L297" s="20">
        <f t="shared" si="38"/>
        <v>45536</v>
      </c>
      <c r="M297" s="10">
        <f t="shared" si="39"/>
        <v>2024</v>
      </c>
      <c r="N297" s="9">
        <v>45544</v>
      </c>
      <c r="O297" s="9">
        <v>45579</v>
      </c>
      <c r="P297" s="9">
        <v>45610</v>
      </c>
      <c r="Q297" s="26">
        <f t="shared" si="40"/>
        <v>71</v>
      </c>
      <c r="R297" t="s">
        <v>1620</v>
      </c>
      <c r="S297" s="15">
        <v>39797</v>
      </c>
      <c r="T297" s="15">
        <v>39531</v>
      </c>
      <c r="U297" t="s">
        <v>1623</v>
      </c>
      <c r="V297" t="s">
        <v>1626</v>
      </c>
      <c r="W297" s="17">
        <v>2.7</v>
      </c>
      <c r="X297" s="10">
        <f t="shared" si="41"/>
        <v>1</v>
      </c>
      <c r="Y297" s="10">
        <f t="shared" si="42"/>
        <v>0</v>
      </c>
      <c r="Z297" s="10">
        <f t="shared" si="43"/>
        <v>0</v>
      </c>
      <c r="AA297">
        <f t="shared" si="36"/>
        <v>1</v>
      </c>
      <c r="AB297">
        <f t="shared" si="44"/>
        <v>0</v>
      </c>
      <c r="AC297">
        <f t="shared" si="37"/>
        <v>1</v>
      </c>
    </row>
    <row r="298" spans="1:29" x14ac:dyDescent="0.35">
      <c r="A298" t="s">
        <v>314</v>
      </c>
      <c r="B298" t="s">
        <v>598</v>
      </c>
      <c r="C298" t="s">
        <v>918</v>
      </c>
      <c r="D298" t="s">
        <v>2056</v>
      </c>
      <c r="E298" t="s">
        <v>1774</v>
      </c>
      <c r="F298" t="s">
        <v>1027</v>
      </c>
      <c r="G298" t="s">
        <v>1032</v>
      </c>
      <c r="H298" t="s">
        <v>1037</v>
      </c>
      <c r="I298" t="s">
        <v>1042</v>
      </c>
      <c r="J298" t="s">
        <v>1050</v>
      </c>
      <c r="K298" s="9">
        <v>45766</v>
      </c>
      <c r="L298" s="20">
        <f t="shared" si="38"/>
        <v>45748</v>
      </c>
      <c r="M298" s="10">
        <f t="shared" si="39"/>
        <v>2025</v>
      </c>
      <c r="N298" s="9" t="s">
        <v>2350</v>
      </c>
      <c r="O298" s="9" t="s">
        <v>2350</v>
      </c>
      <c r="P298" s="9" t="s">
        <v>2350</v>
      </c>
      <c r="Q298" s="26" t="str">
        <f t="shared" si="40"/>
        <v/>
      </c>
      <c r="R298" t="s">
        <v>1616</v>
      </c>
      <c r="S298" s="15">
        <v>31652</v>
      </c>
      <c r="U298" t="s">
        <v>1625</v>
      </c>
      <c r="V298" t="s">
        <v>1627</v>
      </c>
      <c r="W298" s="17">
        <v>4.2</v>
      </c>
      <c r="X298" s="10">
        <f t="shared" si="41"/>
        <v>1</v>
      </c>
      <c r="Y298" s="10">
        <f t="shared" si="42"/>
        <v>0</v>
      </c>
      <c r="Z298" s="10">
        <f t="shared" si="43"/>
        <v>0</v>
      </c>
      <c r="AA298">
        <f t="shared" si="36"/>
        <v>0</v>
      </c>
      <c r="AB298">
        <f t="shared" si="44"/>
        <v>0</v>
      </c>
      <c r="AC298">
        <f t="shared" si="37"/>
        <v>0</v>
      </c>
    </row>
    <row r="299" spans="1:29" x14ac:dyDescent="0.35">
      <c r="A299" t="s">
        <v>315</v>
      </c>
      <c r="B299" t="s">
        <v>599</v>
      </c>
      <c r="C299" t="s">
        <v>2237</v>
      </c>
      <c r="D299" t="s">
        <v>1863</v>
      </c>
      <c r="E299" t="s">
        <v>2238</v>
      </c>
      <c r="F299" t="s">
        <v>1027</v>
      </c>
      <c r="G299" t="s">
        <v>1028</v>
      </c>
      <c r="H299" t="s">
        <v>1037</v>
      </c>
      <c r="I299" t="s">
        <v>1045</v>
      </c>
      <c r="J299" t="s">
        <v>1051</v>
      </c>
      <c r="K299" s="9">
        <v>45308</v>
      </c>
      <c r="L299" s="20">
        <f t="shared" si="38"/>
        <v>45292</v>
      </c>
      <c r="M299" s="10">
        <f t="shared" si="39"/>
        <v>2024</v>
      </c>
      <c r="N299" s="9">
        <v>45331</v>
      </c>
      <c r="O299" s="9" t="s">
        <v>2350</v>
      </c>
      <c r="P299" s="9" t="s">
        <v>2350</v>
      </c>
      <c r="Q299" s="26" t="str">
        <f t="shared" si="40"/>
        <v/>
      </c>
      <c r="R299" t="s">
        <v>1615</v>
      </c>
      <c r="S299" s="15">
        <v>30009</v>
      </c>
      <c r="U299" t="s">
        <v>1623</v>
      </c>
      <c r="V299" t="s">
        <v>1626</v>
      </c>
      <c r="W299" s="17">
        <v>4.2</v>
      </c>
      <c r="X299" s="10">
        <f t="shared" si="41"/>
        <v>1</v>
      </c>
      <c r="Y299" s="10">
        <f t="shared" si="42"/>
        <v>0</v>
      </c>
      <c r="Z299" s="10">
        <f t="shared" si="43"/>
        <v>0</v>
      </c>
      <c r="AA299">
        <f t="shared" si="36"/>
        <v>1</v>
      </c>
      <c r="AB299">
        <f t="shared" si="44"/>
        <v>0</v>
      </c>
      <c r="AC299">
        <f t="shared" si="37"/>
        <v>0</v>
      </c>
    </row>
    <row r="300" spans="1:29" x14ac:dyDescent="0.35">
      <c r="A300" t="s">
        <v>316</v>
      </c>
      <c r="B300" t="s">
        <v>498</v>
      </c>
      <c r="C300" t="s">
        <v>2239</v>
      </c>
      <c r="D300" t="s">
        <v>2240</v>
      </c>
      <c r="E300" t="s">
        <v>2241</v>
      </c>
      <c r="F300" t="s">
        <v>1024</v>
      </c>
      <c r="G300" t="s">
        <v>1032</v>
      </c>
      <c r="H300" t="s">
        <v>1037</v>
      </c>
      <c r="I300" t="s">
        <v>1044</v>
      </c>
      <c r="J300" t="s">
        <v>1049</v>
      </c>
      <c r="K300" s="9">
        <v>45463</v>
      </c>
      <c r="L300" s="20">
        <f t="shared" si="38"/>
        <v>45444</v>
      </c>
      <c r="M300" s="10">
        <f t="shared" si="39"/>
        <v>2024</v>
      </c>
      <c r="N300" s="9" t="s">
        <v>2350</v>
      </c>
      <c r="O300" s="9" t="s">
        <v>2350</v>
      </c>
      <c r="P300" s="9" t="s">
        <v>2350</v>
      </c>
      <c r="Q300" s="26" t="str">
        <f t="shared" si="40"/>
        <v/>
      </c>
      <c r="R300" t="s">
        <v>1616</v>
      </c>
      <c r="S300" s="15">
        <v>29865</v>
      </c>
      <c r="U300" t="s">
        <v>1621</v>
      </c>
      <c r="V300" t="s">
        <v>1626</v>
      </c>
      <c r="W300" s="17">
        <v>2.7</v>
      </c>
      <c r="X300" s="10">
        <f t="shared" si="41"/>
        <v>1</v>
      </c>
      <c r="Y300" s="10">
        <f t="shared" si="42"/>
        <v>0</v>
      </c>
      <c r="Z300" s="10">
        <f t="shared" si="43"/>
        <v>0</v>
      </c>
      <c r="AA300">
        <f t="shared" si="36"/>
        <v>0</v>
      </c>
      <c r="AB300">
        <f t="shared" si="44"/>
        <v>0</v>
      </c>
      <c r="AC300">
        <f t="shared" si="37"/>
        <v>0</v>
      </c>
    </row>
    <row r="301" spans="1:29" x14ac:dyDescent="0.35">
      <c r="A301" t="s">
        <v>317</v>
      </c>
      <c r="B301" t="s">
        <v>600</v>
      </c>
      <c r="C301" t="s">
        <v>921</v>
      </c>
      <c r="D301" t="s">
        <v>1846</v>
      </c>
      <c r="E301" t="s">
        <v>2242</v>
      </c>
      <c r="F301" t="s">
        <v>1023</v>
      </c>
      <c r="G301" t="s">
        <v>1029</v>
      </c>
      <c r="H301" t="s">
        <v>1039</v>
      </c>
      <c r="I301" t="s">
        <v>1044</v>
      </c>
      <c r="J301" t="s">
        <v>1048</v>
      </c>
      <c r="K301" s="9">
        <v>45488</v>
      </c>
      <c r="L301" s="20">
        <f t="shared" si="38"/>
        <v>45474</v>
      </c>
      <c r="M301" s="10">
        <f t="shared" si="39"/>
        <v>2024</v>
      </c>
      <c r="N301" s="9">
        <v>45493</v>
      </c>
      <c r="O301" s="9">
        <v>45526</v>
      </c>
      <c r="P301" s="9">
        <v>45525</v>
      </c>
      <c r="Q301" s="26">
        <f t="shared" si="40"/>
        <v>37</v>
      </c>
      <c r="R301" t="s">
        <v>1620</v>
      </c>
      <c r="S301" s="15">
        <v>44712</v>
      </c>
      <c r="T301" s="15">
        <v>44176</v>
      </c>
      <c r="U301" t="s">
        <v>1621</v>
      </c>
      <c r="V301" t="s">
        <v>1628</v>
      </c>
      <c r="W301" s="17">
        <v>2.9</v>
      </c>
      <c r="X301" s="10">
        <f t="shared" si="41"/>
        <v>1</v>
      </c>
      <c r="Y301" s="10">
        <f t="shared" si="42"/>
        <v>0</v>
      </c>
      <c r="Z301" s="10">
        <f t="shared" si="43"/>
        <v>0</v>
      </c>
      <c r="AA301">
        <f t="shared" si="36"/>
        <v>1</v>
      </c>
      <c r="AB301">
        <f t="shared" si="44"/>
        <v>0</v>
      </c>
      <c r="AC301">
        <f t="shared" si="37"/>
        <v>1</v>
      </c>
    </row>
    <row r="302" spans="1:29" x14ac:dyDescent="0.35">
      <c r="A302" t="s">
        <v>318</v>
      </c>
      <c r="B302" t="s">
        <v>601</v>
      </c>
      <c r="C302" t="s">
        <v>922</v>
      </c>
      <c r="D302" t="s">
        <v>2177</v>
      </c>
      <c r="E302" t="s">
        <v>1994</v>
      </c>
      <c r="F302" t="s">
        <v>1025</v>
      </c>
      <c r="G302" t="s">
        <v>1028</v>
      </c>
      <c r="H302" t="s">
        <v>1040</v>
      </c>
      <c r="I302" t="s">
        <v>1044</v>
      </c>
      <c r="J302" t="s">
        <v>1049</v>
      </c>
      <c r="K302" s="9">
        <v>45562</v>
      </c>
      <c r="L302" s="20">
        <f t="shared" si="38"/>
        <v>45536</v>
      </c>
      <c r="M302" s="10">
        <f t="shared" si="39"/>
        <v>2024</v>
      </c>
      <c r="N302" s="9">
        <v>45571</v>
      </c>
      <c r="O302" s="9">
        <v>45605</v>
      </c>
      <c r="P302" s="9">
        <v>45591</v>
      </c>
      <c r="Q302" s="26">
        <f t="shared" si="40"/>
        <v>29</v>
      </c>
      <c r="R302" t="s">
        <v>1620</v>
      </c>
      <c r="S302" s="15">
        <v>47034</v>
      </c>
      <c r="T302" s="15">
        <v>49759</v>
      </c>
      <c r="U302" t="s">
        <v>1622</v>
      </c>
      <c r="V302" t="s">
        <v>1626</v>
      </c>
      <c r="W302" s="17">
        <v>4.5</v>
      </c>
      <c r="X302" s="10">
        <f t="shared" si="41"/>
        <v>1</v>
      </c>
      <c r="Y302" s="10">
        <f t="shared" si="42"/>
        <v>0</v>
      </c>
      <c r="Z302" s="10">
        <f t="shared" si="43"/>
        <v>0</v>
      </c>
      <c r="AA302">
        <f t="shared" si="36"/>
        <v>1</v>
      </c>
      <c r="AB302">
        <f t="shared" si="44"/>
        <v>0</v>
      </c>
      <c r="AC302">
        <f t="shared" si="37"/>
        <v>1</v>
      </c>
    </row>
    <row r="303" spans="1:29" x14ac:dyDescent="0.35">
      <c r="A303" t="s">
        <v>319</v>
      </c>
      <c r="B303" t="s">
        <v>602</v>
      </c>
      <c r="C303" t="s">
        <v>923</v>
      </c>
      <c r="D303" t="s">
        <v>2243</v>
      </c>
      <c r="E303" t="s">
        <v>1921</v>
      </c>
      <c r="F303" t="s">
        <v>1023</v>
      </c>
      <c r="G303" t="s">
        <v>1029</v>
      </c>
      <c r="H303" t="s">
        <v>1037</v>
      </c>
      <c r="I303" t="s">
        <v>1041</v>
      </c>
      <c r="J303" t="s">
        <v>1049</v>
      </c>
      <c r="K303" s="9">
        <v>45728</v>
      </c>
      <c r="L303" s="20">
        <f t="shared" si="38"/>
        <v>45717</v>
      </c>
      <c r="M303" s="10">
        <f t="shared" si="39"/>
        <v>2025</v>
      </c>
      <c r="N303" s="9" t="s">
        <v>2350</v>
      </c>
      <c r="O303" s="9" t="s">
        <v>2350</v>
      </c>
      <c r="P303" s="9" t="s">
        <v>2350</v>
      </c>
      <c r="Q303" s="26" t="str">
        <f t="shared" si="40"/>
        <v/>
      </c>
      <c r="R303" t="s">
        <v>1616</v>
      </c>
      <c r="S303" s="15">
        <v>45927</v>
      </c>
      <c r="U303" t="s">
        <v>1622</v>
      </c>
      <c r="V303" t="s">
        <v>1627</v>
      </c>
      <c r="W303" s="17">
        <v>2.1</v>
      </c>
      <c r="X303" s="10">
        <f t="shared" si="41"/>
        <v>1</v>
      </c>
      <c r="Y303" s="10">
        <f t="shared" si="42"/>
        <v>0</v>
      </c>
      <c r="Z303" s="10">
        <f t="shared" si="43"/>
        <v>0</v>
      </c>
      <c r="AA303">
        <f t="shared" si="36"/>
        <v>0</v>
      </c>
      <c r="AB303">
        <f t="shared" si="44"/>
        <v>0</v>
      </c>
      <c r="AC303">
        <f t="shared" si="37"/>
        <v>0</v>
      </c>
    </row>
    <row r="304" spans="1:29" x14ac:dyDescent="0.35">
      <c r="A304" t="s">
        <v>320</v>
      </c>
      <c r="B304" t="s">
        <v>603</v>
      </c>
      <c r="C304" t="s">
        <v>924</v>
      </c>
      <c r="D304" t="s">
        <v>2218</v>
      </c>
      <c r="E304" t="s">
        <v>1843</v>
      </c>
      <c r="F304" t="s">
        <v>1022</v>
      </c>
      <c r="G304" t="s">
        <v>1032</v>
      </c>
      <c r="H304" t="s">
        <v>1037</v>
      </c>
      <c r="I304" t="s">
        <v>1042</v>
      </c>
      <c r="J304" t="s">
        <v>1050</v>
      </c>
      <c r="K304" s="9">
        <v>45385</v>
      </c>
      <c r="L304" s="20">
        <f t="shared" si="38"/>
        <v>45383</v>
      </c>
      <c r="M304" s="10">
        <f t="shared" si="39"/>
        <v>2024</v>
      </c>
      <c r="N304" s="9">
        <v>45409</v>
      </c>
      <c r="O304" s="9">
        <v>45423</v>
      </c>
      <c r="P304" s="9">
        <v>45440</v>
      </c>
      <c r="Q304" s="26">
        <f t="shared" si="40"/>
        <v>55</v>
      </c>
      <c r="R304" t="s">
        <v>1620</v>
      </c>
      <c r="S304" s="15">
        <v>28257</v>
      </c>
      <c r="T304" s="15">
        <v>32088</v>
      </c>
      <c r="U304" t="s">
        <v>1624</v>
      </c>
      <c r="V304" t="s">
        <v>1627</v>
      </c>
      <c r="W304" s="17">
        <v>4.0999999999999996</v>
      </c>
      <c r="X304" s="10">
        <f t="shared" si="41"/>
        <v>1</v>
      </c>
      <c r="Y304" s="10">
        <f t="shared" si="42"/>
        <v>0</v>
      </c>
      <c r="Z304" s="10">
        <f t="shared" si="43"/>
        <v>0</v>
      </c>
      <c r="AA304">
        <f t="shared" si="36"/>
        <v>1</v>
      </c>
      <c r="AB304">
        <f t="shared" si="44"/>
        <v>0</v>
      </c>
      <c r="AC304">
        <f t="shared" si="37"/>
        <v>1</v>
      </c>
    </row>
    <row r="305" spans="1:29" x14ac:dyDescent="0.35">
      <c r="A305" t="s">
        <v>321</v>
      </c>
      <c r="B305" t="s">
        <v>487</v>
      </c>
      <c r="C305" t="s">
        <v>2244</v>
      </c>
      <c r="D305" t="s">
        <v>1932</v>
      </c>
      <c r="E305" t="s">
        <v>2245</v>
      </c>
      <c r="F305" t="s">
        <v>1025</v>
      </c>
      <c r="G305" t="s">
        <v>1031</v>
      </c>
      <c r="H305" t="s">
        <v>1037</v>
      </c>
      <c r="I305" t="s">
        <v>1044</v>
      </c>
      <c r="J305" t="s">
        <v>1742</v>
      </c>
      <c r="K305" s="9">
        <v>45688</v>
      </c>
      <c r="L305" s="20">
        <f t="shared" si="38"/>
        <v>45658</v>
      </c>
      <c r="M305" s="10">
        <f t="shared" si="39"/>
        <v>2025</v>
      </c>
      <c r="N305" s="9" t="s">
        <v>2350</v>
      </c>
      <c r="O305" s="9" t="s">
        <v>2350</v>
      </c>
      <c r="P305" s="9" t="s">
        <v>2350</v>
      </c>
      <c r="Q305" s="26" t="str">
        <f t="shared" si="40"/>
        <v/>
      </c>
      <c r="R305" t="s">
        <v>1619</v>
      </c>
      <c r="S305" s="15">
        <v>40755</v>
      </c>
      <c r="U305" t="s">
        <v>1623</v>
      </c>
      <c r="V305" t="s">
        <v>1628</v>
      </c>
      <c r="W305" s="17">
        <v>3.7</v>
      </c>
      <c r="X305" s="10">
        <f t="shared" si="41"/>
        <v>1</v>
      </c>
      <c r="Y305" s="10">
        <f t="shared" si="42"/>
        <v>0</v>
      </c>
      <c r="Z305" s="10">
        <f t="shared" si="43"/>
        <v>1</v>
      </c>
      <c r="AA305">
        <f t="shared" si="36"/>
        <v>0</v>
      </c>
      <c r="AB305">
        <f t="shared" si="44"/>
        <v>0</v>
      </c>
      <c r="AC305">
        <f t="shared" si="37"/>
        <v>0</v>
      </c>
    </row>
    <row r="306" spans="1:29" x14ac:dyDescent="0.35">
      <c r="A306" t="s">
        <v>322</v>
      </c>
      <c r="B306" t="s">
        <v>435</v>
      </c>
      <c r="C306" t="s">
        <v>926</v>
      </c>
      <c r="D306" t="s">
        <v>2186</v>
      </c>
      <c r="E306" t="s">
        <v>2122</v>
      </c>
      <c r="F306" t="s">
        <v>1027</v>
      </c>
      <c r="G306" t="s">
        <v>1028</v>
      </c>
      <c r="H306" t="s">
        <v>1037</v>
      </c>
      <c r="I306" t="s">
        <v>1043</v>
      </c>
      <c r="J306" t="s">
        <v>1048</v>
      </c>
      <c r="K306" s="9">
        <v>45620</v>
      </c>
      <c r="L306" s="20">
        <f t="shared" si="38"/>
        <v>45597</v>
      </c>
      <c r="M306" s="10">
        <f t="shared" si="39"/>
        <v>2024</v>
      </c>
      <c r="N306" s="9" t="s">
        <v>2350</v>
      </c>
      <c r="O306" s="9" t="s">
        <v>2350</v>
      </c>
      <c r="P306" s="9" t="s">
        <v>2350</v>
      </c>
      <c r="Q306" s="26" t="str">
        <f t="shared" si="40"/>
        <v/>
      </c>
      <c r="R306" t="s">
        <v>1619</v>
      </c>
      <c r="S306" s="15">
        <v>38343</v>
      </c>
      <c r="U306" t="s">
        <v>1622</v>
      </c>
      <c r="V306" t="s">
        <v>1628</v>
      </c>
      <c r="W306" s="17">
        <v>3.9</v>
      </c>
      <c r="X306" s="10">
        <f t="shared" si="41"/>
        <v>1</v>
      </c>
      <c r="Y306" s="10">
        <f t="shared" si="42"/>
        <v>0</v>
      </c>
      <c r="Z306" s="10">
        <f t="shared" si="43"/>
        <v>1</v>
      </c>
      <c r="AA306">
        <f t="shared" si="36"/>
        <v>0</v>
      </c>
      <c r="AB306">
        <f t="shared" si="44"/>
        <v>0</v>
      </c>
      <c r="AC306">
        <f t="shared" si="37"/>
        <v>0</v>
      </c>
    </row>
    <row r="307" spans="1:29" x14ac:dyDescent="0.35">
      <c r="A307" t="s">
        <v>323</v>
      </c>
      <c r="B307" t="s">
        <v>590</v>
      </c>
      <c r="C307" t="s">
        <v>927</v>
      </c>
      <c r="D307" t="s">
        <v>2246</v>
      </c>
      <c r="E307" t="s">
        <v>1915</v>
      </c>
      <c r="F307" t="s">
        <v>1024</v>
      </c>
      <c r="G307" t="s">
        <v>1031</v>
      </c>
      <c r="H307" t="s">
        <v>1036</v>
      </c>
      <c r="I307" t="s">
        <v>1042</v>
      </c>
      <c r="J307" t="s">
        <v>1050</v>
      </c>
      <c r="K307" s="9">
        <v>45767</v>
      </c>
      <c r="L307" s="20">
        <f t="shared" si="38"/>
        <v>45748</v>
      </c>
      <c r="M307" s="10">
        <f t="shared" si="39"/>
        <v>2025</v>
      </c>
      <c r="N307" s="9" t="s">
        <v>2350</v>
      </c>
      <c r="O307" s="9" t="s">
        <v>2350</v>
      </c>
      <c r="P307" s="9" t="s">
        <v>2350</v>
      </c>
      <c r="Q307" s="26" t="str">
        <f t="shared" si="40"/>
        <v/>
      </c>
      <c r="R307" t="s">
        <v>1619</v>
      </c>
      <c r="S307" s="15">
        <v>42637</v>
      </c>
      <c r="U307" t="s">
        <v>1624</v>
      </c>
      <c r="V307" t="s">
        <v>1626</v>
      </c>
      <c r="W307" s="17">
        <v>3.6</v>
      </c>
      <c r="X307" s="10">
        <f t="shared" si="41"/>
        <v>1</v>
      </c>
      <c r="Y307" s="10">
        <f t="shared" si="42"/>
        <v>0</v>
      </c>
      <c r="Z307" s="10">
        <f t="shared" si="43"/>
        <v>1</v>
      </c>
      <c r="AA307">
        <f t="shared" si="36"/>
        <v>0</v>
      </c>
      <c r="AB307">
        <f t="shared" si="44"/>
        <v>0</v>
      </c>
      <c r="AC307">
        <f t="shared" si="37"/>
        <v>0</v>
      </c>
    </row>
    <row r="308" spans="1:29" x14ac:dyDescent="0.35">
      <c r="A308" t="s">
        <v>324</v>
      </c>
      <c r="B308" t="s">
        <v>493</v>
      </c>
      <c r="C308" t="s">
        <v>928</v>
      </c>
      <c r="D308" t="s">
        <v>2247</v>
      </c>
      <c r="E308" t="s">
        <v>2248</v>
      </c>
      <c r="F308" t="s">
        <v>1027</v>
      </c>
      <c r="G308" t="s">
        <v>1032</v>
      </c>
      <c r="H308" t="s">
        <v>1741</v>
      </c>
      <c r="I308" t="s">
        <v>1044</v>
      </c>
      <c r="J308" t="s">
        <v>1051</v>
      </c>
      <c r="K308" s="9">
        <v>45369</v>
      </c>
      <c r="L308" s="20">
        <f t="shared" si="38"/>
        <v>45352</v>
      </c>
      <c r="M308" s="10">
        <f t="shared" si="39"/>
        <v>2024</v>
      </c>
      <c r="N308" s="9">
        <v>45380</v>
      </c>
      <c r="O308" s="9" t="s">
        <v>2350</v>
      </c>
      <c r="P308" s="9" t="s">
        <v>2350</v>
      </c>
      <c r="Q308" s="26" t="str">
        <f t="shared" si="40"/>
        <v/>
      </c>
      <c r="R308" t="s">
        <v>1615</v>
      </c>
      <c r="S308" s="15">
        <v>51148</v>
      </c>
      <c r="U308" t="s">
        <v>1624</v>
      </c>
      <c r="V308" t="s">
        <v>1627</v>
      </c>
      <c r="W308" s="17">
        <v>3.2</v>
      </c>
      <c r="X308" s="10">
        <f t="shared" si="41"/>
        <v>1</v>
      </c>
      <c r="Y308" s="10">
        <f t="shared" si="42"/>
        <v>0</v>
      </c>
      <c r="Z308" s="10">
        <f t="shared" si="43"/>
        <v>0</v>
      </c>
      <c r="AA308">
        <f t="shared" si="36"/>
        <v>1</v>
      </c>
      <c r="AB308">
        <f t="shared" si="44"/>
        <v>0</v>
      </c>
      <c r="AC308">
        <f t="shared" si="37"/>
        <v>0</v>
      </c>
    </row>
    <row r="309" spans="1:29" x14ac:dyDescent="0.35">
      <c r="A309" t="s">
        <v>325</v>
      </c>
      <c r="B309" t="s">
        <v>527</v>
      </c>
      <c r="C309" t="s">
        <v>2249</v>
      </c>
      <c r="D309" t="s">
        <v>1621</v>
      </c>
      <c r="E309" t="s">
        <v>1837</v>
      </c>
      <c r="F309" t="s">
        <v>1024</v>
      </c>
      <c r="G309" t="s">
        <v>1029</v>
      </c>
      <c r="H309" t="s">
        <v>1036</v>
      </c>
      <c r="I309" t="s">
        <v>1041</v>
      </c>
      <c r="J309" t="s">
        <v>1049</v>
      </c>
      <c r="K309" s="9">
        <v>45638</v>
      </c>
      <c r="L309" s="20">
        <f t="shared" si="38"/>
        <v>45627</v>
      </c>
      <c r="M309" s="10">
        <f t="shared" si="39"/>
        <v>2024</v>
      </c>
      <c r="N309" s="9" t="s">
        <v>2350</v>
      </c>
      <c r="O309" s="9" t="s">
        <v>2350</v>
      </c>
      <c r="P309" s="9" t="s">
        <v>2350</v>
      </c>
      <c r="Q309" s="26" t="str">
        <f t="shared" si="40"/>
        <v/>
      </c>
      <c r="R309" t="s">
        <v>1617</v>
      </c>
      <c r="S309" s="15">
        <v>46343</v>
      </c>
      <c r="U309" t="s">
        <v>1624</v>
      </c>
      <c r="V309" t="s">
        <v>1627</v>
      </c>
      <c r="W309" s="17">
        <v>3.5</v>
      </c>
      <c r="X309" s="10">
        <f t="shared" si="41"/>
        <v>1</v>
      </c>
      <c r="Y309" s="10">
        <f t="shared" si="42"/>
        <v>1</v>
      </c>
      <c r="Z309" s="10">
        <f t="shared" si="43"/>
        <v>0</v>
      </c>
      <c r="AA309">
        <f t="shared" si="36"/>
        <v>0</v>
      </c>
      <c r="AB309">
        <f t="shared" si="44"/>
        <v>0</v>
      </c>
      <c r="AC309">
        <f t="shared" si="37"/>
        <v>0</v>
      </c>
    </row>
    <row r="310" spans="1:29" x14ac:dyDescent="0.35">
      <c r="A310" t="s">
        <v>326</v>
      </c>
      <c r="B310" t="s">
        <v>458</v>
      </c>
      <c r="C310" t="s">
        <v>2250</v>
      </c>
      <c r="D310" t="s">
        <v>1882</v>
      </c>
      <c r="E310" t="s">
        <v>1750</v>
      </c>
      <c r="F310" t="s">
        <v>1024</v>
      </c>
      <c r="G310" t="s">
        <v>1031</v>
      </c>
      <c r="H310" t="s">
        <v>1037</v>
      </c>
      <c r="I310" t="s">
        <v>1044</v>
      </c>
      <c r="J310" t="s">
        <v>1051</v>
      </c>
      <c r="K310" s="9">
        <v>45691</v>
      </c>
      <c r="L310" s="20">
        <f t="shared" si="38"/>
        <v>45689</v>
      </c>
      <c r="M310" s="10">
        <f t="shared" si="39"/>
        <v>2025</v>
      </c>
      <c r="N310" s="9" t="s">
        <v>2350</v>
      </c>
      <c r="O310" s="9" t="s">
        <v>2350</v>
      </c>
      <c r="P310" s="9" t="s">
        <v>2350</v>
      </c>
      <c r="Q310" s="26" t="str">
        <f t="shared" si="40"/>
        <v/>
      </c>
      <c r="R310" t="s">
        <v>1616</v>
      </c>
      <c r="S310" s="15">
        <v>47847</v>
      </c>
      <c r="U310" t="s">
        <v>1622</v>
      </c>
      <c r="V310" t="s">
        <v>1626</v>
      </c>
      <c r="W310" s="17">
        <v>3.7</v>
      </c>
      <c r="X310" s="10">
        <f t="shared" si="41"/>
        <v>1</v>
      </c>
      <c r="Y310" s="10">
        <f t="shared" si="42"/>
        <v>0</v>
      </c>
      <c r="Z310" s="10">
        <f t="shared" si="43"/>
        <v>0</v>
      </c>
      <c r="AA310">
        <f t="shared" si="36"/>
        <v>0</v>
      </c>
      <c r="AB310">
        <f t="shared" si="44"/>
        <v>0</v>
      </c>
      <c r="AC310">
        <f t="shared" si="37"/>
        <v>0</v>
      </c>
    </row>
    <row r="311" spans="1:29" x14ac:dyDescent="0.35">
      <c r="A311" t="s">
        <v>327</v>
      </c>
      <c r="B311" t="s">
        <v>604</v>
      </c>
      <c r="C311" t="s">
        <v>931</v>
      </c>
      <c r="D311" t="s">
        <v>2251</v>
      </c>
      <c r="E311" t="s">
        <v>2176</v>
      </c>
      <c r="F311" t="s">
        <v>1023</v>
      </c>
      <c r="G311" t="s">
        <v>1030</v>
      </c>
      <c r="H311" t="s">
        <v>1036</v>
      </c>
      <c r="I311" t="s">
        <v>1043</v>
      </c>
      <c r="J311" t="s">
        <v>1742</v>
      </c>
      <c r="K311" s="9">
        <v>45756</v>
      </c>
      <c r="L311" s="20">
        <f t="shared" si="38"/>
        <v>45748</v>
      </c>
      <c r="M311" s="10">
        <f t="shared" si="39"/>
        <v>2025</v>
      </c>
      <c r="N311" s="9" t="s">
        <v>2350</v>
      </c>
      <c r="O311" s="9" t="s">
        <v>2350</v>
      </c>
      <c r="P311" s="9" t="s">
        <v>2350</v>
      </c>
      <c r="Q311" s="26" t="str">
        <f t="shared" si="40"/>
        <v/>
      </c>
      <c r="R311" t="s">
        <v>1616</v>
      </c>
      <c r="S311" s="15">
        <v>30506</v>
      </c>
      <c r="U311" t="s">
        <v>1625</v>
      </c>
      <c r="V311" t="s">
        <v>1627</v>
      </c>
      <c r="W311" s="17">
        <v>2.1</v>
      </c>
      <c r="X311" s="10">
        <f t="shared" si="41"/>
        <v>1</v>
      </c>
      <c r="Y311" s="10">
        <f t="shared" si="42"/>
        <v>0</v>
      </c>
      <c r="Z311" s="10">
        <f t="shared" si="43"/>
        <v>0</v>
      </c>
      <c r="AA311">
        <f t="shared" si="36"/>
        <v>0</v>
      </c>
      <c r="AB311">
        <f t="shared" si="44"/>
        <v>0</v>
      </c>
      <c r="AC311">
        <f t="shared" si="37"/>
        <v>0</v>
      </c>
    </row>
    <row r="312" spans="1:29" x14ac:dyDescent="0.35">
      <c r="A312" t="s">
        <v>328</v>
      </c>
      <c r="B312" t="s">
        <v>460</v>
      </c>
      <c r="C312" t="s">
        <v>932</v>
      </c>
      <c r="D312" t="s">
        <v>2252</v>
      </c>
      <c r="E312" t="s">
        <v>2178</v>
      </c>
      <c r="F312" t="s">
        <v>1027</v>
      </c>
      <c r="G312" t="s">
        <v>1032</v>
      </c>
      <c r="H312" t="s">
        <v>1039</v>
      </c>
      <c r="I312" t="s">
        <v>1041</v>
      </c>
      <c r="J312" t="s">
        <v>1048</v>
      </c>
      <c r="K312" s="9">
        <v>45304</v>
      </c>
      <c r="L312" s="20">
        <f t="shared" si="38"/>
        <v>45292</v>
      </c>
      <c r="M312" s="10">
        <f t="shared" si="39"/>
        <v>2024</v>
      </c>
      <c r="N312" s="9" t="s">
        <v>2350</v>
      </c>
      <c r="O312" s="9" t="s">
        <v>2350</v>
      </c>
      <c r="P312" s="9" t="s">
        <v>2350</v>
      </c>
      <c r="Q312" s="26" t="str">
        <f t="shared" si="40"/>
        <v/>
      </c>
      <c r="R312" t="s">
        <v>1616</v>
      </c>
      <c r="S312" s="15">
        <v>50055</v>
      </c>
      <c r="U312" t="s">
        <v>1622</v>
      </c>
      <c r="V312" t="s">
        <v>1627</v>
      </c>
      <c r="W312" s="17">
        <v>4.3</v>
      </c>
      <c r="X312" s="10">
        <f t="shared" si="41"/>
        <v>1</v>
      </c>
      <c r="Y312" s="10">
        <f t="shared" si="42"/>
        <v>0</v>
      </c>
      <c r="Z312" s="10">
        <f t="shared" si="43"/>
        <v>0</v>
      </c>
      <c r="AA312">
        <f t="shared" si="36"/>
        <v>0</v>
      </c>
      <c r="AB312">
        <f t="shared" si="44"/>
        <v>0</v>
      </c>
      <c r="AC312">
        <f t="shared" si="37"/>
        <v>0</v>
      </c>
    </row>
    <row r="313" spans="1:29" x14ac:dyDescent="0.35">
      <c r="A313" t="s">
        <v>329</v>
      </c>
      <c r="B313" t="s">
        <v>420</v>
      </c>
      <c r="C313" t="s">
        <v>2253</v>
      </c>
      <c r="D313" t="s">
        <v>2254</v>
      </c>
      <c r="E313" t="s">
        <v>2255</v>
      </c>
      <c r="F313" t="s">
        <v>1023</v>
      </c>
      <c r="G313" t="s">
        <v>1028</v>
      </c>
      <c r="H313" t="s">
        <v>1040</v>
      </c>
      <c r="I313" t="s">
        <v>1042</v>
      </c>
      <c r="J313" t="s">
        <v>1048</v>
      </c>
      <c r="K313" s="9">
        <v>45525</v>
      </c>
      <c r="L313" s="20">
        <f t="shared" si="38"/>
        <v>45505</v>
      </c>
      <c r="M313" s="10">
        <f t="shared" si="39"/>
        <v>2024</v>
      </c>
      <c r="N313" s="9" t="s">
        <v>2350</v>
      </c>
      <c r="O313" s="9" t="s">
        <v>2350</v>
      </c>
      <c r="P313" s="9" t="s">
        <v>2350</v>
      </c>
      <c r="Q313" s="26" t="str">
        <f t="shared" si="40"/>
        <v/>
      </c>
      <c r="R313" t="s">
        <v>1616</v>
      </c>
      <c r="S313" s="15">
        <v>29031</v>
      </c>
      <c r="U313" t="s">
        <v>1624</v>
      </c>
      <c r="V313" t="s">
        <v>1626</v>
      </c>
      <c r="W313" s="17">
        <v>3.3</v>
      </c>
      <c r="X313" s="10">
        <f t="shared" si="41"/>
        <v>1</v>
      </c>
      <c r="Y313" s="10">
        <f t="shared" si="42"/>
        <v>0</v>
      </c>
      <c r="Z313" s="10">
        <f t="shared" si="43"/>
        <v>0</v>
      </c>
      <c r="AA313">
        <f t="shared" si="36"/>
        <v>0</v>
      </c>
      <c r="AB313">
        <f t="shared" si="44"/>
        <v>0</v>
      </c>
      <c r="AC313">
        <f t="shared" si="37"/>
        <v>0</v>
      </c>
    </row>
    <row r="314" spans="1:29" x14ac:dyDescent="0.35">
      <c r="A314" t="s">
        <v>330</v>
      </c>
      <c r="B314" t="s">
        <v>605</v>
      </c>
      <c r="C314" t="s">
        <v>2256</v>
      </c>
      <c r="D314" t="s">
        <v>2014</v>
      </c>
      <c r="E314" t="s">
        <v>1864</v>
      </c>
      <c r="F314" t="s">
        <v>1025</v>
      </c>
      <c r="G314" t="s">
        <v>1029</v>
      </c>
      <c r="H314" t="s">
        <v>1037</v>
      </c>
      <c r="I314" t="s">
        <v>1045</v>
      </c>
      <c r="J314" t="s">
        <v>1742</v>
      </c>
      <c r="K314" s="9">
        <v>45473</v>
      </c>
      <c r="L314" s="20">
        <f t="shared" si="38"/>
        <v>45444</v>
      </c>
      <c r="M314" s="10">
        <f t="shared" si="39"/>
        <v>2024</v>
      </c>
      <c r="N314" s="9" t="s">
        <v>2350</v>
      </c>
      <c r="O314" s="9" t="s">
        <v>2350</v>
      </c>
      <c r="P314" s="9" t="s">
        <v>2350</v>
      </c>
      <c r="Q314" s="26" t="str">
        <f t="shared" si="40"/>
        <v/>
      </c>
      <c r="R314" t="s">
        <v>1616</v>
      </c>
      <c r="S314" s="15">
        <v>51917</v>
      </c>
      <c r="U314" t="s">
        <v>1621</v>
      </c>
      <c r="V314" t="s">
        <v>1628</v>
      </c>
      <c r="X314" s="10">
        <f t="shared" si="41"/>
        <v>1</v>
      </c>
      <c r="Y314" s="10">
        <f t="shared" si="42"/>
        <v>0</v>
      </c>
      <c r="Z314" s="10">
        <f t="shared" si="43"/>
        <v>0</v>
      </c>
      <c r="AA314">
        <f t="shared" si="36"/>
        <v>0</v>
      </c>
      <c r="AB314">
        <f t="shared" si="44"/>
        <v>0</v>
      </c>
      <c r="AC314">
        <f t="shared" si="37"/>
        <v>0</v>
      </c>
    </row>
    <row r="315" spans="1:29" x14ac:dyDescent="0.35">
      <c r="A315" t="s">
        <v>331</v>
      </c>
      <c r="B315" t="s">
        <v>425</v>
      </c>
      <c r="C315" t="s">
        <v>935</v>
      </c>
      <c r="D315" t="s">
        <v>1876</v>
      </c>
      <c r="E315" t="s">
        <v>2048</v>
      </c>
      <c r="F315" t="s">
        <v>1022</v>
      </c>
      <c r="G315" t="s">
        <v>1030</v>
      </c>
      <c r="H315" t="s">
        <v>1741</v>
      </c>
      <c r="I315" t="s">
        <v>1043</v>
      </c>
      <c r="J315" t="s">
        <v>1742</v>
      </c>
      <c r="K315" s="9">
        <v>45563</v>
      </c>
      <c r="L315" s="20">
        <f t="shared" si="38"/>
        <v>45536</v>
      </c>
      <c r="M315" s="10">
        <f t="shared" si="39"/>
        <v>2024</v>
      </c>
      <c r="N315" s="9" t="s">
        <v>2350</v>
      </c>
      <c r="O315" s="9" t="s">
        <v>2350</v>
      </c>
      <c r="P315" s="9" t="s">
        <v>2350</v>
      </c>
      <c r="Q315" s="26" t="str">
        <f t="shared" si="40"/>
        <v/>
      </c>
      <c r="R315" t="s">
        <v>1616</v>
      </c>
      <c r="S315" s="15">
        <v>50952</v>
      </c>
      <c r="U315" t="s">
        <v>1624</v>
      </c>
      <c r="V315" t="s">
        <v>1627</v>
      </c>
      <c r="W315" s="17">
        <v>3.4</v>
      </c>
      <c r="X315" s="10">
        <f t="shared" si="41"/>
        <v>1</v>
      </c>
      <c r="Y315" s="10">
        <f t="shared" si="42"/>
        <v>0</v>
      </c>
      <c r="Z315" s="10">
        <f t="shared" si="43"/>
        <v>0</v>
      </c>
      <c r="AA315">
        <f t="shared" si="36"/>
        <v>0</v>
      </c>
      <c r="AB315">
        <f t="shared" si="44"/>
        <v>0</v>
      </c>
      <c r="AC315">
        <f t="shared" si="37"/>
        <v>0</v>
      </c>
    </row>
    <row r="316" spans="1:29" x14ac:dyDescent="0.35">
      <c r="A316" t="s">
        <v>332</v>
      </c>
      <c r="B316" t="s">
        <v>606</v>
      </c>
      <c r="C316" t="s">
        <v>2257</v>
      </c>
      <c r="D316" t="s">
        <v>1739</v>
      </c>
      <c r="E316" t="s">
        <v>1754</v>
      </c>
      <c r="F316" t="s">
        <v>1022</v>
      </c>
      <c r="G316" t="s">
        <v>1030</v>
      </c>
      <c r="H316" t="s">
        <v>1036</v>
      </c>
      <c r="I316" t="s">
        <v>1043</v>
      </c>
      <c r="J316" t="s">
        <v>1050</v>
      </c>
      <c r="K316" s="9">
        <v>45554</v>
      </c>
      <c r="L316" s="20">
        <f t="shared" si="38"/>
        <v>45536</v>
      </c>
      <c r="M316" s="10">
        <f t="shared" si="39"/>
        <v>2024</v>
      </c>
      <c r="N316" s="9">
        <v>45571</v>
      </c>
      <c r="O316" s="9">
        <v>45596</v>
      </c>
      <c r="P316" s="9" t="s">
        <v>2350</v>
      </c>
      <c r="Q316" s="26" t="str">
        <f t="shared" si="40"/>
        <v/>
      </c>
      <c r="R316" t="s">
        <v>1618</v>
      </c>
      <c r="S316" s="15">
        <v>47635</v>
      </c>
      <c r="T316" s="15">
        <v>50381</v>
      </c>
      <c r="U316" t="s">
        <v>1625</v>
      </c>
      <c r="V316" t="s">
        <v>1626</v>
      </c>
      <c r="W316" s="17">
        <v>3.6</v>
      </c>
      <c r="X316" s="10">
        <f t="shared" si="41"/>
        <v>1</v>
      </c>
      <c r="Y316" s="10">
        <f t="shared" si="42"/>
        <v>0</v>
      </c>
      <c r="Z316" s="10">
        <f t="shared" si="43"/>
        <v>0</v>
      </c>
      <c r="AA316">
        <f t="shared" si="36"/>
        <v>1</v>
      </c>
      <c r="AB316">
        <f t="shared" si="44"/>
        <v>1</v>
      </c>
      <c r="AC316">
        <f t="shared" si="37"/>
        <v>0</v>
      </c>
    </row>
    <row r="317" spans="1:29" x14ac:dyDescent="0.35">
      <c r="A317" t="s">
        <v>333</v>
      </c>
      <c r="B317" t="s">
        <v>536</v>
      </c>
      <c r="C317" t="s">
        <v>2258</v>
      </c>
      <c r="D317" t="s">
        <v>2240</v>
      </c>
      <c r="E317" t="s">
        <v>2259</v>
      </c>
      <c r="F317" t="s">
        <v>1025</v>
      </c>
      <c r="G317" t="s">
        <v>1032</v>
      </c>
      <c r="H317" t="s">
        <v>1037</v>
      </c>
      <c r="I317" t="s">
        <v>1041</v>
      </c>
      <c r="J317" t="s">
        <v>1049</v>
      </c>
      <c r="K317" s="9">
        <v>45769</v>
      </c>
      <c r="L317" s="20">
        <f t="shared" si="38"/>
        <v>45748</v>
      </c>
      <c r="M317" s="10">
        <f t="shared" si="39"/>
        <v>2025</v>
      </c>
      <c r="N317" s="9">
        <v>45788</v>
      </c>
      <c r="O317" s="9" t="s">
        <v>2350</v>
      </c>
      <c r="P317" s="9" t="s">
        <v>2350</v>
      </c>
      <c r="Q317" s="26" t="str">
        <f t="shared" si="40"/>
        <v/>
      </c>
      <c r="R317" t="s">
        <v>1615</v>
      </c>
      <c r="S317" s="15">
        <v>47134</v>
      </c>
      <c r="U317" t="s">
        <v>1625</v>
      </c>
      <c r="V317" t="s">
        <v>1628</v>
      </c>
      <c r="W317" s="17">
        <v>3.3</v>
      </c>
      <c r="X317" s="10">
        <f t="shared" si="41"/>
        <v>1</v>
      </c>
      <c r="Y317" s="10">
        <f t="shared" si="42"/>
        <v>0</v>
      </c>
      <c r="Z317" s="10">
        <f t="shared" si="43"/>
        <v>0</v>
      </c>
      <c r="AA317">
        <f t="shared" si="36"/>
        <v>1</v>
      </c>
      <c r="AB317">
        <f t="shared" si="44"/>
        <v>0</v>
      </c>
      <c r="AC317">
        <f t="shared" si="37"/>
        <v>0</v>
      </c>
    </row>
    <row r="318" spans="1:29" x14ac:dyDescent="0.35">
      <c r="A318" t="s">
        <v>334</v>
      </c>
      <c r="B318" t="s">
        <v>607</v>
      </c>
      <c r="C318" t="s">
        <v>938</v>
      </c>
      <c r="D318" t="s">
        <v>2130</v>
      </c>
      <c r="E318" t="s">
        <v>2260</v>
      </c>
      <c r="F318" t="s">
        <v>1027</v>
      </c>
      <c r="G318" t="s">
        <v>1030</v>
      </c>
      <c r="H318" t="s">
        <v>1040</v>
      </c>
      <c r="I318" t="s">
        <v>1042</v>
      </c>
      <c r="J318" t="s">
        <v>1051</v>
      </c>
      <c r="K318" s="9">
        <v>45429</v>
      </c>
      <c r="L318" s="20">
        <f t="shared" si="38"/>
        <v>45413</v>
      </c>
      <c r="M318" s="10">
        <f t="shared" si="39"/>
        <v>2024</v>
      </c>
      <c r="N318" s="9" t="s">
        <v>2350</v>
      </c>
      <c r="O318" s="9" t="s">
        <v>2350</v>
      </c>
      <c r="P318" s="9" t="s">
        <v>2350</v>
      </c>
      <c r="Q318" s="26" t="str">
        <f t="shared" si="40"/>
        <v/>
      </c>
      <c r="R318" t="s">
        <v>1616</v>
      </c>
      <c r="S318" s="15">
        <v>35541</v>
      </c>
      <c r="U318" t="s">
        <v>1624</v>
      </c>
      <c r="V318" t="s">
        <v>1628</v>
      </c>
      <c r="W318" s="17">
        <v>4.9000000000000004</v>
      </c>
      <c r="X318" s="10">
        <f t="shared" si="41"/>
        <v>1</v>
      </c>
      <c r="Y318" s="10">
        <f t="shared" si="42"/>
        <v>0</v>
      </c>
      <c r="Z318" s="10">
        <f t="shared" si="43"/>
        <v>0</v>
      </c>
      <c r="AA318">
        <f t="shared" si="36"/>
        <v>0</v>
      </c>
      <c r="AB318">
        <f t="shared" si="44"/>
        <v>0</v>
      </c>
      <c r="AC318">
        <f t="shared" si="37"/>
        <v>0</v>
      </c>
    </row>
    <row r="319" spans="1:29" x14ac:dyDescent="0.35">
      <c r="A319" t="s">
        <v>335</v>
      </c>
      <c r="B319" t="s">
        <v>452</v>
      </c>
      <c r="C319" t="s">
        <v>939</v>
      </c>
      <c r="D319" t="s">
        <v>2101</v>
      </c>
      <c r="E319" t="s">
        <v>1763</v>
      </c>
      <c r="F319" t="s">
        <v>1027</v>
      </c>
      <c r="G319" t="s">
        <v>1029</v>
      </c>
      <c r="H319" t="s">
        <v>1036</v>
      </c>
      <c r="I319" t="s">
        <v>1045</v>
      </c>
      <c r="J319" t="s">
        <v>1742</v>
      </c>
      <c r="K319" s="9">
        <v>45346</v>
      </c>
      <c r="L319" s="20">
        <f t="shared" si="38"/>
        <v>45323</v>
      </c>
      <c r="M319" s="10">
        <f t="shared" si="39"/>
        <v>2024</v>
      </c>
      <c r="N319" s="9" t="s">
        <v>2350</v>
      </c>
      <c r="O319" s="9" t="s">
        <v>2350</v>
      </c>
      <c r="P319" s="9" t="s">
        <v>2350</v>
      </c>
      <c r="Q319" s="26" t="str">
        <f t="shared" si="40"/>
        <v/>
      </c>
      <c r="R319" t="s">
        <v>1619</v>
      </c>
      <c r="S319" s="15">
        <v>45957</v>
      </c>
      <c r="U319" t="s">
        <v>1624</v>
      </c>
      <c r="V319" t="s">
        <v>1627</v>
      </c>
      <c r="W319" s="17">
        <v>4.0999999999999996</v>
      </c>
      <c r="X319" s="10">
        <f t="shared" si="41"/>
        <v>1</v>
      </c>
      <c r="Y319" s="10">
        <f t="shared" si="42"/>
        <v>0</v>
      </c>
      <c r="Z319" s="10">
        <f t="shared" si="43"/>
        <v>1</v>
      </c>
      <c r="AA319">
        <f t="shared" si="36"/>
        <v>0</v>
      </c>
      <c r="AB319">
        <f t="shared" si="44"/>
        <v>0</v>
      </c>
      <c r="AC319">
        <f t="shared" si="37"/>
        <v>0</v>
      </c>
    </row>
    <row r="320" spans="1:29" x14ac:dyDescent="0.35">
      <c r="A320" t="s">
        <v>336</v>
      </c>
      <c r="B320" t="s">
        <v>504</v>
      </c>
      <c r="C320" t="s">
        <v>940</v>
      </c>
      <c r="D320" t="s">
        <v>1889</v>
      </c>
      <c r="E320" t="s">
        <v>2198</v>
      </c>
      <c r="F320" t="s">
        <v>1025</v>
      </c>
      <c r="G320" t="s">
        <v>1031</v>
      </c>
      <c r="H320" t="s">
        <v>1037</v>
      </c>
      <c r="I320" t="s">
        <v>1045</v>
      </c>
      <c r="J320" t="s">
        <v>1742</v>
      </c>
      <c r="K320" s="9">
        <v>45697</v>
      </c>
      <c r="L320" s="20">
        <f t="shared" si="38"/>
        <v>45689</v>
      </c>
      <c r="M320" s="10">
        <f t="shared" si="39"/>
        <v>2025</v>
      </c>
      <c r="N320" s="9">
        <v>45720</v>
      </c>
      <c r="O320" s="9" t="s">
        <v>2350</v>
      </c>
      <c r="P320" s="9" t="s">
        <v>2350</v>
      </c>
      <c r="Q320" s="26" t="str">
        <f t="shared" si="40"/>
        <v/>
      </c>
      <c r="R320" t="s">
        <v>1615</v>
      </c>
      <c r="S320" s="15">
        <v>49445</v>
      </c>
      <c r="U320" t="s">
        <v>1624</v>
      </c>
      <c r="V320" t="s">
        <v>1628</v>
      </c>
      <c r="W320" s="17">
        <v>4.5</v>
      </c>
      <c r="X320" s="10">
        <f t="shared" si="41"/>
        <v>1</v>
      </c>
      <c r="Y320" s="10">
        <f t="shared" si="42"/>
        <v>0</v>
      </c>
      <c r="Z320" s="10">
        <f t="shared" si="43"/>
        <v>0</v>
      </c>
      <c r="AA320">
        <f t="shared" si="36"/>
        <v>1</v>
      </c>
      <c r="AB320">
        <f t="shared" si="44"/>
        <v>0</v>
      </c>
      <c r="AC320">
        <f t="shared" si="37"/>
        <v>0</v>
      </c>
    </row>
    <row r="321" spans="1:29" x14ac:dyDescent="0.35">
      <c r="A321" t="s">
        <v>337</v>
      </c>
      <c r="B321" t="s">
        <v>433</v>
      </c>
      <c r="C321" t="s">
        <v>941</v>
      </c>
      <c r="D321" t="s">
        <v>2094</v>
      </c>
      <c r="E321" t="s">
        <v>1835</v>
      </c>
      <c r="F321" t="s">
        <v>1022</v>
      </c>
      <c r="G321" t="s">
        <v>1028</v>
      </c>
      <c r="H321" t="s">
        <v>1034</v>
      </c>
      <c r="I321" t="s">
        <v>1042</v>
      </c>
      <c r="J321" t="s">
        <v>1742</v>
      </c>
      <c r="K321" s="9">
        <v>45330</v>
      </c>
      <c r="L321" s="20">
        <f t="shared" si="38"/>
        <v>45323</v>
      </c>
      <c r="M321" s="10">
        <f t="shared" si="39"/>
        <v>2024</v>
      </c>
      <c r="N321" s="9">
        <v>45341</v>
      </c>
      <c r="O321" s="9">
        <v>45347</v>
      </c>
      <c r="P321" s="9" t="s">
        <v>2350</v>
      </c>
      <c r="Q321" s="26" t="str">
        <f t="shared" si="40"/>
        <v/>
      </c>
      <c r="R321" t="s">
        <v>1618</v>
      </c>
      <c r="S321" s="15">
        <v>34414</v>
      </c>
      <c r="T321" s="15">
        <v>35275</v>
      </c>
      <c r="U321" t="s">
        <v>1623</v>
      </c>
      <c r="V321" t="s">
        <v>1628</v>
      </c>
      <c r="W321" s="17">
        <v>3.6</v>
      </c>
      <c r="X321" s="10">
        <f t="shared" si="41"/>
        <v>1</v>
      </c>
      <c r="Y321" s="10">
        <f t="shared" si="42"/>
        <v>0</v>
      </c>
      <c r="Z321" s="10">
        <f t="shared" si="43"/>
        <v>0</v>
      </c>
      <c r="AA321">
        <f t="shared" si="36"/>
        <v>1</v>
      </c>
      <c r="AB321">
        <f t="shared" si="44"/>
        <v>1</v>
      </c>
      <c r="AC321">
        <f t="shared" si="37"/>
        <v>0</v>
      </c>
    </row>
    <row r="322" spans="1:29" x14ac:dyDescent="0.35">
      <c r="A322" t="s">
        <v>338</v>
      </c>
      <c r="B322" t="s">
        <v>608</v>
      </c>
      <c r="C322" t="s">
        <v>2261</v>
      </c>
      <c r="D322" t="s">
        <v>2262</v>
      </c>
      <c r="E322" t="s">
        <v>2263</v>
      </c>
      <c r="F322" t="s">
        <v>1023</v>
      </c>
      <c r="G322" t="s">
        <v>1029</v>
      </c>
      <c r="H322" t="s">
        <v>1040</v>
      </c>
      <c r="I322" t="s">
        <v>1043</v>
      </c>
      <c r="J322" t="s">
        <v>1742</v>
      </c>
      <c r="K322" s="9">
        <v>45296</v>
      </c>
      <c r="L322" s="20">
        <f t="shared" si="38"/>
        <v>45292</v>
      </c>
      <c r="M322" s="10">
        <f t="shared" si="39"/>
        <v>2024</v>
      </c>
      <c r="N322" s="9" t="s">
        <v>2350</v>
      </c>
      <c r="O322" s="9" t="s">
        <v>2350</v>
      </c>
      <c r="P322" s="9" t="s">
        <v>2350</v>
      </c>
      <c r="Q322" s="26" t="str">
        <f t="shared" si="40"/>
        <v/>
      </c>
      <c r="R322" t="s">
        <v>1619</v>
      </c>
      <c r="S322" s="15">
        <v>34505</v>
      </c>
      <c r="U322" t="s">
        <v>1624</v>
      </c>
      <c r="V322" t="s">
        <v>1628</v>
      </c>
      <c r="W322" s="17">
        <v>2.9</v>
      </c>
      <c r="X322" s="10">
        <f t="shared" si="41"/>
        <v>1</v>
      </c>
      <c r="Y322" s="10">
        <f t="shared" si="42"/>
        <v>0</v>
      </c>
      <c r="Z322" s="10">
        <f t="shared" si="43"/>
        <v>1</v>
      </c>
      <c r="AA322">
        <f t="shared" ref="AA322:AA385" si="45">IF(OR(R322="Interviewed",R322="offered",R322="hired"),1,0)</f>
        <v>0</v>
      </c>
      <c r="AB322">
        <f t="shared" si="44"/>
        <v>0</v>
      </c>
      <c r="AC322">
        <f t="shared" ref="AC322:AC385" si="46">IF(R322="hired", 1, 0)</f>
        <v>0</v>
      </c>
    </row>
    <row r="323" spans="1:29" x14ac:dyDescent="0.35">
      <c r="A323" t="s">
        <v>339</v>
      </c>
      <c r="B323" t="s">
        <v>489</v>
      </c>
      <c r="C323" t="s">
        <v>943</v>
      </c>
      <c r="D323" t="s">
        <v>2093</v>
      </c>
      <c r="E323" t="s">
        <v>1807</v>
      </c>
      <c r="F323" t="s">
        <v>1022</v>
      </c>
      <c r="G323" t="s">
        <v>1029</v>
      </c>
      <c r="H323" t="s">
        <v>1741</v>
      </c>
      <c r="I323" t="s">
        <v>1045</v>
      </c>
      <c r="J323" t="s">
        <v>1051</v>
      </c>
      <c r="K323" s="9">
        <v>45736</v>
      </c>
      <c r="L323" s="20">
        <f t="shared" ref="L323:L386" si="47">DATE(YEAR(K323), MONTH(K323), 1)</f>
        <v>45717</v>
      </c>
      <c r="M323" s="10">
        <f t="shared" ref="M323:M386" si="48">YEAR(K323)</f>
        <v>2025</v>
      </c>
      <c r="N323" s="9">
        <v>45754</v>
      </c>
      <c r="O323" s="9" t="s">
        <v>2350</v>
      </c>
      <c r="P323" s="9" t="s">
        <v>2350</v>
      </c>
      <c r="Q323" s="26" t="str">
        <f t="shared" ref="Q323:Q386" si="49">IF(OR(P323="", K323=""),"", P323-K323)</f>
        <v/>
      </c>
      <c r="R323" t="s">
        <v>1615</v>
      </c>
      <c r="S323" s="15">
        <v>39091</v>
      </c>
      <c r="U323" t="s">
        <v>1623</v>
      </c>
      <c r="V323" t="s">
        <v>1627</v>
      </c>
      <c r="W323" s="17">
        <v>2.9</v>
      </c>
      <c r="X323" s="10">
        <f t="shared" ref="X323:X386" si="50">IF(R323=" ",0,1)</f>
        <v>1</v>
      </c>
      <c r="Y323" s="10">
        <f t="shared" ref="Y323:Y386" si="51">IF(R323="Withdrawn",1,0)</f>
        <v>0</v>
      </c>
      <c r="Z323" s="10">
        <f t="shared" ref="Z323:Z386" si="52">IF(R323=$R$6,1,0)</f>
        <v>0</v>
      </c>
      <c r="AA323">
        <f t="shared" si="45"/>
        <v>1</v>
      </c>
      <c r="AB323">
        <f t="shared" ref="AB323:AB386" si="53">IF(R323=$R$5,1,0)</f>
        <v>0</v>
      </c>
      <c r="AC323">
        <f t="shared" si="46"/>
        <v>0</v>
      </c>
    </row>
    <row r="324" spans="1:29" x14ac:dyDescent="0.35">
      <c r="A324" t="s">
        <v>340</v>
      </c>
      <c r="B324" t="s">
        <v>453</v>
      </c>
      <c r="C324" t="s">
        <v>2264</v>
      </c>
      <c r="D324" t="s">
        <v>2066</v>
      </c>
      <c r="E324" t="s">
        <v>2057</v>
      </c>
      <c r="F324" t="s">
        <v>1027</v>
      </c>
      <c r="G324" t="s">
        <v>1031</v>
      </c>
      <c r="H324" t="s">
        <v>1039</v>
      </c>
      <c r="I324" t="s">
        <v>1044</v>
      </c>
      <c r="J324" t="s">
        <v>1048</v>
      </c>
      <c r="K324" s="9">
        <v>45722</v>
      </c>
      <c r="L324" s="20">
        <f t="shared" si="47"/>
        <v>45717</v>
      </c>
      <c r="M324" s="10">
        <f t="shared" si="48"/>
        <v>2025</v>
      </c>
      <c r="N324" s="9" t="s">
        <v>2350</v>
      </c>
      <c r="O324" s="9" t="s">
        <v>2350</v>
      </c>
      <c r="P324" s="9" t="s">
        <v>2350</v>
      </c>
      <c r="Q324" s="26" t="str">
        <f t="shared" si="49"/>
        <v/>
      </c>
      <c r="R324" t="s">
        <v>1619</v>
      </c>
      <c r="S324" s="15">
        <v>48279</v>
      </c>
      <c r="U324" t="s">
        <v>1622</v>
      </c>
      <c r="V324" t="s">
        <v>1626</v>
      </c>
      <c r="W324" s="17">
        <v>2.6</v>
      </c>
      <c r="X324" s="10">
        <f t="shared" si="50"/>
        <v>1</v>
      </c>
      <c r="Y324" s="10">
        <f t="shared" si="51"/>
        <v>0</v>
      </c>
      <c r="Z324" s="10">
        <f t="shared" si="52"/>
        <v>1</v>
      </c>
      <c r="AA324">
        <f t="shared" si="45"/>
        <v>0</v>
      </c>
      <c r="AB324">
        <f t="shared" si="53"/>
        <v>0</v>
      </c>
      <c r="AC324">
        <f t="shared" si="46"/>
        <v>0</v>
      </c>
    </row>
    <row r="325" spans="1:29" x14ac:dyDescent="0.35">
      <c r="A325" t="s">
        <v>341</v>
      </c>
      <c r="B325" t="s">
        <v>544</v>
      </c>
      <c r="C325" t="s">
        <v>2265</v>
      </c>
      <c r="D325" t="s">
        <v>2266</v>
      </c>
      <c r="E325" t="s">
        <v>2176</v>
      </c>
      <c r="F325" t="s">
        <v>1023</v>
      </c>
      <c r="G325" t="s">
        <v>1030</v>
      </c>
      <c r="H325" t="s">
        <v>1040</v>
      </c>
      <c r="I325" t="s">
        <v>1043</v>
      </c>
      <c r="J325" t="s">
        <v>1050</v>
      </c>
      <c r="K325" s="9">
        <v>45389</v>
      </c>
      <c r="L325" s="20">
        <f t="shared" si="47"/>
        <v>45383</v>
      </c>
      <c r="M325" s="10">
        <f t="shared" si="48"/>
        <v>2024</v>
      </c>
      <c r="N325" s="9">
        <v>45403</v>
      </c>
      <c r="O325" s="9" t="s">
        <v>2350</v>
      </c>
      <c r="P325" s="9" t="s">
        <v>2350</v>
      </c>
      <c r="Q325" s="26" t="str">
        <f t="shared" si="49"/>
        <v/>
      </c>
      <c r="R325" t="s">
        <v>1615</v>
      </c>
      <c r="S325" s="15">
        <v>40759</v>
      </c>
      <c r="U325" t="s">
        <v>1624</v>
      </c>
      <c r="V325" t="s">
        <v>1627</v>
      </c>
      <c r="W325" s="17">
        <v>2.7</v>
      </c>
      <c r="X325" s="10">
        <f t="shared" si="50"/>
        <v>1</v>
      </c>
      <c r="Y325" s="10">
        <f t="shared" si="51"/>
        <v>0</v>
      </c>
      <c r="Z325" s="10">
        <f t="shared" si="52"/>
        <v>0</v>
      </c>
      <c r="AA325">
        <f t="shared" si="45"/>
        <v>1</v>
      </c>
      <c r="AB325">
        <f t="shared" si="53"/>
        <v>0</v>
      </c>
      <c r="AC325">
        <f t="shared" si="46"/>
        <v>0</v>
      </c>
    </row>
    <row r="326" spans="1:29" x14ac:dyDescent="0.35">
      <c r="A326" t="s">
        <v>342</v>
      </c>
      <c r="B326" t="s">
        <v>609</v>
      </c>
      <c r="C326" t="s">
        <v>946</v>
      </c>
      <c r="D326" t="s">
        <v>2267</v>
      </c>
      <c r="E326" t="s">
        <v>2268</v>
      </c>
      <c r="F326" t="s">
        <v>1027</v>
      </c>
      <c r="G326" t="s">
        <v>1032</v>
      </c>
      <c r="H326" t="s">
        <v>1036</v>
      </c>
      <c r="I326" t="s">
        <v>1041</v>
      </c>
      <c r="J326" t="s">
        <v>1742</v>
      </c>
      <c r="K326" s="9">
        <v>45510</v>
      </c>
      <c r="L326" s="20">
        <f t="shared" si="47"/>
        <v>45505</v>
      </c>
      <c r="M326" s="10">
        <f t="shared" si="48"/>
        <v>2024</v>
      </c>
      <c r="N326" s="9" t="s">
        <v>2350</v>
      </c>
      <c r="O326" s="9" t="s">
        <v>2350</v>
      </c>
      <c r="P326" s="9" t="s">
        <v>2350</v>
      </c>
      <c r="Q326" s="26" t="str">
        <f t="shared" si="49"/>
        <v/>
      </c>
      <c r="R326" t="s">
        <v>1619</v>
      </c>
      <c r="S326" s="15">
        <v>46853</v>
      </c>
      <c r="U326" t="s">
        <v>1623</v>
      </c>
      <c r="V326" t="s">
        <v>1626</v>
      </c>
      <c r="W326" s="17">
        <v>3.9</v>
      </c>
      <c r="X326" s="10">
        <f t="shared" si="50"/>
        <v>1</v>
      </c>
      <c r="Y326" s="10">
        <f t="shared" si="51"/>
        <v>0</v>
      </c>
      <c r="Z326" s="10">
        <f t="shared" si="52"/>
        <v>1</v>
      </c>
      <c r="AA326">
        <f t="shared" si="45"/>
        <v>0</v>
      </c>
      <c r="AB326">
        <f t="shared" si="53"/>
        <v>0</v>
      </c>
      <c r="AC326">
        <f t="shared" si="46"/>
        <v>0</v>
      </c>
    </row>
    <row r="327" spans="1:29" x14ac:dyDescent="0.35">
      <c r="A327" t="s">
        <v>343</v>
      </c>
      <c r="B327" t="s">
        <v>449</v>
      </c>
      <c r="C327" t="s">
        <v>947</v>
      </c>
      <c r="D327" t="s">
        <v>1986</v>
      </c>
      <c r="E327" t="s">
        <v>2230</v>
      </c>
      <c r="F327" t="s">
        <v>1024</v>
      </c>
      <c r="G327" t="s">
        <v>1029</v>
      </c>
      <c r="H327" t="s">
        <v>1039</v>
      </c>
      <c r="I327" t="s">
        <v>1041</v>
      </c>
      <c r="J327" t="s">
        <v>1049</v>
      </c>
      <c r="K327" s="9">
        <v>45582</v>
      </c>
      <c r="L327" s="20">
        <f t="shared" si="47"/>
        <v>45566</v>
      </c>
      <c r="M327" s="10">
        <f t="shared" si="48"/>
        <v>2024</v>
      </c>
      <c r="N327" s="9" t="s">
        <v>2350</v>
      </c>
      <c r="O327" s="9" t="s">
        <v>2350</v>
      </c>
      <c r="P327" s="9" t="s">
        <v>2350</v>
      </c>
      <c r="Q327" s="26" t="str">
        <f t="shared" si="49"/>
        <v/>
      </c>
      <c r="R327" t="s">
        <v>1617</v>
      </c>
      <c r="S327" s="15">
        <v>33442</v>
      </c>
      <c r="U327" t="s">
        <v>1622</v>
      </c>
      <c r="V327" t="s">
        <v>1626</v>
      </c>
      <c r="W327" s="17">
        <v>4.9000000000000004</v>
      </c>
      <c r="X327" s="10">
        <f t="shared" si="50"/>
        <v>1</v>
      </c>
      <c r="Y327" s="10">
        <f t="shared" si="51"/>
        <v>1</v>
      </c>
      <c r="Z327" s="10">
        <f t="shared" si="52"/>
        <v>0</v>
      </c>
      <c r="AA327">
        <f t="shared" si="45"/>
        <v>0</v>
      </c>
      <c r="AB327">
        <f t="shared" si="53"/>
        <v>0</v>
      </c>
      <c r="AC327">
        <f t="shared" si="46"/>
        <v>0</v>
      </c>
    </row>
    <row r="328" spans="1:29" x14ac:dyDescent="0.35">
      <c r="A328" t="s">
        <v>344</v>
      </c>
      <c r="B328" t="s">
        <v>610</v>
      </c>
      <c r="C328" t="s">
        <v>2269</v>
      </c>
      <c r="D328" t="s">
        <v>2270</v>
      </c>
      <c r="E328" t="s">
        <v>2245</v>
      </c>
      <c r="F328" t="s">
        <v>1024</v>
      </c>
      <c r="G328" t="s">
        <v>1028</v>
      </c>
      <c r="H328" t="s">
        <v>1036</v>
      </c>
      <c r="I328" t="s">
        <v>1044</v>
      </c>
      <c r="J328" t="s">
        <v>1742</v>
      </c>
      <c r="K328" s="9">
        <v>45623</v>
      </c>
      <c r="L328" s="20">
        <f t="shared" si="47"/>
        <v>45597</v>
      </c>
      <c r="M328" s="10">
        <f t="shared" si="48"/>
        <v>2024</v>
      </c>
      <c r="N328" s="9" t="s">
        <v>2350</v>
      </c>
      <c r="O328" s="9" t="s">
        <v>2350</v>
      </c>
      <c r="P328" s="9" t="s">
        <v>2350</v>
      </c>
      <c r="Q328" s="26" t="str">
        <f t="shared" si="49"/>
        <v/>
      </c>
      <c r="R328" t="s">
        <v>1616</v>
      </c>
      <c r="S328" s="15">
        <v>45063</v>
      </c>
      <c r="U328" t="s">
        <v>1625</v>
      </c>
      <c r="V328" t="s">
        <v>1628</v>
      </c>
      <c r="W328" s="17">
        <v>2.4</v>
      </c>
      <c r="X328" s="10">
        <f t="shared" si="50"/>
        <v>1</v>
      </c>
      <c r="Y328" s="10">
        <f t="shared" si="51"/>
        <v>0</v>
      </c>
      <c r="Z328" s="10">
        <f t="shared" si="52"/>
        <v>0</v>
      </c>
      <c r="AA328">
        <f t="shared" si="45"/>
        <v>0</v>
      </c>
      <c r="AB328">
        <f t="shared" si="53"/>
        <v>0</v>
      </c>
      <c r="AC328">
        <f t="shared" si="46"/>
        <v>0</v>
      </c>
    </row>
    <row r="329" spans="1:29" x14ac:dyDescent="0.35">
      <c r="A329" t="s">
        <v>345</v>
      </c>
      <c r="B329" t="s">
        <v>508</v>
      </c>
      <c r="C329" t="s">
        <v>2271</v>
      </c>
      <c r="D329" t="s">
        <v>2272</v>
      </c>
      <c r="E329" t="s">
        <v>2273</v>
      </c>
      <c r="F329" t="s">
        <v>1022</v>
      </c>
      <c r="G329" t="s">
        <v>1028</v>
      </c>
      <c r="H329" t="s">
        <v>1037</v>
      </c>
      <c r="I329" t="s">
        <v>1043</v>
      </c>
      <c r="J329" t="s">
        <v>1742</v>
      </c>
      <c r="K329" s="9">
        <v>45558</v>
      </c>
      <c r="L329" s="20">
        <f t="shared" si="47"/>
        <v>45536</v>
      </c>
      <c r="M329" s="10">
        <f t="shared" si="48"/>
        <v>2024</v>
      </c>
      <c r="N329" s="9">
        <v>45588</v>
      </c>
      <c r="O329" s="9" t="s">
        <v>2350</v>
      </c>
      <c r="P329" s="9" t="s">
        <v>2350</v>
      </c>
      <c r="Q329" s="26" t="str">
        <f t="shared" si="49"/>
        <v/>
      </c>
      <c r="R329" t="s">
        <v>1615</v>
      </c>
      <c r="S329" s="15">
        <v>32951</v>
      </c>
      <c r="U329" t="s">
        <v>1625</v>
      </c>
      <c r="V329" t="s">
        <v>1626</v>
      </c>
      <c r="W329" s="17">
        <v>2.7</v>
      </c>
      <c r="X329" s="10">
        <f t="shared" si="50"/>
        <v>1</v>
      </c>
      <c r="Y329" s="10">
        <f t="shared" si="51"/>
        <v>0</v>
      </c>
      <c r="Z329" s="10">
        <f t="shared" si="52"/>
        <v>0</v>
      </c>
      <c r="AA329">
        <f t="shared" si="45"/>
        <v>1</v>
      </c>
      <c r="AB329">
        <f t="shared" si="53"/>
        <v>0</v>
      </c>
      <c r="AC329">
        <f t="shared" si="46"/>
        <v>0</v>
      </c>
    </row>
    <row r="330" spans="1:29" x14ac:dyDescent="0.35">
      <c r="A330" t="s">
        <v>346</v>
      </c>
      <c r="B330" t="s">
        <v>536</v>
      </c>
      <c r="C330" t="s">
        <v>950</v>
      </c>
      <c r="D330" t="s">
        <v>2274</v>
      </c>
      <c r="E330" t="s">
        <v>2275</v>
      </c>
      <c r="F330" t="s">
        <v>1027</v>
      </c>
      <c r="G330" t="s">
        <v>1031</v>
      </c>
      <c r="H330" t="s">
        <v>1035</v>
      </c>
      <c r="I330" t="s">
        <v>1042</v>
      </c>
      <c r="J330" t="s">
        <v>1049</v>
      </c>
      <c r="K330" s="9">
        <v>45464</v>
      </c>
      <c r="L330" s="20">
        <f t="shared" si="47"/>
        <v>45444</v>
      </c>
      <c r="M330" s="10">
        <f t="shared" si="48"/>
        <v>2024</v>
      </c>
      <c r="N330" s="9">
        <v>45473</v>
      </c>
      <c r="O330" s="9">
        <v>45491</v>
      </c>
      <c r="P330" s="9">
        <v>45538</v>
      </c>
      <c r="Q330" s="26">
        <f t="shared" si="49"/>
        <v>74</v>
      </c>
      <c r="R330" t="s">
        <v>1620</v>
      </c>
      <c r="S330" s="15">
        <v>29411</v>
      </c>
      <c r="T330" s="15">
        <v>30101</v>
      </c>
      <c r="U330" t="s">
        <v>1625</v>
      </c>
      <c r="V330" t="s">
        <v>1627</v>
      </c>
      <c r="W330" s="17">
        <v>3.3</v>
      </c>
      <c r="X330" s="10">
        <f t="shared" si="50"/>
        <v>1</v>
      </c>
      <c r="Y330" s="10">
        <f t="shared" si="51"/>
        <v>0</v>
      </c>
      <c r="Z330" s="10">
        <f t="shared" si="52"/>
        <v>0</v>
      </c>
      <c r="AA330">
        <f t="shared" si="45"/>
        <v>1</v>
      </c>
      <c r="AB330">
        <f t="shared" si="53"/>
        <v>0</v>
      </c>
      <c r="AC330">
        <f t="shared" si="46"/>
        <v>1</v>
      </c>
    </row>
    <row r="331" spans="1:29" x14ac:dyDescent="0.35">
      <c r="A331" t="s">
        <v>347</v>
      </c>
      <c r="B331" t="s">
        <v>432</v>
      </c>
      <c r="C331" t="s">
        <v>951</v>
      </c>
      <c r="D331" t="s">
        <v>1906</v>
      </c>
      <c r="E331" t="s">
        <v>1891</v>
      </c>
      <c r="F331" t="s">
        <v>1026</v>
      </c>
      <c r="G331" t="s">
        <v>1032</v>
      </c>
      <c r="H331" t="s">
        <v>1037</v>
      </c>
      <c r="I331" t="s">
        <v>1045</v>
      </c>
      <c r="J331" t="s">
        <v>1048</v>
      </c>
      <c r="K331" s="9">
        <v>45761</v>
      </c>
      <c r="L331" s="20">
        <f t="shared" si="47"/>
        <v>45748</v>
      </c>
      <c r="M331" s="10">
        <f t="shared" si="48"/>
        <v>2025</v>
      </c>
      <c r="N331" s="9">
        <v>45767</v>
      </c>
      <c r="O331" s="9">
        <v>45800</v>
      </c>
      <c r="P331" s="9" t="s">
        <v>2350</v>
      </c>
      <c r="Q331" s="26" t="str">
        <f t="shared" si="49"/>
        <v/>
      </c>
      <c r="R331" t="s">
        <v>1618</v>
      </c>
      <c r="S331" s="15">
        <v>39377</v>
      </c>
      <c r="T331" s="15">
        <v>41798</v>
      </c>
      <c r="U331" t="s">
        <v>1621</v>
      </c>
      <c r="V331" t="s">
        <v>1628</v>
      </c>
      <c r="W331" s="17">
        <v>3.9</v>
      </c>
      <c r="X331" s="10">
        <f t="shared" si="50"/>
        <v>1</v>
      </c>
      <c r="Y331" s="10">
        <f t="shared" si="51"/>
        <v>0</v>
      </c>
      <c r="Z331" s="10">
        <f t="shared" si="52"/>
        <v>0</v>
      </c>
      <c r="AA331">
        <f t="shared" si="45"/>
        <v>1</v>
      </c>
      <c r="AB331">
        <f t="shared" si="53"/>
        <v>1</v>
      </c>
      <c r="AC331">
        <f t="shared" si="46"/>
        <v>0</v>
      </c>
    </row>
    <row r="332" spans="1:29" x14ac:dyDescent="0.35">
      <c r="A332" t="s">
        <v>348</v>
      </c>
      <c r="B332" t="s">
        <v>611</v>
      </c>
      <c r="C332" t="s">
        <v>2276</v>
      </c>
      <c r="D332" t="s">
        <v>2243</v>
      </c>
      <c r="E332" t="s">
        <v>2032</v>
      </c>
      <c r="F332" t="s">
        <v>1022</v>
      </c>
      <c r="G332" t="s">
        <v>1028</v>
      </c>
      <c r="H332" t="s">
        <v>1040</v>
      </c>
      <c r="I332" t="s">
        <v>1043</v>
      </c>
      <c r="J332" t="s">
        <v>1051</v>
      </c>
      <c r="K332" s="9">
        <v>45378</v>
      </c>
      <c r="L332" s="20">
        <f t="shared" si="47"/>
        <v>45352</v>
      </c>
      <c r="M332" s="10">
        <f t="shared" si="48"/>
        <v>2024</v>
      </c>
      <c r="N332" s="9" t="s">
        <v>2350</v>
      </c>
      <c r="O332" s="9" t="s">
        <v>2350</v>
      </c>
      <c r="P332" s="9" t="s">
        <v>2350</v>
      </c>
      <c r="Q332" s="26" t="str">
        <f t="shared" si="49"/>
        <v/>
      </c>
      <c r="R332" t="s">
        <v>1616</v>
      </c>
      <c r="S332" s="15">
        <v>50815</v>
      </c>
      <c r="U332" t="s">
        <v>1625</v>
      </c>
      <c r="V332" t="s">
        <v>1628</v>
      </c>
      <c r="W332" s="17">
        <v>3.8</v>
      </c>
      <c r="X332" s="10">
        <f t="shared" si="50"/>
        <v>1</v>
      </c>
      <c r="Y332" s="10">
        <f t="shared" si="51"/>
        <v>0</v>
      </c>
      <c r="Z332" s="10">
        <f t="shared" si="52"/>
        <v>0</v>
      </c>
      <c r="AA332">
        <f t="shared" si="45"/>
        <v>0</v>
      </c>
      <c r="AB332">
        <f t="shared" si="53"/>
        <v>0</v>
      </c>
      <c r="AC332">
        <f t="shared" si="46"/>
        <v>0</v>
      </c>
    </row>
    <row r="333" spans="1:29" x14ac:dyDescent="0.35">
      <c r="A333" t="s">
        <v>349</v>
      </c>
      <c r="B333" t="s">
        <v>537</v>
      </c>
      <c r="C333" t="s">
        <v>953</v>
      </c>
      <c r="D333" t="s">
        <v>2208</v>
      </c>
      <c r="E333" t="s">
        <v>1933</v>
      </c>
      <c r="F333" t="s">
        <v>1025</v>
      </c>
      <c r="G333" t="s">
        <v>1030</v>
      </c>
      <c r="H333" t="s">
        <v>1035</v>
      </c>
      <c r="I333" t="s">
        <v>1045</v>
      </c>
      <c r="J333" t="s">
        <v>1742</v>
      </c>
      <c r="K333" s="9">
        <v>45545</v>
      </c>
      <c r="L333" s="20">
        <f t="shared" si="47"/>
        <v>45536</v>
      </c>
      <c r="M333" s="10">
        <f t="shared" si="48"/>
        <v>2024</v>
      </c>
      <c r="N333" s="9">
        <v>45560</v>
      </c>
      <c r="O333" s="9">
        <v>45563</v>
      </c>
      <c r="P333" s="9">
        <v>45608</v>
      </c>
      <c r="Q333" s="26">
        <f t="shared" si="49"/>
        <v>63</v>
      </c>
      <c r="R333" t="s">
        <v>1620</v>
      </c>
      <c r="S333" s="15">
        <v>49474</v>
      </c>
      <c r="T333" s="15">
        <v>51883</v>
      </c>
      <c r="U333" t="s">
        <v>1621</v>
      </c>
      <c r="V333" t="s">
        <v>1627</v>
      </c>
      <c r="X333" s="10">
        <f t="shared" si="50"/>
        <v>1</v>
      </c>
      <c r="Y333" s="10">
        <f t="shared" si="51"/>
        <v>0</v>
      </c>
      <c r="Z333" s="10">
        <f t="shared" si="52"/>
        <v>0</v>
      </c>
      <c r="AA333">
        <f t="shared" si="45"/>
        <v>1</v>
      </c>
      <c r="AB333">
        <f t="shared" si="53"/>
        <v>0</v>
      </c>
      <c r="AC333">
        <f t="shared" si="46"/>
        <v>1</v>
      </c>
    </row>
    <row r="334" spans="1:29" x14ac:dyDescent="0.35">
      <c r="A334" t="s">
        <v>350</v>
      </c>
      <c r="B334" t="s">
        <v>535</v>
      </c>
      <c r="C334" t="s">
        <v>954</v>
      </c>
      <c r="D334" t="s">
        <v>2223</v>
      </c>
      <c r="E334" t="s">
        <v>1816</v>
      </c>
      <c r="F334" t="s">
        <v>1023</v>
      </c>
      <c r="G334" t="s">
        <v>1028</v>
      </c>
      <c r="H334" t="s">
        <v>1741</v>
      </c>
      <c r="I334" t="s">
        <v>1041</v>
      </c>
      <c r="J334" t="s">
        <v>1742</v>
      </c>
      <c r="K334" s="9">
        <v>45310</v>
      </c>
      <c r="L334" s="20">
        <f t="shared" si="47"/>
        <v>45292</v>
      </c>
      <c r="M334" s="10">
        <f t="shared" si="48"/>
        <v>2024</v>
      </c>
      <c r="N334" s="9" t="s">
        <v>2350</v>
      </c>
      <c r="O334" s="9" t="s">
        <v>2350</v>
      </c>
      <c r="P334" s="9" t="s">
        <v>2350</v>
      </c>
      <c r="Q334" s="26" t="str">
        <f t="shared" si="49"/>
        <v/>
      </c>
      <c r="R334" t="s">
        <v>1616</v>
      </c>
      <c r="S334" s="15">
        <v>38087</v>
      </c>
      <c r="U334" t="s">
        <v>1624</v>
      </c>
      <c r="V334" t="s">
        <v>1627</v>
      </c>
      <c r="W334" s="17">
        <v>3.2</v>
      </c>
      <c r="X334" s="10">
        <f t="shared" si="50"/>
        <v>1</v>
      </c>
      <c r="Y334" s="10">
        <f t="shared" si="51"/>
        <v>0</v>
      </c>
      <c r="Z334" s="10">
        <f t="shared" si="52"/>
        <v>0</v>
      </c>
      <c r="AA334">
        <f t="shared" si="45"/>
        <v>0</v>
      </c>
      <c r="AB334">
        <f t="shared" si="53"/>
        <v>0</v>
      </c>
      <c r="AC334">
        <f t="shared" si="46"/>
        <v>0</v>
      </c>
    </row>
    <row r="335" spans="1:29" x14ac:dyDescent="0.35">
      <c r="A335" t="s">
        <v>351</v>
      </c>
      <c r="B335" t="s">
        <v>476</v>
      </c>
      <c r="C335" t="s">
        <v>2277</v>
      </c>
      <c r="D335" t="s">
        <v>2278</v>
      </c>
      <c r="E335" t="s">
        <v>1881</v>
      </c>
      <c r="F335" t="s">
        <v>1026</v>
      </c>
      <c r="G335" t="s">
        <v>1028</v>
      </c>
      <c r="H335" t="s">
        <v>1037</v>
      </c>
      <c r="I335" t="s">
        <v>1043</v>
      </c>
      <c r="J335" t="s">
        <v>1742</v>
      </c>
      <c r="K335" s="9">
        <v>45772</v>
      </c>
      <c r="L335" s="20">
        <f t="shared" si="47"/>
        <v>45748</v>
      </c>
      <c r="M335" s="10">
        <f t="shared" si="48"/>
        <v>2025</v>
      </c>
      <c r="N335" s="9" t="s">
        <v>2350</v>
      </c>
      <c r="O335" s="9" t="s">
        <v>2350</v>
      </c>
      <c r="P335" s="9" t="s">
        <v>2350</v>
      </c>
      <c r="Q335" s="26" t="str">
        <f t="shared" si="49"/>
        <v/>
      </c>
      <c r="R335" t="s">
        <v>1619</v>
      </c>
      <c r="S335" s="15">
        <v>47937</v>
      </c>
      <c r="U335" t="s">
        <v>1624</v>
      </c>
      <c r="V335" t="s">
        <v>1627</v>
      </c>
      <c r="W335" s="17">
        <v>3.7</v>
      </c>
      <c r="X335" s="10">
        <f t="shared" si="50"/>
        <v>1</v>
      </c>
      <c r="Y335" s="10">
        <f t="shared" si="51"/>
        <v>0</v>
      </c>
      <c r="Z335" s="10">
        <f t="shared" si="52"/>
        <v>1</v>
      </c>
      <c r="AA335">
        <f t="shared" si="45"/>
        <v>0</v>
      </c>
      <c r="AB335">
        <f t="shared" si="53"/>
        <v>0</v>
      </c>
      <c r="AC335">
        <f t="shared" si="46"/>
        <v>0</v>
      </c>
    </row>
    <row r="336" spans="1:29" x14ac:dyDescent="0.35">
      <c r="A336" t="s">
        <v>352</v>
      </c>
      <c r="B336" t="s">
        <v>580</v>
      </c>
      <c r="C336" t="s">
        <v>2279</v>
      </c>
      <c r="D336" t="s">
        <v>1819</v>
      </c>
      <c r="E336" t="s">
        <v>2280</v>
      </c>
      <c r="F336" t="s">
        <v>1022</v>
      </c>
      <c r="G336" t="s">
        <v>1031</v>
      </c>
      <c r="H336" t="s">
        <v>1039</v>
      </c>
      <c r="I336" t="s">
        <v>1044</v>
      </c>
      <c r="J336" t="s">
        <v>1048</v>
      </c>
      <c r="K336" s="9">
        <v>45694</v>
      </c>
      <c r="L336" s="20">
        <f t="shared" si="47"/>
        <v>45689</v>
      </c>
      <c r="M336" s="10">
        <f t="shared" si="48"/>
        <v>2025</v>
      </c>
      <c r="N336" s="9">
        <v>45716</v>
      </c>
      <c r="O336" s="9">
        <v>45709</v>
      </c>
      <c r="P336" s="9">
        <v>45751</v>
      </c>
      <c r="Q336" s="26">
        <f t="shared" si="49"/>
        <v>57</v>
      </c>
      <c r="R336" t="s">
        <v>1620</v>
      </c>
      <c r="S336" s="15">
        <v>29079</v>
      </c>
      <c r="T336" s="15">
        <v>28407</v>
      </c>
      <c r="U336" t="s">
        <v>1624</v>
      </c>
      <c r="V336" t="s">
        <v>1628</v>
      </c>
      <c r="W336" s="17">
        <v>3.7</v>
      </c>
      <c r="X336" s="10">
        <f t="shared" si="50"/>
        <v>1</v>
      </c>
      <c r="Y336" s="10">
        <f t="shared" si="51"/>
        <v>0</v>
      </c>
      <c r="Z336" s="10">
        <f t="shared" si="52"/>
        <v>0</v>
      </c>
      <c r="AA336">
        <f t="shared" si="45"/>
        <v>1</v>
      </c>
      <c r="AB336">
        <f t="shared" si="53"/>
        <v>0</v>
      </c>
      <c r="AC336">
        <f t="shared" si="46"/>
        <v>1</v>
      </c>
    </row>
    <row r="337" spans="1:29" x14ac:dyDescent="0.35">
      <c r="A337" t="s">
        <v>353</v>
      </c>
      <c r="B337" t="s">
        <v>467</v>
      </c>
      <c r="C337" t="s">
        <v>2281</v>
      </c>
      <c r="D337" t="s">
        <v>2278</v>
      </c>
      <c r="E337" t="s">
        <v>2066</v>
      </c>
      <c r="F337" t="s">
        <v>1022</v>
      </c>
      <c r="G337" t="s">
        <v>1032</v>
      </c>
      <c r="H337" t="s">
        <v>1040</v>
      </c>
      <c r="I337" t="s">
        <v>1045</v>
      </c>
      <c r="J337" t="s">
        <v>1742</v>
      </c>
      <c r="K337" s="9">
        <v>45756</v>
      </c>
      <c r="L337" s="20">
        <f t="shared" si="47"/>
        <v>45748</v>
      </c>
      <c r="M337" s="10">
        <f t="shared" si="48"/>
        <v>2025</v>
      </c>
      <c r="N337" s="9" t="s">
        <v>2350</v>
      </c>
      <c r="O337" s="9" t="s">
        <v>2350</v>
      </c>
      <c r="P337" s="9" t="s">
        <v>2350</v>
      </c>
      <c r="Q337" s="26" t="str">
        <f t="shared" si="49"/>
        <v/>
      </c>
      <c r="R337" t="s">
        <v>1616</v>
      </c>
      <c r="S337" s="15">
        <v>48019</v>
      </c>
      <c r="U337" t="s">
        <v>1622</v>
      </c>
      <c r="V337" t="s">
        <v>1628</v>
      </c>
      <c r="W337" s="17">
        <v>5</v>
      </c>
      <c r="X337" s="10">
        <f t="shared" si="50"/>
        <v>1</v>
      </c>
      <c r="Y337" s="10">
        <f t="shared" si="51"/>
        <v>0</v>
      </c>
      <c r="Z337" s="10">
        <f t="shared" si="52"/>
        <v>0</v>
      </c>
      <c r="AA337">
        <f t="shared" si="45"/>
        <v>0</v>
      </c>
      <c r="AB337">
        <f t="shared" si="53"/>
        <v>0</v>
      </c>
      <c r="AC337">
        <f t="shared" si="46"/>
        <v>0</v>
      </c>
    </row>
    <row r="338" spans="1:29" x14ac:dyDescent="0.35">
      <c r="A338" t="s">
        <v>354</v>
      </c>
      <c r="B338" t="s">
        <v>460</v>
      </c>
      <c r="C338" t="s">
        <v>958</v>
      </c>
      <c r="D338" t="s">
        <v>2282</v>
      </c>
      <c r="E338" t="s">
        <v>1940</v>
      </c>
      <c r="F338" t="s">
        <v>1022</v>
      </c>
      <c r="G338" t="s">
        <v>1032</v>
      </c>
      <c r="H338" t="s">
        <v>1034</v>
      </c>
      <c r="I338" t="s">
        <v>1045</v>
      </c>
      <c r="J338" t="s">
        <v>1048</v>
      </c>
      <c r="K338" s="9">
        <v>45614</v>
      </c>
      <c r="L338" s="20">
        <f t="shared" si="47"/>
        <v>45597</v>
      </c>
      <c r="M338" s="10">
        <f t="shared" si="48"/>
        <v>2024</v>
      </c>
      <c r="N338" s="9">
        <v>45636</v>
      </c>
      <c r="O338" s="9" t="s">
        <v>2350</v>
      </c>
      <c r="P338" s="9" t="s">
        <v>2350</v>
      </c>
      <c r="Q338" s="26" t="str">
        <f t="shared" si="49"/>
        <v/>
      </c>
      <c r="R338" t="s">
        <v>1615</v>
      </c>
      <c r="S338" s="15">
        <v>38058</v>
      </c>
      <c r="U338" t="s">
        <v>1624</v>
      </c>
      <c r="V338" t="s">
        <v>1627</v>
      </c>
      <c r="W338" s="17">
        <v>2.2999999999999998</v>
      </c>
      <c r="X338" s="10">
        <f t="shared" si="50"/>
        <v>1</v>
      </c>
      <c r="Y338" s="10">
        <f t="shared" si="51"/>
        <v>0</v>
      </c>
      <c r="Z338" s="10">
        <f t="shared" si="52"/>
        <v>0</v>
      </c>
      <c r="AA338">
        <f t="shared" si="45"/>
        <v>1</v>
      </c>
      <c r="AB338">
        <f t="shared" si="53"/>
        <v>0</v>
      </c>
      <c r="AC338">
        <f t="shared" si="46"/>
        <v>0</v>
      </c>
    </row>
    <row r="339" spans="1:29" x14ac:dyDescent="0.35">
      <c r="A339" t="s">
        <v>355</v>
      </c>
      <c r="B339" t="s">
        <v>612</v>
      </c>
      <c r="C339" t="s">
        <v>959</v>
      </c>
      <c r="D339" t="s">
        <v>1837</v>
      </c>
      <c r="E339" t="s">
        <v>2252</v>
      </c>
      <c r="F339" t="s">
        <v>1024</v>
      </c>
      <c r="G339" t="s">
        <v>1032</v>
      </c>
      <c r="H339" t="s">
        <v>1040</v>
      </c>
      <c r="I339" t="s">
        <v>1043</v>
      </c>
      <c r="J339" t="s">
        <v>1048</v>
      </c>
      <c r="K339" s="9">
        <v>45677</v>
      </c>
      <c r="L339" s="20">
        <f t="shared" si="47"/>
        <v>45658</v>
      </c>
      <c r="M339" s="10">
        <f t="shared" si="48"/>
        <v>2025</v>
      </c>
      <c r="N339" s="9" t="s">
        <v>2350</v>
      </c>
      <c r="O339" s="9" t="s">
        <v>2350</v>
      </c>
      <c r="P339" s="9" t="s">
        <v>2350</v>
      </c>
      <c r="Q339" s="26" t="str">
        <f t="shared" si="49"/>
        <v/>
      </c>
      <c r="R339" t="s">
        <v>1617</v>
      </c>
      <c r="S339" s="15">
        <v>47606</v>
      </c>
      <c r="U339" t="s">
        <v>1621</v>
      </c>
      <c r="V339" t="s">
        <v>1627</v>
      </c>
      <c r="W339" s="17">
        <v>3.2</v>
      </c>
      <c r="X339" s="10">
        <f t="shared" si="50"/>
        <v>1</v>
      </c>
      <c r="Y339" s="10">
        <f t="shared" si="51"/>
        <v>1</v>
      </c>
      <c r="Z339" s="10">
        <f t="shared" si="52"/>
        <v>0</v>
      </c>
      <c r="AA339">
        <f t="shared" si="45"/>
        <v>0</v>
      </c>
      <c r="AB339">
        <f t="shared" si="53"/>
        <v>0</v>
      </c>
      <c r="AC339">
        <f t="shared" si="46"/>
        <v>0</v>
      </c>
    </row>
    <row r="340" spans="1:29" x14ac:dyDescent="0.35">
      <c r="A340" t="s">
        <v>356</v>
      </c>
      <c r="B340" t="s">
        <v>490</v>
      </c>
      <c r="C340" t="s">
        <v>960</v>
      </c>
      <c r="D340" t="s">
        <v>2283</v>
      </c>
      <c r="E340" t="s">
        <v>2236</v>
      </c>
      <c r="F340" t="s">
        <v>1023</v>
      </c>
      <c r="G340" t="s">
        <v>1029</v>
      </c>
      <c r="H340" t="s">
        <v>1037</v>
      </c>
      <c r="I340" t="s">
        <v>1042</v>
      </c>
      <c r="J340" t="s">
        <v>1049</v>
      </c>
      <c r="K340" s="9">
        <v>45298</v>
      </c>
      <c r="L340" s="20">
        <f t="shared" si="47"/>
        <v>45292</v>
      </c>
      <c r="M340" s="10">
        <f t="shared" si="48"/>
        <v>2024</v>
      </c>
      <c r="N340" s="9" t="s">
        <v>2350</v>
      </c>
      <c r="O340" s="9" t="s">
        <v>2350</v>
      </c>
      <c r="P340" s="9" t="s">
        <v>2350</v>
      </c>
      <c r="Q340" s="26" t="str">
        <f t="shared" si="49"/>
        <v/>
      </c>
      <c r="R340" t="s">
        <v>1616</v>
      </c>
      <c r="S340" s="15">
        <v>49929</v>
      </c>
      <c r="U340" t="s">
        <v>1621</v>
      </c>
      <c r="V340" t="s">
        <v>1627</v>
      </c>
      <c r="W340" s="17">
        <v>3.2</v>
      </c>
      <c r="X340" s="10">
        <f t="shared" si="50"/>
        <v>1</v>
      </c>
      <c r="Y340" s="10">
        <f t="shared" si="51"/>
        <v>0</v>
      </c>
      <c r="Z340" s="10">
        <f t="shared" si="52"/>
        <v>0</v>
      </c>
      <c r="AA340">
        <f t="shared" si="45"/>
        <v>0</v>
      </c>
      <c r="AB340">
        <f t="shared" si="53"/>
        <v>0</v>
      </c>
      <c r="AC340">
        <f t="shared" si="46"/>
        <v>0</v>
      </c>
    </row>
    <row r="341" spans="1:29" x14ac:dyDescent="0.35">
      <c r="A341" t="s">
        <v>357</v>
      </c>
      <c r="B341" t="s">
        <v>613</v>
      </c>
      <c r="C341" t="s">
        <v>961</v>
      </c>
      <c r="D341" t="s">
        <v>2267</v>
      </c>
      <c r="E341" t="s">
        <v>1987</v>
      </c>
      <c r="F341" t="s">
        <v>1026</v>
      </c>
      <c r="G341" t="s">
        <v>1030</v>
      </c>
      <c r="H341" t="s">
        <v>1034</v>
      </c>
      <c r="I341" t="s">
        <v>1042</v>
      </c>
      <c r="J341" t="s">
        <v>1048</v>
      </c>
      <c r="K341" s="9">
        <v>45372</v>
      </c>
      <c r="L341" s="20">
        <f t="shared" si="47"/>
        <v>45352</v>
      </c>
      <c r="M341" s="10">
        <f t="shared" si="48"/>
        <v>2024</v>
      </c>
      <c r="N341" s="9">
        <v>45383</v>
      </c>
      <c r="O341" s="9" t="s">
        <v>2350</v>
      </c>
      <c r="P341" s="9" t="s">
        <v>2350</v>
      </c>
      <c r="Q341" s="26" t="str">
        <f t="shared" si="49"/>
        <v/>
      </c>
      <c r="R341" t="s">
        <v>1615</v>
      </c>
      <c r="S341" s="15">
        <v>46043</v>
      </c>
      <c r="U341" t="s">
        <v>1625</v>
      </c>
      <c r="V341" t="s">
        <v>1626</v>
      </c>
      <c r="X341" s="10">
        <f t="shared" si="50"/>
        <v>1</v>
      </c>
      <c r="Y341" s="10">
        <f t="shared" si="51"/>
        <v>0</v>
      </c>
      <c r="Z341" s="10">
        <f t="shared" si="52"/>
        <v>0</v>
      </c>
      <c r="AA341">
        <f t="shared" si="45"/>
        <v>1</v>
      </c>
      <c r="AB341">
        <f t="shared" si="53"/>
        <v>0</v>
      </c>
      <c r="AC341">
        <f t="shared" si="46"/>
        <v>0</v>
      </c>
    </row>
    <row r="342" spans="1:29" x14ac:dyDescent="0.35">
      <c r="A342" t="s">
        <v>358</v>
      </c>
      <c r="B342" t="s">
        <v>614</v>
      </c>
      <c r="C342" t="s">
        <v>2284</v>
      </c>
      <c r="D342" t="s">
        <v>2215</v>
      </c>
      <c r="E342" t="s">
        <v>1852</v>
      </c>
      <c r="F342" t="s">
        <v>1027</v>
      </c>
      <c r="G342" t="s">
        <v>1031</v>
      </c>
      <c r="H342" t="s">
        <v>1039</v>
      </c>
      <c r="I342" t="s">
        <v>1041</v>
      </c>
      <c r="J342" t="s">
        <v>1742</v>
      </c>
      <c r="K342" s="9">
        <v>45780</v>
      </c>
      <c r="L342" s="20">
        <f t="shared" si="47"/>
        <v>45778</v>
      </c>
      <c r="M342" s="10">
        <f t="shared" si="48"/>
        <v>2025</v>
      </c>
      <c r="N342" s="9">
        <v>45807</v>
      </c>
      <c r="O342" s="9" t="s">
        <v>2350</v>
      </c>
      <c r="P342" s="9" t="s">
        <v>2350</v>
      </c>
      <c r="Q342" s="26" t="str">
        <f t="shared" si="49"/>
        <v/>
      </c>
      <c r="R342" t="s">
        <v>1615</v>
      </c>
      <c r="S342" s="15">
        <v>29646</v>
      </c>
      <c r="U342" t="s">
        <v>1624</v>
      </c>
      <c r="V342" t="s">
        <v>1627</v>
      </c>
      <c r="W342" s="17">
        <v>3.5</v>
      </c>
      <c r="X342" s="10">
        <f t="shared" si="50"/>
        <v>1</v>
      </c>
      <c r="Y342" s="10">
        <f t="shared" si="51"/>
        <v>0</v>
      </c>
      <c r="Z342" s="10">
        <f t="shared" si="52"/>
        <v>0</v>
      </c>
      <c r="AA342">
        <f t="shared" si="45"/>
        <v>1</v>
      </c>
      <c r="AB342">
        <f t="shared" si="53"/>
        <v>0</v>
      </c>
      <c r="AC342">
        <f t="shared" si="46"/>
        <v>0</v>
      </c>
    </row>
    <row r="343" spans="1:29" x14ac:dyDescent="0.35">
      <c r="A343" t="s">
        <v>359</v>
      </c>
      <c r="B343" t="s">
        <v>582</v>
      </c>
      <c r="C343" t="s">
        <v>963</v>
      </c>
      <c r="D343" t="s">
        <v>1960</v>
      </c>
      <c r="E343" t="s">
        <v>2098</v>
      </c>
      <c r="F343" t="s">
        <v>1026</v>
      </c>
      <c r="G343" t="s">
        <v>1031</v>
      </c>
      <c r="H343" t="s">
        <v>1034</v>
      </c>
      <c r="I343" t="s">
        <v>1042</v>
      </c>
      <c r="J343" t="s">
        <v>1049</v>
      </c>
      <c r="K343" s="9">
        <v>45471</v>
      </c>
      <c r="L343" s="20">
        <f t="shared" si="47"/>
        <v>45444</v>
      </c>
      <c r="M343" s="10">
        <f t="shared" si="48"/>
        <v>2024</v>
      </c>
      <c r="N343" s="9" t="s">
        <v>2350</v>
      </c>
      <c r="O343" s="9" t="s">
        <v>2350</v>
      </c>
      <c r="P343" s="9" t="s">
        <v>2350</v>
      </c>
      <c r="Q343" s="26" t="str">
        <f t="shared" si="49"/>
        <v/>
      </c>
      <c r="R343" t="s">
        <v>1619</v>
      </c>
      <c r="S343" s="15">
        <v>30109</v>
      </c>
      <c r="U343" t="s">
        <v>1621</v>
      </c>
      <c r="V343" t="s">
        <v>1627</v>
      </c>
      <c r="W343" s="17">
        <v>3</v>
      </c>
      <c r="X343" s="10">
        <f t="shared" si="50"/>
        <v>1</v>
      </c>
      <c r="Y343" s="10">
        <f t="shared" si="51"/>
        <v>0</v>
      </c>
      <c r="Z343" s="10">
        <f t="shared" si="52"/>
        <v>1</v>
      </c>
      <c r="AA343">
        <f t="shared" si="45"/>
        <v>0</v>
      </c>
      <c r="AB343">
        <f t="shared" si="53"/>
        <v>0</v>
      </c>
      <c r="AC343">
        <f t="shared" si="46"/>
        <v>0</v>
      </c>
    </row>
    <row r="344" spans="1:29" x14ac:dyDescent="0.35">
      <c r="A344" t="s">
        <v>360</v>
      </c>
      <c r="B344" t="s">
        <v>577</v>
      </c>
      <c r="C344" t="s">
        <v>2285</v>
      </c>
      <c r="D344" t="s">
        <v>1778</v>
      </c>
      <c r="E344" t="s">
        <v>2063</v>
      </c>
      <c r="F344" t="s">
        <v>1023</v>
      </c>
      <c r="G344" t="s">
        <v>1031</v>
      </c>
      <c r="H344" t="s">
        <v>1037</v>
      </c>
      <c r="I344" t="s">
        <v>1045</v>
      </c>
      <c r="J344" t="s">
        <v>1051</v>
      </c>
      <c r="K344" s="9">
        <v>45455</v>
      </c>
      <c r="L344" s="20">
        <f t="shared" si="47"/>
        <v>45444</v>
      </c>
      <c r="M344" s="10">
        <f t="shared" si="48"/>
        <v>2024</v>
      </c>
      <c r="N344" s="9">
        <v>45465</v>
      </c>
      <c r="O344" s="9" t="s">
        <v>2350</v>
      </c>
      <c r="P344" s="9" t="s">
        <v>2350</v>
      </c>
      <c r="Q344" s="26" t="str">
        <f t="shared" si="49"/>
        <v/>
      </c>
      <c r="R344" t="s">
        <v>1615</v>
      </c>
      <c r="S344" s="15">
        <v>42672</v>
      </c>
      <c r="U344" t="s">
        <v>1621</v>
      </c>
      <c r="V344" t="s">
        <v>1628</v>
      </c>
      <c r="W344" s="17">
        <v>4.5</v>
      </c>
      <c r="X344" s="10">
        <f t="shared" si="50"/>
        <v>1</v>
      </c>
      <c r="Y344" s="10">
        <f t="shared" si="51"/>
        <v>0</v>
      </c>
      <c r="Z344" s="10">
        <f t="shared" si="52"/>
        <v>0</v>
      </c>
      <c r="AA344">
        <f t="shared" si="45"/>
        <v>1</v>
      </c>
      <c r="AB344">
        <f t="shared" si="53"/>
        <v>0</v>
      </c>
      <c r="AC344">
        <f t="shared" si="46"/>
        <v>0</v>
      </c>
    </row>
    <row r="345" spans="1:29" x14ac:dyDescent="0.35">
      <c r="A345" t="s">
        <v>361</v>
      </c>
      <c r="B345" t="s">
        <v>615</v>
      </c>
      <c r="C345" t="s">
        <v>2286</v>
      </c>
      <c r="D345" t="s">
        <v>2287</v>
      </c>
      <c r="E345" t="s">
        <v>1794</v>
      </c>
      <c r="F345" t="s">
        <v>1024</v>
      </c>
      <c r="G345" t="s">
        <v>1031</v>
      </c>
      <c r="H345" t="s">
        <v>1034</v>
      </c>
      <c r="I345" t="s">
        <v>1042</v>
      </c>
      <c r="J345" t="s">
        <v>1051</v>
      </c>
      <c r="K345" s="9">
        <v>45354</v>
      </c>
      <c r="L345" s="20">
        <f t="shared" si="47"/>
        <v>45352</v>
      </c>
      <c r="M345" s="10">
        <f t="shared" si="48"/>
        <v>2024</v>
      </c>
      <c r="N345" s="9" t="s">
        <v>2350</v>
      </c>
      <c r="O345" s="9" t="s">
        <v>2350</v>
      </c>
      <c r="P345" s="9" t="s">
        <v>2350</v>
      </c>
      <c r="Q345" s="26" t="str">
        <f t="shared" si="49"/>
        <v/>
      </c>
      <c r="R345" t="s">
        <v>1619</v>
      </c>
      <c r="S345" s="15">
        <v>35345</v>
      </c>
      <c r="U345" t="s">
        <v>1625</v>
      </c>
      <c r="V345" t="s">
        <v>1628</v>
      </c>
      <c r="W345" s="17">
        <v>2.9</v>
      </c>
      <c r="X345" s="10">
        <f t="shared" si="50"/>
        <v>1</v>
      </c>
      <c r="Y345" s="10">
        <f t="shared" si="51"/>
        <v>0</v>
      </c>
      <c r="Z345" s="10">
        <f t="shared" si="52"/>
        <v>1</v>
      </c>
      <c r="AA345">
        <f t="shared" si="45"/>
        <v>0</v>
      </c>
      <c r="AB345">
        <f t="shared" si="53"/>
        <v>0</v>
      </c>
      <c r="AC345">
        <f t="shared" si="46"/>
        <v>0</v>
      </c>
    </row>
    <row r="346" spans="1:29" x14ac:dyDescent="0.35">
      <c r="A346" t="s">
        <v>362</v>
      </c>
      <c r="B346" t="s">
        <v>422</v>
      </c>
      <c r="C346" t="s">
        <v>966</v>
      </c>
      <c r="D346" t="s">
        <v>1880</v>
      </c>
      <c r="E346" t="s">
        <v>1954</v>
      </c>
      <c r="F346" t="s">
        <v>1027</v>
      </c>
      <c r="G346" t="s">
        <v>1032</v>
      </c>
      <c r="H346" t="s">
        <v>1741</v>
      </c>
      <c r="I346" t="s">
        <v>1041</v>
      </c>
      <c r="J346" t="s">
        <v>1742</v>
      </c>
      <c r="K346" s="9">
        <v>45789</v>
      </c>
      <c r="L346" s="20">
        <f t="shared" si="47"/>
        <v>45778</v>
      </c>
      <c r="M346" s="10">
        <f t="shared" si="48"/>
        <v>2025</v>
      </c>
      <c r="N346" s="9" t="s">
        <v>2350</v>
      </c>
      <c r="O346" s="9" t="s">
        <v>2350</v>
      </c>
      <c r="P346" s="9" t="s">
        <v>2350</v>
      </c>
      <c r="Q346" s="26" t="str">
        <f t="shared" si="49"/>
        <v/>
      </c>
      <c r="R346" t="s">
        <v>1619</v>
      </c>
      <c r="S346" s="15">
        <v>28023</v>
      </c>
      <c r="U346" t="s">
        <v>1622</v>
      </c>
      <c r="V346" t="s">
        <v>1627</v>
      </c>
      <c r="W346" s="17">
        <v>3.5</v>
      </c>
      <c r="X346" s="10">
        <f t="shared" si="50"/>
        <v>1</v>
      </c>
      <c r="Y346" s="10">
        <f t="shared" si="51"/>
        <v>0</v>
      </c>
      <c r="Z346" s="10">
        <f t="shared" si="52"/>
        <v>1</v>
      </c>
      <c r="AA346">
        <f t="shared" si="45"/>
        <v>0</v>
      </c>
      <c r="AB346">
        <f t="shared" si="53"/>
        <v>0</v>
      </c>
      <c r="AC346">
        <f t="shared" si="46"/>
        <v>0</v>
      </c>
    </row>
    <row r="347" spans="1:29" x14ac:dyDescent="0.35">
      <c r="A347" t="s">
        <v>363</v>
      </c>
      <c r="B347" t="s">
        <v>557</v>
      </c>
      <c r="C347" t="s">
        <v>2288</v>
      </c>
      <c r="D347" t="s">
        <v>1906</v>
      </c>
      <c r="E347" t="s">
        <v>2038</v>
      </c>
      <c r="F347" t="s">
        <v>1026</v>
      </c>
      <c r="G347" t="s">
        <v>1032</v>
      </c>
      <c r="H347" t="s">
        <v>1034</v>
      </c>
      <c r="I347" t="s">
        <v>1045</v>
      </c>
      <c r="J347" t="s">
        <v>1742</v>
      </c>
      <c r="K347" s="9">
        <v>45607</v>
      </c>
      <c r="L347" s="20">
        <f t="shared" si="47"/>
        <v>45597</v>
      </c>
      <c r="M347" s="10">
        <f t="shared" si="48"/>
        <v>2024</v>
      </c>
      <c r="N347" s="9">
        <v>45636</v>
      </c>
      <c r="O347" s="9">
        <v>45652</v>
      </c>
      <c r="P347" s="9" t="s">
        <v>2350</v>
      </c>
      <c r="Q347" s="26" t="str">
        <f t="shared" si="49"/>
        <v/>
      </c>
      <c r="R347" t="s">
        <v>1618</v>
      </c>
      <c r="S347" s="15">
        <v>45470</v>
      </c>
      <c r="T347" s="15">
        <v>48498</v>
      </c>
      <c r="U347" t="s">
        <v>1623</v>
      </c>
      <c r="V347" t="s">
        <v>1628</v>
      </c>
      <c r="W347" s="17">
        <v>4.3</v>
      </c>
      <c r="X347" s="10">
        <f t="shared" si="50"/>
        <v>1</v>
      </c>
      <c r="Y347" s="10">
        <f t="shared" si="51"/>
        <v>0</v>
      </c>
      <c r="Z347" s="10">
        <f t="shared" si="52"/>
        <v>0</v>
      </c>
      <c r="AA347">
        <f t="shared" si="45"/>
        <v>1</v>
      </c>
      <c r="AB347">
        <f t="shared" si="53"/>
        <v>1</v>
      </c>
      <c r="AC347">
        <f t="shared" si="46"/>
        <v>0</v>
      </c>
    </row>
    <row r="348" spans="1:29" x14ac:dyDescent="0.35">
      <c r="A348" t="s">
        <v>364</v>
      </c>
      <c r="B348" t="s">
        <v>514</v>
      </c>
      <c r="C348" t="s">
        <v>2289</v>
      </c>
      <c r="D348" t="s">
        <v>1936</v>
      </c>
      <c r="E348" t="s">
        <v>2290</v>
      </c>
      <c r="F348" t="s">
        <v>1023</v>
      </c>
      <c r="G348" t="s">
        <v>1030</v>
      </c>
      <c r="H348" t="s">
        <v>1741</v>
      </c>
      <c r="I348" t="s">
        <v>1043</v>
      </c>
      <c r="J348" t="s">
        <v>1742</v>
      </c>
      <c r="K348" s="9">
        <v>45526</v>
      </c>
      <c r="L348" s="20">
        <f t="shared" si="47"/>
        <v>45505</v>
      </c>
      <c r="M348" s="10">
        <f t="shared" si="48"/>
        <v>2024</v>
      </c>
      <c r="N348" s="9">
        <v>45545</v>
      </c>
      <c r="O348" s="9">
        <v>45561</v>
      </c>
      <c r="P348" s="9">
        <v>45597</v>
      </c>
      <c r="Q348" s="26">
        <f t="shared" si="49"/>
        <v>71</v>
      </c>
      <c r="R348" t="s">
        <v>1620</v>
      </c>
      <c r="S348" s="15">
        <v>34339</v>
      </c>
      <c r="T348" s="15">
        <v>34253</v>
      </c>
      <c r="U348" t="s">
        <v>1624</v>
      </c>
      <c r="V348" t="s">
        <v>1627</v>
      </c>
      <c r="W348" s="17">
        <v>2.2000000000000002</v>
      </c>
      <c r="X348" s="10">
        <f t="shared" si="50"/>
        <v>1</v>
      </c>
      <c r="Y348" s="10">
        <f t="shared" si="51"/>
        <v>0</v>
      </c>
      <c r="Z348" s="10">
        <f t="shared" si="52"/>
        <v>0</v>
      </c>
      <c r="AA348">
        <f t="shared" si="45"/>
        <v>1</v>
      </c>
      <c r="AB348">
        <f t="shared" si="53"/>
        <v>0</v>
      </c>
      <c r="AC348">
        <f t="shared" si="46"/>
        <v>1</v>
      </c>
    </row>
    <row r="349" spans="1:29" x14ac:dyDescent="0.35">
      <c r="A349" t="s">
        <v>365</v>
      </c>
      <c r="B349" t="s">
        <v>451</v>
      </c>
      <c r="C349" t="s">
        <v>2291</v>
      </c>
      <c r="D349" t="s">
        <v>1826</v>
      </c>
      <c r="E349" t="s">
        <v>1870</v>
      </c>
      <c r="F349" t="s">
        <v>1026</v>
      </c>
      <c r="G349" t="s">
        <v>1030</v>
      </c>
      <c r="H349" t="s">
        <v>1037</v>
      </c>
      <c r="I349" t="s">
        <v>1043</v>
      </c>
      <c r="J349" t="s">
        <v>1742</v>
      </c>
      <c r="K349" s="9">
        <v>45479</v>
      </c>
      <c r="L349" s="20">
        <f t="shared" si="47"/>
        <v>45474</v>
      </c>
      <c r="M349" s="10">
        <f t="shared" si="48"/>
        <v>2024</v>
      </c>
      <c r="N349" s="9">
        <v>45495</v>
      </c>
      <c r="O349" s="9">
        <v>45516</v>
      </c>
      <c r="P349" s="9" t="s">
        <v>2350</v>
      </c>
      <c r="Q349" s="26" t="str">
        <f t="shared" si="49"/>
        <v/>
      </c>
      <c r="R349" t="s">
        <v>1618</v>
      </c>
      <c r="S349" s="15">
        <v>42484</v>
      </c>
      <c r="T349" s="15">
        <v>40835</v>
      </c>
      <c r="U349" t="s">
        <v>1625</v>
      </c>
      <c r="V349" t="s">
        <v>1627</v>
      </c>
      <c r="W349" s="17">
        <v>2.6</v>
      </c>
      <c r="X349" s="10">
        <f t="shared" si="50"/>
        <v>1</v>
      </c>
      <c r="Y349" s="10">
        <f t="shared" si="51"/>
        <v>0</v>
      </c>
      <c r="Z349" s="10">
        <f t="shared" si="52"/>
        <v>0</v>
      </c>
      <c r="AA349">
        <f t="shared" si="45"/>
        <v>1</v>
      </c>
      <c r="AB349">
        <f t="shared" si="53"/>
        <v>1</v>
      </c>
      <c r="AC349">
        <f t="shared" si="46"/>
        <v>0</v>
      </c>
    </row>
    <row r="350" spans="1:29" x14ac:dyDescent="0.35">
      <c r="A350" t="s">
        <v>366</v>
      </c>
      <c r="B350" t="s">
        <v>508</v>
      </c>
      <c r="C350" t="s">
        <v>970</v>
      </c>
      <c r="D350" t="s">
        <v>2112</v>
      </c>
      <c r="E350" t="s">
        <v>1750</v>
      </c>
      <c r="F350" t="s">
        <v>1024</v>
      </c>
      <c r="G350" t="s">
        <v>1032</v>
      </c>
      <c r="H350" t="s">
        <v>1037</v>
      </c>
      <c r="I350" t="s">
        <v>1042</v>
      </c>
      <c r="J350" t="s">
        <v>1742</v>
      </c>
      <c r="K350" s="9">
        <v>45465</v>
      </c>
      <c r="L350" s="20">
        <f t="shared" si="47"/>
        <v>45444</v>
      </c>
      <c r="M350" s="10">
        <f t="shared" si="48"/>
        <v>2024</v>
      </c>
      <c r="N350" s="9">
        <v>45475</v>
      </c>
      <c r="O350" s="9" t="s">
        <v>2350</v>
      </c>
      <c r="P350" s="9" t="s">
        <v>2350</v>
      </c>
      <c r="Q350" s="26" t="str">
        <f t="shared" si="49"/>
        <v/>
      </c>
      <c r="R350" t="s">
        <v>1615</v>
      </c>
      <c r="S350" s="15">
        <v>44962</v>
      </c>
      <c r="U350" t="s">
        <v>1621</v>
      </c>
      <c r="V350" t="s">
        <v>1626</v>
      </c>
      <c r="W350" s="17">
        <v>2.6</v>
      </c>
      <c r="X350" s="10">
        <f t="shared" si="50"/>
        <v>1</v>
      </c>
      <c r="Y350" s="10">
        <f t="shared" si="51"/>
        <v>0</v>
      </c>
      <c r="Z350" s="10">
        <f t="shared" si="52"/>
        <v>0</v>
      </c>
      <c r="AA350">
        <f t="shared" si="45"/>
        <v>1</v>
      </c>
      <c r="AB350">
        <f t="shared" si="53"/>
        <v>0</v>
      </c>
      <c r="AC350">
        <f t="shared" si="46"/>
        <v>0</v>
      </c>
    </row>
    <row r="351" spans="1:29" x14ac:dyDescent="0.35">
      <c r="A351" t="s">
        <v>367</v>
      </c>
      <c r="B351" t="s">
        <v>616</v>
      </c>
      <c r="C351" t="s">
        <v>971</v>
      </c>
      <c r="D351" t="s">
        <v>2292</v>
      </c>
      <c r="E351" t="s">
        <v>2178</v>
      </c>
      <c r="F351" t="s">
        <v>1026</v>
      </c>
      <c r="G351" t="s">
        <v>1032</v>
      </c>
      <c r="H351" t="s">
        <v>1037</v>
      </c>
      <c r="I351" t="s">
        <v>1043</v>
      </c>
      <c r="J351" t="s">
        <v>1742</v>
      </c>
      <c r="K351" s="9">
        <v>45526</v>
      </c>
      <c r="L351" s="20">
        <f t="shared" si="47"/>
        <v>45505</v>
      </c>
      <c r="M351" s="10">
        <f t="shared" si="48"/>
        <v>2024</v>
      </c>
      <c r="N351" s="9" t="s">
        <v>2350</v>
      </c>
      <c r="O351" s="9" t="s">
        <v>2350</v>
      </c>
      <c r="P351" s="9" t="s">
        <v>2350</v>
      </c>
      <c r="Q351" s="26" t="str">
        <f t="shared" si="49"/>
        <v/>
      </c>
      <c r="R351" t="s">
        <v>1617</v>
      </c>
      <c r="S351" s="15">
        <v>49755</v>
      </c>
      <c r="U351" t="s">
        <v>1622</v>
      </c>
      <c r="V351" t="s">
        <v>1628</v>
      </c>
      <c r="W351" s="17">
        <v>3.8</v>
      </c>
      <c r="X351" s="10">
        <f t="shared" si="50"/>
        <v>1</v>
      </c>
      <c r="Y351" s="10">
        <f t="shared" si="51"/>
        <v>1</v>
      </c>
      <c r="Z351" s="10">
        <f t="shared" si="52"/>
        <v>0</v>
      </c>
      <c r="AA351">
        <f t="shared" si="45"/>
        <v>0</v>
      </c>
      <c r="AB351">
        <f t="shared" si="53"/>
        <v>0</v>
      </c>
      <c r="AC351">
        <f t="shared" si="46"/>
        <v>0</v>
      </c>
    </row>
    <row r="352" spans="1:29" x14ac:dyDescent="0.35">
      <c r="A352" t="s">
        <v>368</v>
      </c>
      <c r="B352" t="s">
        <v>582</v>
      </c>
      <c r="C352" t="s">
        <v>2293</v>
      </c>
      <c r="D352" t="s">
        <v>2294</v>
      </c>
      <c r="E352" t="s">
        <v>2295</v>
      </c>
      <c r="F352" t="s">
        <v>1026</v>
      </c>
      <c r="G352" t="s">
        <v>1029</v>
      </c>
      <c r="H352" t="s">
        <v>1741</v>
      </c>
      <c r="I352" t="s">
        <v>1041</v>
      </c>
      <c r="J352" t="s">
        <v>1048</v>
      </c>
      <c r="K352" s="9">
        <v>45711</v>
      </c>
      <c r="L352" s="20">
        <f t="shared" si="47"/>
        <v>45689</v>
      </c>
      <c r="M352" s="10">
        <f t="shared" si="48"/>
        <v>2025</v>
      </c>
      <c r="N352" s="9" t="s">
        <v>2350</v>
      </c>
      <c r="O352" s="9" t="s">
        <v>2350</v>
      </c>
      <c r="P352" s="9" t="s">
        <v>2350</v>
      </c>
      <c r="Q352" s="26" t="str">
        <f t="shared" si="49"/>
        <v/>
      </c>
      <c r="R352" t="s">
        <v>1616</v>
      </c>
      <c r="S352" s="15">
        <v>45314</v>
      </c>
      <c r="U352" t="s">
        <v>1625</v>
      </c>
      <c r="V352" t="s">
        <v>1627</v>
      </c>
      <c r="W352" s="17">
        <v>2.5</v>
      </c>
      <c r="X352" s="10">
        <f t="shared" si="50"/>
        <v>1</v>
      </c>
      <c r="Y352" s="10">
        <f t="shared" si="51"/>
        <v>0</v>
      </c>
      <c r="Z352" s="10">
        <f t="shared" si="52"/>
        <v>0</v>
      </c>
      <c r="AA352">
        <f t="shared" si="45"/>
        <v>0</v>
      </c>
      <c r="AB352">
        <f t="shared" si="53"/>
        <v>0</v>
      </c>
      <c r="AC352">
        <f t="shared" si="46"/>
        <v>0</v>
      </c>
    </row>
    <row r="353" spans="1:29" x14ac:dyDescent="0.35">
      <c r="A353" t="s">
        <v>369</v>
      </c>
      <c r="B353" t="s">
        <v>570</v>
      </c>
      <c r="C353" t="s">
        <v>973</v>
      </c>
      <c r="D353" t="s">
        <v>2095</v>
      </c>
      <c r="E353" t="s">
        <v>2098</v>
      </c>
      <c r="F353" t="s">
        <v>1022</v>
      </c>
      <c r="G353" t="s">
        <v>1032</v>
      </c>
      <c r="H353" t="s">
        <v>1037</v>
      </c>
      <c r="I353" t="s">
        <v>1045</v>
      </c>
      <c r="J353" t="s">
        <v>1051</v>
      </c>
      <c r="K353" s="9">
        <v>45716</v>
      </c>
      <c r="L353" s="20">
        <f t="shared" si="47"/>
        <v>45689</v>
      </c>
      <c r="M353" s="10">
        <f t="shared" si="48"/>
        <v>2025</v>
      </c>
      <c r="N353" s="9" t="s">
        <v>2350</v>
      </c>
      <c r="O353" s="9" t="s">
        <v>2350</v>
      </c>
      <c r="P353" s="9" t="s">
        <v>2350</v>
      </c>
      <c r="Q353" s="26" t="str">
        <f t="shared" si="49"/>
        <v/>
      </c>
      <c r="R353" t="s">
        <v>1616</v>
      </c>
      <c r="S353" s="15">
        <v>36630</v>
      </c>
      <c r="U353" t="s">
        <v>1625</v>
      </c>
      <c r="V353" t="s">
        <v>1626</v>
      </c>
      <c r="W353" s="17">
        <v>3.5</v>
      </c>
      <c r="X353" s="10">
        <f t="shared" si="50"/>
        <v>1</v>
      </c>
      <c r="Y353" s="10">
        <f t="shared" si="51"/>
        <v>0</v>
      </c>
      <c r="Z353" s="10">
        <f t="shared" si="52"/>
        <v>0</v>
      </c>
      <c r="AA353">
        <f t="shared" si="45"/>
        <v>0</v>
      </c>
      <c r="AB353">
        <f t="shared" si="53"/>
        <v>0</v>
      </c>
      <c r="AC353">
        <f t="shared" si="46"/>
        <v>0</v>
      </c>
    </row>
    <row r="354" spans="1:29" x14ac:dyDescent="0.35">
      <c r="A354" t="s">
        <v>370</v>
      </c>
      <c r="B354" t="s">
        <v>470</v>
      </c>
      <c r="C354" t="s">
        <v>974</v>
      </c>
      <c r="D354" t="s">
        <v>2296</v>
      </c>
      <c r="E354" t="s">
        <v>1807</v>
      </c>
      <c r="F354" t="s">
        <v>1022</v>
      </c>
      <c r="G354" t="s">
        <v>1028</v>
      </c>
      <c r="H354" t="s">
        <v>1037</v>
      </c>
      <c r="I354" t="s">
        <v>1041</v>
      </c>
      <c r="J354" t="s">
        <v>1742</v>
      </c>
      <c r="K354" s="9">
        <v>45718</v>
      </c>
      <c r="L354" s="20">
        <f t="shared" si="47"/>
        <v>45717</v>
      </c>
      <c r="M354" s="10">
        <f t="shared" si="48"/>
        <v>2025</v>
      </c>
      <c r="N354" s="9" t="s">
        <v>2350</v>
      </c>
      <c r="O354" s="9" t="s">
        <v>2350</v>
      </c>
      <c r="P354" s="9" t="s">
        <v>2350</v>
      </c>
      <c r="Q354" s="26" t="str">
        <f t="shared" si="49"/>
        <v/>
      </c>
      <c r="R354" t="s">
        <v>1619</v>
      </c>
      <c r="S354" s="15">
        <v>38487</v>
      </c>
      <c r="U354" t="s">
        <v>1621</v>
      </c>
      <c r="V354" t="s">
        <v>1628</v>
      </c>
      <c r="W354" s="17">
        <v>4.3</v>
      </c>
      <c r="X354" s="10">
        <f t="shared" si="50"/>
        <v>1</v>
      </c>
      <c r="Y354" s="10">
        <f t="shared" si="51"/>
        <v>0</v>
      </c>
      <c r="Z354" s="10">
        <f t="shared" si="52"/>
        <v>1</v>
      </c>
      <c r="AA354">
        <f t="shared" si="45"/>
        <v>0</v>
      </c>
      <c r="AB354">
        <f t="shared" si="53"/>
        <v>0</v>
      </c>
      <c r="AC354">
        <f t="shared" si="46"/>
        <v>0</v>
      </c>
    </row>
    <row r="355" spans="1:29" x14ac:dyDescent="0.35">
      <c r="A355" t="s">
        <v>371</v>
      </c>
      <c r="B355" t="s">
        <v>584</v>
      </c>
      <c r="C355" t="s">
        <v>975</v>
      </c>
      <c r="D355" t="s">
        <v>2297</v>
      </c>
      <c r="E355" t="s">
        <v>1931</v>
      </c>
      <c r="F355" t="s">
        <v>1025</v>
      </c>
      <c r="G355" t="s">
        <v>1031</v>
      </c>
      <c r="H355" t="s">
        <v>1040</v>
      </c>
      <c r="I355" t="s">
        <v>1041</v>
      </c>
      <c r="J355" t="s">
        <v>1049</v>
      </c>
      <c r="K355" s="9">
        <v>45637</v>
      </c>
      <c r="L355" s="20">
        <f t="shared" si="47"/>
        <v>45627</v>
      </c>
      <c r="M355" s="10">
        <f t="shared" si="48"/>
        <v>2024</v>
      </c>
      <c r="N355" s="9">
        <v>45655</v>
      </c>
      <c r="O355" s="9" t="s">
        <v>2350</v>
      </c>
      <c r="P355" s="9" t="s">
        <v>2350</v>
      </c>
      <c r="Q355" s="26" t="str">
        <f t="shared" si="49"/>
        <v/>
      </c>
      <c r="R355" t="s">
        <v>1615</v>
      </c>
      <c r="S355" s="15">
        <v>34222</v>
      </c>
      <c r="U355" t="s">
        <v>1622</v>
      </c>
      <c r="V355" t="s">
        <v>1626</v>
      </c>
      <c r="W355" s="17">
        <v>3.7</v>
      </c>
      <c r="X355" s="10">
        <f t="shared" si="50"/>
        <v>1</v>
      </c>
      <c r="Y355" s="10">
        <f t="shared" si="51"/>
        <v>0</v>
      </c>
      <c r="Z355" s="10">
        <f t="shared" si="52"/>
        <v>0</v>
      </c>
      <c r="AA355">
        <f t="shared" si="45"/>
        <v>1</v>
      </c>
      <c r="AB355">
        <f t="shared" si="53"/>
        <v>0</v>
      </c>
      <c r="AC355">
        <f t="shared" si="46"/>
        <v>0</v>
      </c>
    </row>
    <row r="356" spans="1:29" x14ac:dyDescent="0.35">
      <c r="A356" t="s">
        <v>372</v>
      </c>
      <c r="B356" t="s">
        <v>514</v>
      </c>
      <c r="C356" t="s">
        <v>976</v>
      </c>
      <c r="D356" t="s">
        <v>2151</v>
      </c>
      <c r="E356" t="s">
        <v>1838</v>
      </c>
      <c r="F356" t="s">
        <v>1025</v>
      </c>
      <c r="G356" t="s">
        <v>1028</v>
      </c>
      <c r="H356" t="s">
        <v>1039</v>
      </c>
      <c r="I356" t="s">
        <v>1044</v>
      </c>
      <c r="J356" t="s">
        <v>1742</v>
      </c>
      <c r="K356" s="9">
        <v>45364</v>
      </c>
      <c r="L356" s="20">
        <f t="shared" si="47"/>
        <v>45352</v>
      </c>
      <c r="M356" s="10">
        <f t="shared" si="48"/>
        <v>2024</v>
      </c>
      <c r="N356" s="9">
        <v>45393</v>
      </c>
      <c r="O356" s="9" t="s">
        <v>2350</v>
      </c>
      <c r="P356" s="9" t="s">
        <v>2350</v>
      </c>
      <c r="Q356" s="26" t="str">
        <f t="shared" si="49"/>
        <v/>
      </c>
      <c r="R356" t="s">
        <v>1615</v>
      </c>
      <c r="S356" s="15">
        <v>47075</v>
      </c>
      <c r="U356" t="s">
        <v>1621</v>
      </c>
      <c r="V356" t="s">
        <v>1628</v>
      </c>
      <c r="W356" s="17">
        <v>4.0999999999999996</v>
      </c>
      <c r="X356" s="10">
        <f t="shared" si="50"/>
        <v>1</v>
      </c>
      <c r="Y356" s="10">
        <f t="shared" si="51"/>
        <v>0</v>
      </c>
      <c r="Z356" s="10">
        <f t="shared" si="52"/>
        <v>0</v>
      </c>
      <c r="AA356">
        <f t="shared" si="45"/>
        <v>1</v>
      </c>
      <c r="AB356">
        <f t="shared" si="53"/>
        <v>0</v>
      </c>
      <c r="AC356">
        <f t="shared" si="46"/>
        <v>0</v>
      </c>
    </row>
    <row r="357" spans="1:29" x14ac:dyDescent="0.35">
      <c r="A357" t="s">
        <v>373</v>
      </c>
      <c r="B357" t="s">
        <v>617</v>
      </c>
      <c r="C357" t="s">
        <v>2298</v>
      </c>
      <c r="D357" t="s">
        <v>1623</v>
      </c>
      <c r="E357" t="s">
        <v>1852</v>
      </c>
      <c r="F357" t="s">
        <v>1023</v>
      </c>
      <c r="G357" t="s">
        <v>1032</v>
      </c>
      <c r="H357" t="s">
        <v>1039</v>
      </c>
      <c r="I357" t="s">
        <v>1044</v>
      </c>
      <c r="J357" t="s">
        <v>1049</v>
      </c>
      <c r="K357" s="9">
        <v>45748</v>
      </c>
      <c r="L357" s="20">
        <f t="shared" si="47"/>
        <v>45748</v>
      </c>
      <c r="M357" s="10">
        <f t="shared" si="48"/>
        <v>2025</v>
      </c>
      <c r="N357" s="9">
        <v>45778</v>
      </c>
      <c r="O357" s="9">
        <v>45771</v>
      </c>
      <c r="P357" s="9">
        <v>45780</v>
      </c>
      <c r="Q357" s="26">
        <f t="shared" si="49"/>
        <v>32</v>
      </c>
      <c r="R357" t="s">
        <v>1620</v>
      </c>
      <c r="S357" s="15">
        <v>43197</v>
      </c>
      <c r="T357" s="15">
        <v>45464</v>
      </c>
      <c r="U357" t="s">
        <v>1624</v>
      </c>
      <c r="V357" t="s">
        <v>1628</v>
      </c>
      <c r="W357" s="17">
        <v>3.6</v>
      </c>
      <c r="X357" s="10">
        <f t="shared" si="50"/>
        <v>1</v>
      </c>
      <c r="Y357" s="10">
        <f t="shared" si="51"/>
        <v>0</v>
      </c>
      <c r="Z357" s="10">
        <f t="shared" si="52"/>
        <v>0</v>
      </c>
      <c r="AA357">
        <f t="shared" si="45"/>
        <v>1</v>
      </c>
      <c r="AB357">
        <f t="shared" si="53"/>
        <v>0</v>
      </c>
      <c r="AC357">
        <f t="shared" si="46"/>
        <v>1</v>
      </c>
    </row>
    <row r="358" spans="1:29" x14ac:dyDescent="0.35">
      <c r="A358" t="s">
        <v>374</v>
      </c>
      <c r="B358" t="s">
        <v>463</v>
      </c>
      <c r="C358" t="s">
        <v>978</v>
      </c>
      <c r="D358" t="s">
        <v>2299</v>
      </c>
      <c r="E358" t="s">
        <v>1885</v>
      </c>
      <c r="F358" t="s">
        <v>1026</v>
      </c>
      <c r="G358" t="s">
        <v>1032</v>
      </c>
      <c r="H358" t="s">
        <v>1039</v>
      </c>
      <c r="I358" t="s">
        <v>1043</v>
      </c>
      <c r="J358" t="s">
        <v>1742</v>
      </c>
      <c r="K358" s="9">
        <v>45741</v>
      </c>
      <c r="L358" s="20">
        <f t="shared" si="47"/>
        <v>45717</v>
      </c>
      <c r="M358" s="10">
        <f t="shared" si="48"/>
        <v>2025</v>
      </c>
      <c r="N358" s="9" t="s">
        <v>2350</v>
      </c>
      <c r="O358" s="9" t="s">
        <v>2350</v>
      </c>
      <c r="P358" s="9" t="s">
        <v>2350</v>
      </c>
      <c r="Q358" s="26" t="str">
        <f t="shared" si="49"/>
        <v/>
      </c>
      <c r="R358" t="s">
        <v>1619</v>
      </c>
      <c r="S358" s="15">
        <v>37366</v>
      </c>
      <c r="U358" t="s">
        <v>1624</v>
      </c>
      <c r="V358" t="s">
        <v>1627</v>
      </c>
      <c r="W358" s="17">
        <v>3</v>
      </c>
      <c r="X358" s="10">
        <f t="shared" si="50"/>
        <v>1</v>
      </c>
      <c r="Y358" s="10">
        <f t="shared" si="51"/>
        <v>0</v>
      </c>
      <c r="Z358" s="10">
        <f t="shared" si="52"/>
        <v>1</v>
      </c>
      <c r="AA358">
        <f t="shared" si="45"/>
        <v>0</v>
      </c>
      <c r="AB358">
        <f t="shared" si="53"/>
        <v>0</v>
      </c>
      <c r="AC358">
        <f t="shared" si="46"/>
        <v>0</v>
      </c>
    </row>
    <row r="359" spans="1:29" x14ac:dyDescent="0.35">
      <c r="A359" t="s">
        <v>375</v>
      </c>
      <c r="B359" t="s">
        <v>531</v>
      </c>
      <c r="C359" t="s">
        <v>979</v>
      </c>
      <c r="D359" t="s">
        <v>1971</v>
      </c>
      <c r="E359" t="s">
        <v>1816</v>
      </c>
      <c r="F359" t="s">
        <v>1025</v>
      </c>
      <c r="G359" t="s">
        <v>1030</v>
      </c>
      <c r="H359" t="s">
        <v>1035</v>
      </c>
      <c r="I359" t="s">
        <v>1041</v>
      </c>
      <c r="J359" t="s">
        <v>1049</v>
      </c>
      <c r="K359" s="9">
        <v>45687</v>
      </c>
      <c r="L359" s="20">
        <f t="shared" si="47"/>
        <v>45658</v>
      </c>
      <c r="M359" s="10">
        <f t="shared" si="48"/>
        <v>2025</v>
      </c>
      <c r="N359" s="9">
        <v>45701</v>
      </c>
      <c r="O359" s="9" t="s">
        <v>2350</v>
      </c>
      <c r="P359" s="9" t="s">
        <v>2350</v>
      </c>
      <c r="Q359" s="26" t="str">
        <f t="shared" si="49"/>
        <v/>
      </c>
      <c r="R359" t="s">
        <v>1615</v>
      </c>
      <c r="S359" s="15">
        <v>31420</v>
      </c>
      <c r="U359" t="s">
        <v>1623</v>
      </c>
      <c r="V359" t="s">
        <v>1628</v>
      </c>
      <c r="W359" s="17">
        <v>3.5</v>
      </c>
      <c r="X359" s="10">
        <f t="shared" si="50"/>
        <v>1</v>
      </c>
      <c r="Y359" s="10">
        <f t="shared" si="51"/>
        <v>0</v>
      </c>
      <c r="Z359" s="10">
        <f t="shared" si="52"/>
        <v>0</v>
      </c>
      <c r="AA359">
        <f t="shared" si="45"/>
        <v>1</v>
      </c>
      <c r="AB359">
        <f t="shared" si="53"/>
        <v>0</v>
      </c>
      <c r="AC359">
        <f t="shared" si="46"/>
        <v>0</v>
      </c>
    </row>
    <row r="360" spans="1:29" x14ac:dyDescent="0.35">
      <c r="A360" t="s">
        <v>376</v>
      </c>
      <c r="B360" t="s">
        <v>618</v>
      </c>
      <c r="C360" t="s">
        <v>2300</v>
      </c>
      <c r="D360" t="s">
        <v>2301</v>
      </c>
      <c r="E360" t="s">
        <v>2302</v>
      </c>
      <c r="F360" t="s">
        <v>1023</v>
      </c>
      <c r="G360" t="s">
        <v>1031</v>
      </c>
      <c r="H360" t="s">
        <v>1035</v>
      </c>
      <c r="I360" t="s">
        <v>1041</v>
      </c>
      <c r="J360" t="s">
        <v>1742</v>
      </c>
      <c r="K360" s="9">
        <v>45492</v>
      </c>
      <c r="L360" s="20">
        <f t="shared" si="47"/>
        <v>45474</v>
      </c>
      <c r="M360" s="10">
        <f t="shared" si="48"/>
        <v>2024</v>
      </c>
      <c r="N360" s="9">
        <v>45511</v>
      </c>
      <c r="O360" s="9" t="s">
        <v>2350</v>
      </c>
      <c r="P360" s="9" t="s">
        <v>2350</v>
      </c>
      <c r="Q360" s="26" t="str">
        <f t="shared" si="49"/>
        <v/>
      </c>
      <c r="R360" t="s">
        <v>1615</v>
      </c>
      <c r="S360" s="15">
        <v>38348</v>
      </c>
      <c r="U360" t="s">
        <v>1622</v>
      </c>
      <c r="V360" t="s">
        <v>1628</v>
      </c>
      <c r="W360" s="17">
        <v>4.7</v>
      </c>
      <c r="X360" s="10">
        <f t="shared" si="50"/>
        <v>1</v>
      </c>
      <c r="Y360" s="10">
        <f t="shared" si="51"/>
        <v>0</v>
      </c>
      <c r="Z360" s="10">
        <f t="shared" si="52"/>
        <v>0</v>
      </c>
      <c r="AA360">
        <f t="shared" si="45"/>
        <v>1</v>
      </c>
      <c r="AB360">
        <f t="shared" si="53"/>
        <v>0</v>
      </c>
      <c r="AC360">
        <f t="shared" si="46"/>
        <v>0</v>
      </c>
    </row>
    <row r="361" spans="1:29" x14ac:dyDescent="0.35">
      <c r="A361" t="s">
        <v>377</v>
      </c>
      <c r="B361" t="s">
        <v>611</v>
      </c>
      <c r="C361" t="s">
        <v>981</v>
      </c>
      <c r="D361" t="s">
        <v>1844</v>
      </c>
      <c r="E361" t="s">
        <v>2230</v>
      </c>
      <c r="F361" t="s">
        <v>1023</v>
      </c>
      <c r="G361" t="s">
        <v>1031</v>
      </c>
      <c r="H361" t="s">
        <v>1741</v>
      </c>
      <c r="I361" t="s">
        <v>1044</v>
      </c>
      <c r="J361" t="s">
        <v>1050</v>
      </c>
      <c r="K361" s="9">
        <v>45773</v>
      </c>
      <c r="L361" s="20">
        <f t="shared" si="47"/>
        <v>45748</v>
      </c>
      <c r="M361" s="10">
        <f t="shared" si="48"/>
        <v>2025</v>
      </c>
      <c r="N361" s="9" t="s">
        <v>2350</v>
      </c>
      <c r="O361" s="9" t="s">
        <v>2350</v>
      </c>
      <c r="P361" s="9" t="s">
        <v>2350</v>
      </c>
      <c r="Q361" s="26" t="str">
        <f t="shared" si="49"/>
        <v/>
      </c>
      <c r="R361" t="s">
        <v>1619</v>
      </c>
      <c r="S361" s="15">
        <v>38245</v>
      </c>
      <c r="U361" t="s">
        <v>1625</v>
      </c>
      <c r="V361" t="s">
        <v>1626</v>
      </c>
      <c r="W361" s="17">
        <v>2.9</v>
      </c>
      <c r="X361" s="10">
        <f t="shared" si="50"/>
        <v>1</v>
      </c>
      <c r="Y361" s="10">
        <f t="shared" si="51"/>
        <v>0</v>
      </c>
      <c r="Z361" s="10">
        <f t="shared" si="52"/>
        <v>1</v>
      </c>
      <c r="AA361">
        <f t="shared" si="45"/>
        <v>0</v>
      </c>
      <c r="AB361">
        <f t="shared" si="53"/>
        <v>0</v>
      </c>
      <c r="AC361">
        <f t="shared" si="46"/>
        <v>0</v>
      </c>
    </row>
    <row r="362" spans="1:29" x14ac:dyDescent="0.35">
      <c r="A362" t="s">
        <v>378</v>
      </c>
      <c r="B362" t="s">
        <v>487</v>
      </c>
      <c r="C362" t="s">
        <v>2303</v>
      </c>
      <c r="D362" t="s">
        <v>2304</v>
      </c>
      <c r="E362" t="s">
        <v>2076</v>
      </c>
      <c r="F362" t="s">
        <v>1024</v>
      </c>
      <c r="G362" t="s">
        <v>1030</v>
      </c>
      <c r="H362" t="s">
        <v>1034</v>
      </c>
      <c r="I362" t="s">
        <v>1044</v>
      </c>
      <c r="J362" t="s">
        <v>1742</v>
      </c>
      <c r="K362" s="9">
        <v>45593</v>
      </c>
      <c r="L362" s="20">
        <f t="shared" si="47"/>
        <v>45566</v>
      </c>
      <c r="M362" s="10">
        <f t="shared" si="48"/>
        <v>2024</v>
      </c>
      <c r="N362" s="9">
        <v>45622</v>
      </c>
      <c r="O362" s="9">
        <v>45635</v>
      </c>
      <c r="P362" s="9" t="s">
        <v>2350</v>
      </c>
      <c r="Q362" s="26" t="str">
        <f t="shared" si="49"/>
        <v/>
      </c>
      <c r="R362" t="s">
        <v>1618</v>
      </c>
      <c r="S362" s="15">
        <v>33643</v>
      </c>
      <c r="T362" s="15">
        <v>37376</v>
      </c>
      <c r="U362" t="s">
        <v>1622</v>
      </c>
      <c r="V362" t="s">
        <v>1628</v>
      </c>
      <c r="W362" s="17">
        <v>2.2999999999999998</v>
      </c>
      <c r="X362" s="10">
        <f t="shared" si="50"/>
        <v>1</v>
      </c>
      <c r="Y362" s="10">
        <f t="shared" si="51"/>
        <v>0</v>
      </c>
      <c r="Z362" s="10">
        <f t="shared" si="52"/>
        <v>0</v>
      </c>
      <c r="AA362">
        <f t="shared" si="45"/>
        <v>1</v>
      </c>
      <c r="AB362">
        <f t="shared" si="53"/>
        <v>1</v>
      </c>
      <c r="AC362">
        <f t="shared" si="46"/>
        <v>0</v>
      </c>
    </row>
    <row r="363" spans="1:29" x14ac:dyDescent="0.35">
      <c r="A363" t="s">
        <v>379</v>
      </c>
      <c r="B363" t="s">
        <v>437</v>
      </c>
      <c r="C363" t="s">
        <v>2305</v>
      </c>
      <c r="D363" t="s">
        <v>1808</v>
      </c>
      <c r="E363" t="s">
        <v>2051</v>
      </c>
      <c r="F363" t="s">
        <v>1023</v>
      </c>
      <c r="G363" t="s">
        <v>1028</v>
      </c>
      <c r="H363" t="s">
        <v>1040</v>
      </c>
      <c r="I363" t="s">
        <v>1042</v>
      </c>
      <c r="J363" t="s">
        <v>1742</v>
      </c>
      <c r="K363" s="9">
        <v>45754</v>
      </c>
      <c r="L363" s="20">
        <f t="shared" si="47"/>
        <v>45748</v>
      </c>
      <c r="M363" s="10">
        <f t="shared" si="48"/>
        <v>2025</v>
      </c>
      <c r="N363" s="9" t="s">
        <v>2350</v>
      </c>
      <c r="O363" s="9" t="s">
        <v>2350</v>
      </c>
      <c r="P363" s="9" t="s">
        <v>2350</v>
      </c>
      <c r="Q363" s="26" t="str">
        <f t="shared" si="49"/>
        <v/>
      </c>
      <c r="R363" t="s">
        <v>1619</v>
      </c>
      <c r="S363" s="15">
        <v>50808</v>
      </c>
      <c r="U363" t="s">
        <v>1622</v>
      </c>
      <c r="V363" t="s">
        <v>1627</v>
      </c>
      <c r="W363" s="17">
        <v>4.2</v>
      </c>
      <c r="X363" s="10">
        <f t="shared" si="50"/>
        <v>1</v>
      </c>
      <c r="Y363" s="10">
        <f t="shared" si="51"/>
        <v>0</v>
      </c>
      <c r="Z363" s="10">
        <f t="shared" si="52"/>
        <v>1</v>
      </c>
      <c r="AA363">
        <f t="shared" si="45"/>
        <v>0</v>
      </c>
      <c r="AB363">
        <f t="shared" si="53"/>
        <v>0</v>
      </c>
      <c r="AC363">
        <f t="shared" si="46"/>
        <v>0</v>
      </c>
    </row>
    <row r="364" spans="1:29" x14ac:dyDescent="0.35">
      <c r="A364" t="s">
        <v>380</v>
      </c>
      <c r="B364" t="s">
        <v>504</v>
      </c>
      <c r="C364" t="s">
        <v>2306</v>
      </c>
      <c r="D364" t="s">
        <v>2307</v>
      </c>
      <c r="E364" t="s">
        <v>1999</v>
      </c>
      <c r="F364" t="s">
        <v>1025</v>
      </c>
      <c r="G364" t="s">
        <v>1031</v>
      </c>
      <c r="H364" t="s">
        <v>1036</v>
      </c>
      <c r="I364" t="s">
        <v>1044</v>
      </c>
      <c r="J364" t="s">
        <v>1048</v>
      </c>
      <c r="K364" s="9">
        <v>45311</v>
      </c>
      <c r="L364" s="20">
        <f t="shared" si="47"/>
        <v>45292</v>
      </c>
      <c r="M364" s="10">
        <f t="shared" si="48"/>
        <v>2024</v>
      </c>
      <c r="N364" s="9" t="s">
        <v>2350</v>
      </c>
      <c r="O364" s="9" t="s">
        <v>2350</v>
      </c>
      <c r="P364" s="9" t="s">
        <v>2350</v>
      </c>
      <c r="Q364" s="26" t="str">
        <f t="shared" si="49"/>
        <v/>
      </c>
      <c r="R364" t="s">
        <v>1617</v>
      </c>
      <c r="S364" s="15">
        <v>44698</v>
      </c>
      <c r="U364" t="s">
        <v>1621</v>
      </c>
      <c r="V364" t="s">
        <v>1626</v>
      </c>
      <c r="X364" s="10">
        <f t="shared" si="50"/>
        <v>1</v>
      </c>
      <c r="Y364" s="10">
        <f t="shared" si="51"/>
        <v>1</v>
      </c>
      <c r="Z364" s="10">
        <f t="shared" si="52"/>
        <v>0</v>
      </c>
      <c r="AA364">
        <f t="shared" si="45"/>
        <v>0</v>
      </c>
      <c r="AB364">
        <f t="shared" si="53"/>
        <v>0</v>
      </c>
      <c r="AC364">
        <f t="shared" si="46"/>
        <v>0</v>
      </c>
    </row>
    <row r="365" spans="1:29" x14ac:dyDescent="0.35">
      <c r="A365" t="s">
        <v>381</v>
      </c>
      <c r="B365" t="s">
        <v>525</v>
      </c>
      <c r="C365" t="s">
        <v>985</v>
      </c>
      <c r="D365" t="s">
        <v>2251</v>
      </c>
      <c r="E365" t="s">
        <v>1933</v>
      </c>
      <c r="F365" t="s">
        <v>1025</v>
      </c>
      <c r="G365" t="s">
        <v>1032</v>
      </c>
      <c r="H365" t="s">
        <v>1741</v>
      </c>
      <c r="I365" t="s">
        <v>1044</v>
      </c>
      <c r="J365" t="s">
        <v>1048</v>
      </c>
      <c r="K365" s="9">
        <v>45730</v>
      </c>
      <c r="L365" s="20">
        <f t="shared" si="47"/>
        <v>45717</v>
      </c>
      <c r="M365" s="10">
        <f t="shared" si="48"/>
        <v>2025</v>
      </c>
      <c r="N365" s="9">
        <v>45739</v>
      </c>
      <c r="O365" s="9" t="s">
        <v>2350</v>
      </c>
      <c r="P365" s="9" t="s">
        <v>2350</v>
      </c>
      <c r="Q365" s="26" t="str">
        <f t="shared" si="49"/>
        <v/>
      </c>
      <c r="R365" t="s">
        <v>1615</v>
      </c>
      <c r="S365" s="15">
        <v>40908</v>
      </c>
      <c r="U365" t="s">
        <v>1623</v>
      </c>
      <c r="V365" t="s">
        <v>1626</v>
      </c>
      <c r="W365" s="17">
        <v>4.3</v>
      </c>
      <c r="X365" s="10">
        <f t="shared" si="50"/>
        <v>1</v>
      </c>
      <c r="Y365" s="10">
        <f t="shared" si="51"/>
        <v>0</v>
      </c>
      <c r="Z365" s="10">
        <f t="shared" si="52"/>
        <v>0</v>
      </c>
      <c r="AA365">
        <f t="shared" si="45"/>
        <v>1</v>
      </c>
      <c r="AB365">
        <f t="shared" si="53"/>
        <v>0</v>
      </c>
      <c r="AC365">
        <f t="shared" si="46"/>
        <v>0</v>
      </c>
    </row>
    <row r="366" spans="1:29" x14ac:dyDescent="0.35">
      <c r="A366" t="s">
        <v>382</v>
      </c>
      <c r="B366" t="s">
        <v>471</v>
      </c>
      <c r="C366" t="s">
        <v>2308</v>
      </c>
      <c r="D366" t="s">
        <v>2309</v>
      </c>
      <c r="E366" t="s">
        <v>1760</v>
      </c>
      <c r="F366" t="s">
        <v>1026</v>
      </c>
      <c r="G366" t="s">
        <v>1032</v>
      </c>
      <c r="H366" t="s">
        <v>1039</v>
      </c>
      <c r="I366" t="s">
        <v>1045</v>
      </c>
      <c r="J366" t="s">
        <v>1742</v>
      </c>
      <c r="K366" s="9">
        <v>45365</v>
      </c>
      <c r="L366" s="20">
        <f t="shared" si="47"/>
        <v>45352</v>
      </c>
      <c r="M366" s="10">
        <f t="shared" si="48"/>
        <v>2024</v>
      </c>
      <c r="N366" s="9" t="s">
        <v>2350</v>
      </c>
      <c r="O366" s="9" t="s">
        <v>2350</v>
      </c>
      <c r="P366" s="9" t="s">
        <v>2350</v>
      </c>
      <c r="Q366" s="26" t="str">
        <f t="shared" si="49"/>
        <v/>
      </c>
      <c r="R366" t="s">
        <v>1619</v>
      </c>
      <c r="S366" s="15">
        <v>33027</v>
      </c>
      <c r="U366" t="s">
        <v>1622</v>
      </c>
      <c r="V366" t="s">
        <v>1627</v>
      </c>
      <c r="W366" s="17">
        <v>2.9</v>
      </c>
      <c r="X366" s="10">
        <f t="shared" si="50"/>
        <v>1</v>
      </c>
      <c r="Y366" s="10">
        <f t="shared" si="51"/>
        <v>0</v>
      </c>
      <c r="Z366" s="10">
        <f t="shared" si="52"/>
        <v>1</v>
      </c>
      <c r="AA366">
        <f t="shared" si="45"/>
        <v>0</v>
      </c>
      <c r="AB366">
        <f t="shared" si="53"/>
        <v>0</v>
      </c>
      <c r="AC366">
        <f t="shared" si="46"/>
        <v>0</v>
      </c>
    </row>
    <row r="367" spans="1:29" x14ac:dyDescent="0.35">
      <c r="A367" t="s">
        <v>383</v>
      </c>
      <c r="B367" t="s">
        <v>495</v>
      </c>
      <c r="C367" t="s">
        <v>2310</v>
      </c>
      <c r="D367" t="s">
        <v>1991</v>
      </c>
      <c r="E367" t="s">
        <v>2311</v>
      </c>
      <c r="F367" t="s">
        <v>1023</v>
      </c>
      <c r="G367" t="s">
        <v>1028</v>
      </c>
      <c r="H367" t="s">
        <v>1040</v>
      </c>
      <c r="I367" t="s">
        <v>1045</v>
      </c>
      <c r="J367" t="s">
        <v>1048</v>
      </c>
      <c r="K367" s="9">
        <v>45315</v>
      </c>
      <c r="L367" s="20">
        <f t="shared" si="47"/>
        <v>45292</v>
      </c>
      <c r="M367" s="10">
        <f t="shared" si="48"/>
        <v>2024</v>
      </c>
      <c r="N367" s="9">
        <v>45339</v>
      </c>
      <c r="O367" s="9" t="s">
        <v>2350</v>
      </c>
      <c r="P367" s="9" t="s">
        <v>2350</v>
      </c>
      <c r="Q367" s="26" t="str">
        <f t="shared" si="49"/>
        <v/>
      </c>
      <c r="R367" t="s">
        <v>1615</v>
      </c>
      <c r="S367" s="15">
        <v>37706</v>
      </c>
      <c r="U367" t="s">
        <v>1625</v>
      </c>
      <c r="V367" t="s">
        <v>1628</v>
      </c>
      <c r="W367" s="17">
        <v>3.4</v>
      </c>
      <c r="X367" s="10">
        <f t="shared" si="50"/>
        <v>1</v>
      </c>
      <c r="Y367" s="10">
        <f t="shared" si="51"/>
        <v>0</v>
      </c>
      <c r="Z367" s="10">
        <f t="shared" si="52"/>
        <v>0</v>
      </c>
      <c r="AA367">
        <f t="shared" si="45"/>
        <v>1</v>
      </c>
      <c r="AB367">
        <f t="shared" si="53"/>
        <v>0</v>
      </c>
      <c r="AC367">
        <f t="shared" si="46"/>
        <v>0</v>
      </c>
    </row>
    <row r="368" spans="1:29" x14ac:dyDescent="0.35">
      <c r="A368" t="s">
        <v>384</v>
      </c>
      <c r="B368" t="s">
        <v>470</v>
      </c>
      <c r="C368" t="s">
        <v>988</v>
      </c>
      <c r="D368" t="s">
        <v>2312</v>
      </c>
      <c r="E368" t="s">
        <v>2073</v>
      </c>
      <c r="F368" t="s">
        <v>1023</v>
      </c>
      <c r="G368" t="s">
        <v>1031</v>
      </c>
      <c r="H368" t="s">
        <v>1039</v>
      </c>
      <c r="I368" t="s">
        <v>1042</v>
      </c>
      <c r="J368" t="s">
        <v>1742</v>
      </c>
      <c r="K368" s="9">
        <v>45782</v>
      </c>
      <c r="L368" s="20">
        <f t="shared" si="47"/>
        <v>45778</v>
      </c>
      <c r="M368" s="10">
        <f t="shared" si="48"/>
        <v>2025</v>
      </c>
      <c r="N368" s="9" t="s">
        <v>2350</v>
      </c>
      <c r="O368" s="9" t="s">
        <v>2350</v>
      </c>
      <c r="P368" s="9" t="s">
        <v>2350</v>
      </c>
      <c r="Q368" s="26" t="str">
        <f t="shared" si="49"/>
        <v/>
      </c>
      <c r="R368" t="s">
        <v>1619</v>
      </c>
      <c r="S368" s="15">
        <v>38124</v>
      </c>
      <c r="U368" t="s">
        <v>1624</v>
      </c>
      <c r="V368" t="s">
        <v>1626</v>
      </c>
      <c r="W368" s="17">
        <v>3.9</v>
      </c>
      <c r="X368" s="10">
        <f t="shared" si="50"/>
        <v>1</v>
      </c>
      <c r="Y368" s="10">
        <f t="shared" si="51"/>
        <v>0</v>
      </c>
      <c r="Z368" s="10">
        <f t="shared" si="52"/>
        <v>1</v>
      </c>
      <c r="AA368">
        <f t="shared" si="45"/>
        <v>0</v>
      </c>
      <c r="AB368">
        <f t="shared" si="53"/>
        <v>0</v>
      </c>
      <c r="AC368">
        <f t="shared" si="46"/>
        <v>0</v>
      </c>
    </row>
    <row r="369" spans="1:29" x14ac:dyDescent="0.35">
      <c r="A369" t="s">
        <v>385</v>
      </c>
      <c r="B369" t="s">
        <v>572</v>
      </c>
      <c r="C369" t="s">
        <v>2313</v>
      </c>
      <c r="D369" t="s">
        <v>2314</v>
      </c>
      <c r="E369" t="s">
        <v>2051</v>
      </c>
      <c r="F369" t="s">
        <v>1025</v>
      </c>
      <c r="G369" t="s">
        <v>1030</v>
      </c>
      <c r="H369" t="s">
        <v>1741</v>
      </c>
      <c r="I369" t="s">
        <v>1045</v>
      </c>
      <c r="J369" t="s">
        <v>1051</v>
      </c>
      <c r="K369" s="9">
        <v>45684</v>
      </c>
      <c r="L369" s="20">
        <f t="shared" si="47"/>
        <v>45658</v>
      </c>
      <c r="M369" s="10">
        <f t="shared" si="48"/>
        <v>2025</v>
      </c>
      <c r="N369" s="9">
        <v>45699</v>
      </c>
      <c r="O369" s="9">
        <v>45720</v>
      </c>
      <c r="P369" s="9" t="s">
        <v>2350</v>
      </c>
      <c r="Q369" s="26" t="str">
        <f t="shared" si="49"/>
        <v/>
      </c>
      <c r="R369" t="s">
        <v>1618</v>
      </c>
      <c r="S369" s="15">
        <v>49760</v>
      </c>
      <c r="T369" s="15">
        <v>48432</v>
      </c>
      <c r="U369" t="s">
        <v>1622</v>
      </c>
      <c r="V369" t="s">
        <v>1628</v>
      </c>
      <c r="W369" s="17">
        <v>4.0999999999999996</v>
      </c>
      <c r="X369" s="10">
        <f t="shared" si="50"/>
        <v>1</v>
      </c>
      <c r="Y369" s="10">
        <f t="shared" si="51"/>
        <v>0</v>
      </c>
      <c r="Z369" s="10">
        <f t="shared" si="52"/>
        <v>0</v>
      </c>
      <c r="AA369">
        <f t="shared" si="45"/>
        <v>1</v>
      </c>
      <c r="AB369">
        <f t="shared" si="53"/>
        <v>1</v>
      </c>
      <c r="AC369">
        <f t="shared" si="46"/>
        <v>0</v>
      </c>
    </row>
    <row r="370" spans="1:29" x14ac:dyDescent="0.35">
      <c r="A370" t="s">
        <v>386</v>
      </c>
      <c r="B370" t="s">
        <v>619</v>
      </c>
      <c r="C370" t="s">
        <v>2315</v>
      </c>
      <c r="D370" t="s">
        <v>2316</v>
      </c>
      <c r="E370" t="s">
        <v>2178</v>
      </c>
      <c r="F370" t="s">
        <v>1027</v>
      </c>
      <c r="G370" t="s">
        <v>1030</v>
      </c>
      <c r="H370" t="s">
        <v>1037</v>
      </c>
      <c r="I370" t="s">
        <v>1043</v>
      </c>
      <c r="J370" t="s">
        <v>1048</v>
      </c>
      <c r="K370" s="9">
        <v>45668</v>
      </c>
      <c r="L370" s="20">
        <f t="shared" si="47"/>
        <v>45658</v>
      </c>
      <c r="M370" s="10">
        <f t="shared" si="48"/>
        <v>2025</v>
      </c>
      <c r="N370" s="9" t="s">
        <v>2350</v>
      </c>
      <c r="O370" s="9" t="s">
        <v>2350</v>
      </c>
      <c r="P370" s="9" t="s">
        <v>2350</v>
      </c>
      <c r="Q370" s="26" t="str">
        <f t="shared" si="49"/>
        <v/>
      </c>
      <c r="R370" t="s">
        <v>1617</v>
      </c>
      <c r="S370" s="15">
        <v>49678</v>
      </c>
      <c r="U370" t="s">
        <v>1622</v>
      </c>
      <c r="V370" t="s">
        <v>1626</v>
      </c>
      <c r="W370" s="17">
        <v>2.2999999999999998</v>
      </c>
      <c r="X370" s="10">
        <f t="shared" si="50"/>
        <v>1</v>
      </c>
      <c r="Y370" s="10">
        <f t="shared" si="51"/>
        <v>1</v>
      </c>
      <c r="Z370" s="10">
        <f t="shared" si="52"/>
        <v>0</v>
      </c>
      <c r="AA370">
        <f t="shared" si="45"/>
        <v>0</v>
      </c>
      <c r="AB370">
        <f t="shared" si="53"/>
        <v>0</v>
      </c>
      <c r="AC370">
        <f t="shared" si="46"/>
        <v>0</v>
      </c>
    </row>
    <row r="371" spans="1:29" x14ac:dyDescent="0.35">
      <c r="A371" t="s">
        <v>387</v>
      </c>
      <c r="B371" t="s">
        <v>457</v>
      </c>
      <c r="C371" t="s">
        <v>991</v>
      </c>
      <c r="D371" t="s">
        <v>1879</v>
      </c>
      <c r="E371" t="s">
        <v>2317</v>
      </c>
      <c r="F371" t="s">
        <v>1025</v>
      </c>
      <c r="G371" t="s">
        <v>1029</v>
      </c>
      <c r="H371" t="s">
        <v>1034</v>
      </c>
      <c r="I371" t="s">
        <v>1042</v>
      </c>
      <c r="J371" t="s">
        <v>1051</v>
      </c>
      <c r="K371" s="9">
        <v>45750</v>
      </c>
      <c r="L371" s="20">
        <f t="shared" si="47"/>
        <v>45748</v>
      </c>
      <c r="M371" s="10">
        <f t="shared" si="48"/>
        <v>2025</v>
      </c>
      <c r="N371" s="9" t="s">
        <v>2350</v>
      </c>
      <c r="O371" s="9" t="s">
        <v>2350</v>
      </c>
      <c r="P371" s="9" t="s">
        <v>2350</v>
      </c>
      <c r="Q371" s="26" t="str">
        <f t="shared" si="49"/>
        <v/>
      </c>
      <c r="R371" t="s">
        <v>1616</v>
      </c>
      <c r="S371" s="15">
        <v>39335</v>
      </c>
      <c r="U371" t="s">
        <v>1621</v>
      </c>
      <c r="V371" t="s">
        <v>1628</v>
      </c>
      <c r="W371" s="17">
        <v>3</v>
      </c>
      <c r="X371" s="10">
        <f t="shared" si="50"/>
        <v>1</v>
      </c>
      <c r="Y371" s="10">
        <f t="shared" si="51"/>
        <v>0</v>
      </c>
      <c r="Z371" s="10">
        <f t="shared" si="52"/>
        <v>0</v>
      </c>
      <c r="AA371">
        <f t="shared" si="45"/>
        <v>0</v>
      </c>
      <c r="AB371">
        <f t="shared" si="53"/>
        <v>0</v>
      </c>
      <c r="AC371">
        <f t="shared" si="46"/>
        <v>0</v>
      </c>
    </row>
    <row r="372" spans="1:29" x14ac:dyDescent="0.35">
      <c r="A372" t="s">
        <v>388</v>
      </c>
      <c r="B372" t="s">
        <v>453</v>
      </c>
      <c r="C372" t="s">
        <v>992</v>
      </c>
      <c r="D372" t="s">
        <v>1793</v>
      </c>
      <c r="E372" t="s">
        <v>2198</v>
      </c>
      <c r="F372" t="s">
        <v>1022</v>
      </c>
      <c r="G372" t="s">
        <v>1028</v>
      </c>
      <c r="H372" t="s">
        <v>1034</v>
      </c>
      <c r="I372" t="s">
        <v>1043</v>
      </c>
      <c r="J372" t="s">
        <v>1050</v>
      </c>
      <c r="K372" s="9">
        <v>45308</v>
      </c>
      <c r="L372" s="20">
        <f t="shared" si="47"/>
        <v>45292</v>
      </c>
      <c r="M372" s="10">
        <f t="shared" si="48"/>
        <v>2024</v>
      </c>
      <c r="N372" s="9" t="s">
        <v>2350</v>
      </c>
      <c r="O372" s="9" t="s">
        <v>2350</v>
      </c>
      <c r="P372" s="9" t="s">
        <v>2350</v>
      </c>
      <c r="Q372" s="26" t="str">
        <f t="shared" si="49"/>
        <v/>
      </c>
      <c r="R372" t="s">
        <v>1616</v>
      </c>
      <c r="S372" s="15">
        <v>39558</v>
      </c>
      <c r="U372" t="s">
        <v>1622</v>
      </c>
      <c r="V372" t="s">
        <v>1628</v>
      </c>
      <c r="W372" s="17">
        <v>3.2</v>
      </c>
      <c r="X372" s="10">
        <f t="shared" si="50"/>
        <v>1</v>
      </c>
      <c r="Y372" s="10">
        <f t="shared" si="51"/>
        <v>0</v>
      </c>
      <c r="Z372" s="10">
        <f t="shared" si="52"/>
        <v>0</v>
      </c>
      <c r="AA372">
        <f t="shared" si="45"/>
        <v>0</v>
      </c>
      <c r="AB372">
        <f t="shared" si="53"/>
        <v>0</v>
      </c>
      <c r="AC372">
        <f t="shared" si="46"/>
        <v>0</v>
      </c>
    </row>
    <row r="373" spans="1:29" x14ac:dyDescent="0.35">
      <c r="A373" t="s">
        <v>389</v>
      </c>
      <c r="B373" t="s">
        <v>528</v>
      </c>
      <c r="C373" t="s">
        <v>2318</v>
      </c>
      <c r="D373" t="s">
        <v>2319</v>
      </c>
      <c r="E373" t="s">
        <v>1756</v>
      </c>
      <c r="F373" t="s">
        <v>1023</v>
      </c>
      <c r="G373" t="s">
        <v>1031</v>
      </c>
      <c r="H373" t="s">
        <v>1037</v>
      </c>
      <c r="I373" t="s">
        <v>1045</v>
      </c>
      <c r="J373" t="s">
        <v>1049</v>
      </c>
      <c r="K373" s="9">
        <v>45552</v>
      </c>
      <c r="L373" s="20">
        <f t="shared" si="47"/>
        <v>45536</v>
      </c>
      <c r="M373" s="10">
        <f t="shared" si="48"/>
        <v>2024</v>
      </c>
      <c r="N373" s="9">
        <v>45569</v>
      </c>
      <c r="O373" s="9" t="s">
        <v>2350</v>
      </c>
      <c r="P373" s="9" t="s">
        <v>2350</v>
      </c>
      <c r="Q373" s="26" t="str">
        <f t="shared" si="49"/>
        <v/>
      </c>
      <c r="R373" t="s">
        <v>1615</v>
      </c>
      <c r="S373" s="15">
        <v>51076</v>
      </c>
      <c r="U373" t="s">
        <v>1622</v>
      </c>
      <c r="V373" t="s">
        <v>1627</v>
      </c>
      <c r="W373" s="17">
        <v>3.2</v>
      </c>
      <c r="X373" s="10">
        <f t="shared" si="50"/>
        <v>1</v>
      </c>
      <c r="Y373" s="10">
        <f t="shared" si="51"/>
        <v>0</v>
      </c>
      <c r="Z373" s="10">
        <f t="shared" si="52"/>
        <v>0</v>
      </c>
      <c r="AA373">
        <f t="shared" si="45"/>
        <v>1</v>
      </c>
      <c r="AB373">
        <f t="shared" si="53"/>
        <v>0</v>
      </c>
      <c r="AC373">
        <f t="shared" si="46"/>
        <v>0</v>
      </c>
    </row>
    <row r="374" spans="1:29" x14ac:dyDescent="0.35">
      <c r="A374" t="s">
        <v>390</v>
      </c>
      <c r="B374" t="s">
        <v>465</v>
      </c>
      <c r="C374" t="s">
        <v>994</v>
      </c>
      <c r="D374" t="s">
        <v>1790</v>
      </c>
      <c r="E374" t="s">
        <v>2320</v>
      </c>
      <c r="F374" t="s">
        <v>1024</v>
      </c>
      <c r="G374" t="s">
        <v>1031</v>
      </c>
      <c r="H374" t="s">
        <v>1040</v>
      </c>
      <c r="I374" t="s">
        <v>1045</v>
      </c>
      <c r="J374" t="s">
        <v>1050</v>
      </c>
      <c r="K374" s="9">
        <v>45680</v>
      </c>
      <c r="L374" s="20">
        <f t="shared" si="47"/>
        <v>45658</v>
      </c>
      <c r="M374" s="10">
        <f t="shared" si="48"/>
        <v>2025</v>
      </c>
      <c r="N374" s="9">
        <v>45706</v>
      </c>
      <c r="O374" s="9" t="s">
        <v>2350</v>
      </c>
      <c r="P374" s="9" t="s">
        <v>2350</v>
      </c>
      <c r="Q374" s="26" t="str">
        <f t="shared" si="49"/>
        <v/>
      </c>
      <c r="R374" t="s">
        <v>1615</v>
      </c>
      <c r="S374" s="15">
        <v>39249</v>
      </c>
      <c r="U374" t="s">
        <v>1621</v>
      </c>
      <c r="V374" t="s">
        <v>1626</v>
      </c>
      <c r="W374" s="17">
        <v>3.1</v>
      </c>
      <c r="X374" s="10">
        <f t="shared" si="50"/>
        <v>1</v>
      </c>
      <c r="Y374" s="10">
        <f t="shared" si="51"/>
        <v>0</v>
      </c>
      <c r="Z374" s="10">
        <f t="shared" si="52"/>
        <v>0</v>
      </c>
      <c r="AA374">
        <f t="shared" si="45"/>
        <v>1</v>
      </c>
      <c r="AB374">
        <f t="shared" si="53"/>
        <v>0</v>
      </c>
      <c r="AC374">
        <f t="shared" si="46"/>
        <v>0</v>
      </c>
    </row>
    <row r="375" spans="1:29" x14ac:dyDescent="0.35">
      <c r="A375" t="s">
        <v>391</v>
      </c>
      <c r="B375" t="s">
        <v>576</v>
      </c>
      <c r="C375" t="s">
        <v>995</v>
      </c>
      <c r="D375" t="s">
        <v>2321</v>
      </c>
      <c r="E375" t="s">
        <v>2322</v>
      </c>
      <c r="F375" t="s">
        <v>1025</v>
      </c>
      <c r="G375" t="s">
        <v>1028</v>
      </c>
      <c r="H375" t="s">
        <v>1036</v>
      </c>
      <c r="I375" t="s">
        <v>1043</v>
      </c>
      <c r="J375" t="s">
        <v>1051</v>
      </c>
      <c r="K375" s="9">
        <v>45405</v>
      </c>
      <c r="L375" s="20">
        <f t="shared" si="47"/>
        <v>45383</v>
      </c>
      <c r="M375" s="10">
        <f t="shared" si="48"/>
        <v>2024</v>
      </c>
      <c r="N375" s="9" t="s">
        <v>2350</v>
      </c>
      <c r="O375" s="9" t="s">
        <v>2350</v>
      </c>
      <c r="P375" s="9" t="s">
        <v>2350</v>
      </c>
      <c r="Q375" s="26" t="str">
        <f t="shared" si="49"/>
        <v/>
      </c>
      <c r="R375" t="s">
        <v>1619</v>
      </c>
      <c r="S375" s="15">
        <v>38760</v>
      </c>
      <c r="U375" t="s">
        <v>1621</v>
      </c>
      <c r="V375" t="s">
        <v>1627</v>
      </c>
      <c r="W375" s="17">
        <v>4.7</v>
      </c>
      <c r="X375" s="10">
        <f t="shared" si="50"/>
        <v>1</v>
      </c>
      <c r="Y375" s="10">
        <f t="shared" si="51"/>
        <v>0</v>
      </c>
      <c r="Z375" s="10">
        <f t="shared" si="52"/>
        <v>1</v>
      </c>
      <c r="AA375">
        <f t="shared" si="45"/>
        <v>0</v>
      </c>
      <c r="AB375">
        <f t="shared" si="53"/>
        <v>0</v>
      </c>
      <c r="AC375">
        <f t="shared" si="46"/>
        <v>0</v>
      </c>
    </row>
    <row r="376" spans="1:29" x14ac:dyDescent="0.35">
      <c r="A376" t="s">
        <v>392</v>
      </c>
      <c r="B376" t="s">
        <v>555</v>
      </c>
      <c r="C376" t="s">
        <v>2323</v>
      </c>
      <c r="D376" t="s">
        <v>2003</v>
      </c>
      <c r="E376" t="s">
        <v>2324</v>
      </c>
      <c r="F376" t="s">
        <v>1022</v>
      </c>
      <c r="G376" t="s">
        <v>1029</v>
      </c>
      <c r="H376" t="s">
        <v>1034</v>
      </c>
      <c r="I376" t="s">
        <v>1043</v>
      </c>
      <c r="J376" t="s">
        <v>1049</v>
      </c>
      <c r="K376" s="9">
        <v>45718</v>
      </c>
      <c r="L376" s="20">
        <f t="shared" si="47"/>
        <v>45717</v>
      </c>
      <c r="M376" s="10">
        <f t="shared" si="48"/>
        <v>2025</v>
      </c>
      <c r="N376" s="9" t="s">
        <v>2350</v>
      </c>
      <c r="O376" s="9" t="s">
        <v>2350</v>
      </c>
      <c r="P376" s="9" t="s">
        <v>2350</v>
      </c>
      <c r="Q376" s="26" t="str">
        <f t="shared" si="49"/>
        <v/>
      </c>
      <c r="R376" t="s">
        <v>1616</v>
      </c>
      <c r="S376" s="15">
        <v>49934</v>
      </c>
      <c r="U376" t="s">
        <v>1624</v>
      </c>
      <c r="V376" t="s">
        <v>1628</v>
      </c>
      <c r="W376" s="17">
        <v>3.9</v>
      </c>
      <c r="X376" s="10">
        <f t="shared" si="50"/>
        <v>1</v>
      </c>
      <c r="Y376" s="10">
        <f t="shared" si="51"/>
        <v>0</v>
      </c>
      <c r="Z376" s="10">
        <f t="shared" si="52"/>
        <v>0</v>
      </c>
      <c r="AA376">
        <f t="shared" si="45"/>
        <v>0</v>
      </c>
      <c r="AB376">
        <f t="shared" si="53"/>
        <v>0</v>
      </c>
      <c r="AC376">
        <f t="shared" si="46"/>
        <v>0</v>
      </c>
    </row>
    <row r="377" spans="1:29" x14ac:dyDescent="0.35">
      <c r="A377" t="s">
        <v>393</v>
      </c>
      <c r="B377" t="s">
        <v>481</v>
      </c>
      <c r="C377" t="s">
        <v>2325</v>
      </c>
      <c r="D377" t="s">
        <v>1743</v>
      </c>
      <c r="E377" t="s">
        <v>2326</v>
      </c>
      <c r="F377" t="s">
        <v>1024</v>
      </c>
      <c r="G377" t="s">
        <v>1031</v>
      </c>
      <c r="H377" t="s">
        <v>1037</v>
      </c>
      <c r="I377" t="s">
        <v>1043</v>
      </c>
      <c r="J377" t="s">
        <v>1742</v>
      </c>
      <c r="K377" s="9">
        <v>45420</v>
      </c>
      <c r="L377" s="20">
        <f t="shared" si="47"/>
        <v>45413</v>
      </c>
      <c r="M377" s="10">
        <f t="shared" si="48"/>
        <v>2024</v>
      </c>
      <c r="N377" s="9" t="s">
        <v>2350</v>
      </c>
      <c r="O377" s="9" t="s">
        <v>2350</v>
      </c>
      <c r="P377" s="9" t="s">
        <v>2350</v>
      </c>
      <c r="Q377" s="26" t="str">
        <f t="shared" si="49"/>
        <v/>
      </c>
      <c r="R377" t="s">
        <v>1616</v>
      </c>
      <c r="S377" s="15">
        <v>38101</v>
      </c>
      <c r="U377" t="s">
        <v>1621</v>
      </c>
      <c r="V377" t="s">
        <v>1626</v>
      </c>
      <c r="W377" s="17">
        <v>4.7</v>
      </c>
      <c r="X377" s="10">
        <f t="shared" si="50"/>
        <v>1</v>
      </c>
      <c r="Y377" s="10">
        <f t="shared" si="51"/>
        <v>0</v>
      </c>
      <c r="Z377" s="10">
        <f t="shared" si="52"/>
        <v>0</v>
      </c>
      <c r="AA377">
        <f t="shared" si="45"/>
        <v>0</v>
      </c>
      <c r="AB377">
        <f t="shared" si="53"/>
        <v>0</v>
      </c>
      <c r="AC377">
        <f t="shared" si="46"/>
        <v>0</v>
      </c>
    </row>
    <row r="378" spans="1:29" x14ac:dyDescent="0.35">
      <c r="A378" t="s">
        <v>394</v>
      </c>
      <c r="B378" t="s">
        <v>531</v>
      </c>
      <c r="C378" t="s">
        <v>2327</v>
      </c>
      <c r="D378" t="s">
        <v>2282</v>
      </c>
      <c r="E378" t="s">
        <v>2259</v>
      </c>
      <c r="F378" t="s">
        <v>1026</v>
      </c>
      <c r="G378" t="s">
        <v>1031</v>
      </c>
      <c r="H378" t="s">
        <v>1741</v>
      </c>
      <c r="I378" t="s">
        <v>1043</v>
      </c>
      <c r="J378" t="s">
        <v>1049</v>
      </c>
      <c r="K378" s="9">
        <v>45613</v>
      </c>
      <c r="L378" s="20">
        <f t="shared" si="47"/>
        <v>45597</v>
      </c>
      <c r="M378" s="10">
        <f t="shared" si="48"/>
        <v>2024</v>
      </c>
      <c r="N378" s="9" t="s">
        <v>2350</v>
      </c>
      <c r="O378" s="9" t="s">
        <v>2350</v>
      </c>
      <c r="P378" s="9" t="s">
        <v>2350</v>
      </c>
      <c r="Q378" s="26" t="str">
        <f t="shared" si="49"/>
        <v/>
      </c>
      <c r="R378" t="s">
        <v>1616</v>
      </c>
      <c r="S378" s="15">
        <v>41825</v>
      </c>
      <c r="U378" t="s">
        <v>1624</v>
      </c>
      <c r="V378" t="s">
        <v>1628</v>
      </c>
      <c r="W378" s="17">
        <v>4.0999999999999996</v>
      </c>
      <c r="X378" s="10">
        <f t="shared" si="50"/>
        <v>1</v>
      </c>
      <c r="Y378" s="10">
        <f t="shared" si="51"/>
        <v>0</v>
      </c>
      <c r="Z378" s="10">
        <f t="shared" si="52"/>
        <v>0</v>
      </c>
      <c r="AA378">
        <f t="shared" si="45"/>
        <v>0</v>
      </c>
      <c r="AB378">
        <f t="shared" si="53"/>
        <v>0</v>
      </c>
      <c r="AC378">
        <f t="shared" si="46"/>
        <v>0</v>
      </c>
    </row>
    <row r="379" spans="1:29" x14ac:dyDescent="0.35">
      <c r="A379" t="s">
        <v>395</v>
      </c>
      <c r="B379" t="s">
        <v>430</v>
      </c>
      <c r="C379" t="s">
        <v>999</v>
      </c>
      <c r="D379" t="s">
        <v>2128</v>
      </c>
      <c r="E379" t="s">
        <v>2290</v>
      </c>
      <c r="F379" t="s">
        <v>1025</v>
      </c>
      <c r="G379" t="s">
        <v>1029</v>
      </c>
      <c r="H379" t="s">
        <v>1039</v>
      </c>
      <c r="I379" t="s">
        <v>1043</v>
      </c>
      <c r="J379" t="s">
        <v>1742</v>
      </c>
      <c r="K379" s="9">
        <v>45779</v>
      </c>
      <c r="L379" s="20">
        <f t="shared" si="47"/>
        <v>45778</v>
      </c>
      <c r="M379" s="10">
        <f t="shared" si="48"/>
        <v>2025</v>
      </c>
      <c r="N379" s="9">
        <v>45791</v>
      </c>
      <c r="O379" s="9">
        <v>45813</v>
      </c>
      <c r="P379" s="9" t="s">
        <v>2350</v>
      </c>
      <c r="Q379" s="26" t="str">
        <f t="shared" si="49"/>
        <v/>
      </c>
      <c r="R379" t="s">
        <v>1618</v>
      </c>
      <c r="S379" s="15">
        <v>39300</v>
      </c>
      <c r="T379" s="15">
        <v>37750</v>
      </c>
      <c r="U379" t="s">
        <v>1621</v>
      </c>
      <c r="V379" t="s">
        <v>1626</v>
      </c>
      <c r="W379" s="17">
        <v>4.3</v>
      </c>
      <c r="X379" s="10">
        <f t="shared" si="50"/>
        <v>1</v>
      </c>
      <c r="Y379" s="10">
        <f t="shared" si="51"/>
        <v>0</v>
      </c>
      <c r="Z379" s="10">
        <f t="shared" si="52"/>
        <v>0</v>
      </c>
      <c r="AA379">
        <f t="shared" si="45"/>
        <v>1</v>
      </c>
      <c r="AB379">
        <f t="shared" si="53"/>
        <v>1</v>
      </c>
      <c r="AC379">
        <f t="shared" si="46"/>
        <v>0</v>
      </c>
    </row>
    <row r="380" spans="1:29" x14ac:dyDescent="0.35">
      <c r="A380" t="s">
        <v>396</v>
      </c>
      <c r="B380" t="s">
        <v>476</v>
      </c>
      <c r="C380" t="s">
        <v>1000</v>
      </c>
      <c r="D380" t="s">
        <v>1903</v>
      </c>
      <c r="E380" t="s">
        <v>1915</v>
      </c>
      <c r="F380" t="s">
        <v>1025</v>
      </c>
      <c r="G380" t="s">
        <v>1031</v>
      </c>
      <c r="H380" t="s">
        <v>1039</v>
      </c>
      <c r="I380" t="s">
        <v>1044</v>
      </c>
      <c r="J380" t="s">
        <v>1048</v>
      </c>
      <c r="K380" s="9">
        <v>45791</v>
      </c>
      <c r="L380" s="20">
        <f t="shared" si="47"/>
        <v>45778</v>
      </c>
      <c r="M380" s="10">
        <f t="shared" si="48"/>
        <v>2025</v>
      </c>
      <c r="N380" s="9" t="s">
        <v>2350</v>
      </c>
      <c r="O380" s="9" t="s">
        <v>2350</v>
      </c>
      <c r="P380" s="9" t="s">
        <v>2350</v>
      </c>
      <c r="Q380" s="26" t="str">
        <f t="shared" si="49"/>
        <v/>
      </c>
      <c r="R380" t="s">
        <v>1616</v>
      </c>
      <c r="S380" s="15">
        <v>40589</v>
      </c>
      <c r="U380" t="s">
        <v>1622</v>
      </c>
      <c r="V380" t="s">
        <v>1628</v>
      </c>
      <c r="W380" s="17">
        <v>3</v>
      </c>
      <c r="X380" s="10">
        <f t="shared" si="50"/>
        <v>1</v>
      </c>
      <c r="Y380" s="10">
        <f t="shared" si="51"/>
        <v>0</v>
      </c>
      <c r="Z380" s="10">
        <f t="shared" si="52"/>
        <v>0</v>
      </c>
      <c r="AA380">
        <f t="shared" si="45"/>
        <v>0</v>
      </c>
      <c r="AB380">
        <f t="shared" si="53"/>
        <v>0</v>
      </c>
      <c r="AC380">
        <f t="shared" si="46"/>
        <v>0</v>
      </c>
    </row>
    <row r="381" spans="1:29" x14ac:dyDescent="0.35">
      <c r="A381" t="s">
        <v>397</v>
      </c>
      <c r="B381" t="s">
        <v>528</v>
      </c>
      <c r="C381" t="s">
        <v>1001</v>
      </c>
      <c r="D381" t="s">
        <v>1888</v>
      </c>
      <c r="E381" t="s">
        <v>2328</v>
      </c>
      <c r="F381" t="s">
        <v>1026</v>
      </c>
      <c r="G381" t="s">
        <v>1031</v>
      </c>
      <c r="H381" t="s">
        <v>1039</v>
      </c>
      <c r="I381" t="s">
        <v>1044</v>
      </c>
      <c r="J381" t="s">
        <v>1051</v>
      </c>
      <c r="K381" s="9">
        <v>45517</v>
      </c>
      <c r="L381" s="20">
        <f t="shared" si="47"/>
        <v>45505</v>
      </c>
      <c r="M381" s="10">
        <f t="shared" si="48"/>
        <v>2024</v>
      </c>
      <c r="N381" s="9">
        <v>45538</v>
      </c>
      <c r="O381" s="9">
        <v>45550</v>
      </c>
      <c r="P381" s="9">
        <v>45560</v>
      </c>
      <c r="Q381" s="26">
        <f t="shared" si="49"/>
        <v>43</v>
      </c>
      <c r="R381" t="s">
        <v>1620</v>
      </c>
      <c r="S381" s="15">
        <v>41693</v>
      </c>
      <c r="T381" s="15">
        <v>39094</v>
      </c>
      <c r="U381" t="s">
        <v>1621</v>
      </c>
      <c r="V381" t="s">
        <v>1627</v>
      </c>
      <c r="X381" s="10">
        <f t="shared" si="50"/>
        <v>1</v>
      </c>
      <c r="Y381" s="10">
        <f t="shared" si="51"/>
        <v>0</v>
      </c>
      <c r="Z381" s="10">
        <f t="shared" si="52"/>
        <v>0</v>
      </c>
      <c r="AA381">
        <f t="shared" si="45"/>
        <v>1</v>
      </c>
      <c r="AB381">
        <f t="shared" si="53"/>
        <v>0</v>
      </c>
      <c r="AC381">
        <f t="shared" si="46"/>
        <v>1</v>
      </c>
    </row>
    <row r="382" spans="1:29" x14ac:dyDescent="0.35">
      <c r="A382" t="s">
        <v>398</v>
      </c>
      <c r="B382" t="s">
        <v>550</v>
      </c>
      <c r="C382" t="s">
        <v>2329</v>
      </c>
      <c r="D382" t="s">
        <v>2330</v>
      </c>
      <c r="E382" t="s">
        <v>1904</v>
      </c>
      <c r="F382" t="s">
        <v>1024</v>
      </c>
      <c r="G382" t="s">
        <v>1031</v>
      </c>
      <c r="H382" t="s">
        <v>1036</v>
      </c>
      <c r="I382" t="s">
        <v>1044</v>
      </c>
      <c r="J382" t="s">
        <v>1742</v>
      </c>
      <c r="K382" s="9">
        <v>45561</v>
      </c>
      <c r="L382" s="20">
        <f t="shared" si="47"/>
        <v>45536</v>
      </c>
      <c r="M382" s="10">
        <f t="shared" si="48"/>
        <v>2024</v>
      </c>
      <c r="N382" s="9">
        <v>45590</v>
      </c>
      <c r="O382" s="9" t="s">
        <v>2350</v>
      </c>
      <c r="P382" s="9" t="s">
        <v>2350</v>
      </c>
      <c r="Q382" s="26" t="str">
        <f t="shared" si="49"/>
        <v/>
      </c>
      <c r="R382" t="s">
        <v>1615</v>
      </c>
      <c r="S382" s="15">
        <v>42462</v>
      </c>
      <c r="U382" t="s">
        <v>1623</v>
      </c>
      <c r="V382" t="s">
        <v>1627</v>
      </c>
      <c r="W382" s="17">
        <v>4.0999999999999996</v>
      </c>
      <c r="X382" s="10">
        <f t="shared" si="50"/>
        <v>1</v>
      </c>
      <c r="Y382" s="10">
        <f t="shared" si="51"/>
        <v>0</v>
      </c>
      <c r="Z382" s="10">
        <f t="shared" si="52"/>
        <v>0</v>
      </c>
      <c r="AA382">
        <f t="shared" si="45"/>
        <v>1</v>
      </c>
      <c r="AB382">
        <f t="shared" si="53"/>
        <v>0</v>
      </c>
      <c r="AC382">
        <f t="shared" si="46"/>
        <v>0</v>
      </c>
    </row>
    <row r="383" spans="1:29" x14ac:dyDescent="0.35">
      <c r="A383" t="s">
        <v>399</v>
      </c>
      <c r="B383" t="s">
        <v>449</v>
      </c>
      <c r="C383" t="s">
        <v>2331</v>
      </c>
      <c r="D383" t="s">
        <v>1781</v>
      </c>
      <c r="E383" t="s">
        <v>2052</v>
      </c>
      <c r="F383" t="s">
        <v>1023</v>
      </c>
      <c r="G383" t="s">
        <v>1031</v>
      </c>
      <c r="H383" t="s">
        <v>1034</v>
      </c>
      <c r="I383" t="s">
        <v>1043</v>
      </c>
      <c r="J383" t="s">
        <v>1050</v>
      </c>
      <c r="K383" s="9">
        <v>45457</v>
      </c>
      <c r="L383" s="20">
        <f t="shared" si="47"/>
        <v>45444</v>
      </c>
      <c r="M383" s="10">
        <f t="shared" si="48"/>
        <v>2024</v>
      </c>
      <c r="N383" s="9" t="s">
        <v>2350</v>
      </c>
      <c r="O383" s="9" t="s">
        <v>2350</v>
      </c>
      <c r="P383" s="9" t="s">
        <v>2350</v>
      </c>
      <c r="Q383" s="26" t="str">
        <f t="shared" si="49"/>
        <v/>
      </c>
      <c r="R383" t="s">
        <v>1617</v>
      </c>
      <c r="S383" s="15">
        <v>43240</v>
      </c>
      <c r="U383" t="s">
        <v>1624</v>
      </c>
      <c r="V383" t="s">
        <v>1626</v>
      </c>
      <c r="W383" s="17">
        <v>4.4000000000000004</v>
      </c>
      <c r="X383" s="10">
        <f t="shared" si="50"/>
        <v>1</v>
      </c>
      <c r="Y383" s="10">
        <f t="shared" si="51"/>
        <v>1</v>
      </c>
      <c r="Z383" s="10">
        <f t="shared" si="52"/>
        <v>0</v>
      </c>
      <c r="AA383">
        <f t="shared" si="45"/>
        <v>0</v>
      </c>
      <c r="AB383">
        <f t="shared" si="53"/>
        <v>0</v>
      </c>
      <c r="AC383">
        <f t="shared" si="46"/>
        <v>0</v>
      </c>
    </row>
    <row r="384" spans="1:29" x14ac:dyDescent="0.35">
      <c r="A384" t="s">
        <v>400</v>
      </c>
      <c r="B384" t="s">
        <v>513</v>
      </c>
      <c r="C384" t="s">
        <v>2332</v>
      </c>
      <c r="D384" t="s">
        <v>1815</v>
      </c>
      <c r="E384" t="s">
        <v>1915</v>
      </c>
      <c r="F384" t="s">
        <v>1022</v>
      </c>
      <c r="G384" t="s">
        <v>1029</v>
      </c>
      <c r="H384" t="s">
        <v>1037</v>
      </c>
      <c r="I384" t="s">
        <v>1044</v>
      </c>
      <c r="J384" t="s">
        <v>1742</v>
      </c>
      <c r="K384" s="9">
        <v>45672</v>
      </c>
      <c r="L384" s="20">
        <f t="shared" si="47"/>
        <v>45658</v>
      </c>
      <c r="M384" s="10">
        <f t="shared" si="48"/>
        <v>2025</v>
      </c>
      <c r="N384" s="9">
        <v>45687</v>
      </c>
      <c r="O384" s="9" t="s">
        <v>2350</v>
      </c>
      <c r="P384" s="9" t="s">
        <v>2350</v>
      </c>
      <c r="Q384" s="26" t="str">
        <f t="shared" si="49"/>
        <v/>
      </c>
      <c r="R384" t="s">
        <v>1615</v>
      </c>
      <c r="S384" s="15">
        <v>38048</v>
      </c>
      <c r="U384" t="s">
        <v>1622</v>
      </c>
      <c r="V384" t="s">
        <v>1628</v>
      </c>
      <c r="W384" s="17">
        <v>2.1</v>
      </c>
      <c r="X384" s="10">
        <f t="shared" si="50"/>
        <v>1</v>
      </c>
      <c r="Y384" s="10">
        <f t="shared" si="51"/>
        <v>0</v>
      </c>
      <c r="Z384" s="10">
        <f t="shared" si="52"/>
        <v>0</v>
      </c>
      <c r="AA384">
        <f t="shared" si="45"/>
        <v>1</v>
      </c>
      <c r="AB384">
        <f t="shared" si="53"/>
        <v>0</v>
      </c>
      <c r="AC384">
        <f t="shared" si="46"/>
        <v>0</v>
      </c>
    </row>
    <row r="385" spans="1:29" x14ac:dyDescent="0.35">
      <c r="A385" t="s">
        <v>401</v>
      </c>
      <c r="B385" t="s">
        <v>541</v>
      </c>
      <c r="C385" t="s">
        <v>2333</v>
      </c>
      <c r="D385" t="s">
        <v>1955</v>
      </c>
      <c r="E385" t="s">
        <v>2334</v>
      </c>
      <c r="F385" t="s">
        <v>1027</v>
      </c>
      <c r="G385" t="s">
        <v>1032</v>
      </c>
      <c r="H385" t="s">
        <v>1741</v>
      </c>
      <c r="I385" t="s">
        <v>1042</v>
      </c>
      <c r="J385" t="s">
        <v>1050</v>
      </c>
      <c r="K385" s="9">
        <v>45615</v>
      </c>
      <c r="L385" s="20">
        <f t="shared" si="47"/>
        <v>45597</v>
      </c>
      <c r="M385" s="10">
        <f t="shared" si="48"/>
        <v>2024</v>
      </c>
      <c r="N385" s="9">
        <v>45645</v>
      </c>
      <c r="O385" s="9">
        <v>45641</v>
      </c>
      <c r="P385" s="9">
        <v>45666</v>
      </c>
      <c r="Q385" s="26">
        <f t="shared" si="49"/>
        <v>51</v>
      </c>
      <c r="R385" t="s">
        <v>1620</v>
      </c>
      <c r="S385" s="15">
        <v>36086</v>
      </c>
      <c r="T385" s="15">
        <v>36532</v>
      </c>
      <c r="U385" t="s">
        <v>1622</v>
      </c>
      <c r="V385" t="s">
        <v>1626</v>
      </c>
      <c r="X385" s="10">
        <f t="shared" si="50"/>
        <v>1</v>
      </c>
      <c r="Y385" s="10">
        <f t="shared" si="51"/>
        <v>0</v>
      </c>
      <c r="Z385" s="10">
        <f t="shared" si="52"/>
        <v>0</v>
      </c>
      <c r="AA385">
        <f t="shared" si="45"/>
        <v>1</v>
      </c>
      <c r="AB385">
        <f t="shared" si="53"/>
        <v>0</v>
      </c>
      <c r="AC385">
        <f t="shared" si="46"/>
        <v>1</v>
      </c>
    </row>
    <row r="386" spans="1:29" x14ac:dyDescent="0.35">
      <c r="A386" t="s">
        <v>402</v>
      </c>
      <c r="B386" t="s">
        <v>619</v>
      </c>
      <c r="C386" t="s">
        <v>1006</v>
      </c>
      <c r="D386" t="s">
        <v>2060</v>
      </c>
      <c r="E386" t="s">
        <v>2335</v>
      </c>
      <c r="F386" t="s">
        <v>1024</v>
      </c>
      <c r="G386" t="s">
        <v>1030</v>
      </c>
      <c r="H386" t="s">
        <v>1034</v>
      </c>
      <c r="I386" t="s">
        <v>1041</v>
      </c>
      <c r="J386" t="s">
        <v>1051</v>
      </c>
      <c r="K386" s="9">
        <v>45316</v>
      </c>
      <c r="L386" s="20">
        <f t="shared" si="47"/>
        <v>45292</v>
      </c>
      <c r="M386" s="10">
        <f t="shared" si="48"/>
        <v>2024</v>
      </c>
      <c r="N386" s="9">
        <v>45332</v>
      </c>
      <c r="O386" s="9" t="s">
        <v>2350</v>
      </c>
      <c r="P386" s="9" t="s">
        <v>2350</v>
      </c>
      <c r="Q386" s="26" t="str">
        <f t="shared" si="49"/>
        <v/>
      </c>
      <c r="R386" t="s">
        <v>1615</v>
      </c>
      <c r="S386" s="15">
        <v>45771</v>
      </c>
      <c r="U386" t="s">
        <v>1621</v>
      </c>
      <c r="V386" t="s">
        <v>1626</v>
      </c>
      <c r="W386" s="17">
        <v>3.1</v>
      </c>
      <c r="X386" s="10">
        <f t="shared" si="50"/>
        <v>1</v>
      </c>
      <c r="Y386" s="10">
        <f t="shared" si="51"/>
        <v>0</v>
      </c>
      <c r="Z386" s="10">
        <f t="shared" si="52"/>
        <v>0</v>
      </c>
      <c r="AA386">
        <f t="shared" ref="AA386:AA401" si="54">IF(OR(R386="Interviewed",R386="offered",R386="hired"),1,0)</f>
        <v>1</v>
      </c>
      <c r="AB386">
        <f t="shared" si="53"/>
        <v>0</v>
      </c>
      <c r="AC386">
        <f t="shared" ref="AC386:AC401" si="55">IF(R386="hired", 1, 0)</f>
        <v>0</v>
      </c>
    </row>
    <row r="387" spans="1:29" x14ac:dyDescent="0.35">
      <c r="A387" t="s">
        <v>403</v>
      </c>
      <c r="B387" t="s">
        <v>620</v>
      </c>
      <c r="C387" t="s">
        <v>1007</v>
      </c>
      <c r="D387" t="s">
        <v>2044</v>
      </c>
      <c r="E387" t="s">
        <v>1992</v>
      </c>
      <c r="F387" t="s">
        <v>1025</v>
      </c>
      <c r="G387" t="s">
        <v>1028</v>
      </c>
      <c r="H387" t="s">
        <v>1040</v>
      </c>
      <c r="I387" t="s">
        <v>1045</v>
      </c>
      <c r="J387" t="s">
        <v>1742</v>
      </c>
      <c r="K387" s="9">
        <v>45316</v>
      </c>
      <c r="L387" s="20">
        <f t="shared" ref="L387:L401" si="56">DATE(YEAR(K387), MONTH(K387), 1)</f>
        <v>45292</v>
      </c>
      <c r="M387" s="10">
        <f t="shared" ref="M387:M401" si="57">YEAR(K387)</f>
        <v>2024</v>
      </c>
      <c r="N387" s="9" t="s">
        <v>2350</v>
      </c>
      <c r="O387" s="9" t="s">
        <v>2350</v>
      </c>
      <c r="P387" s="9" t="s">
        <v>2350</v>
      </c>
      <c r="Q387" s="26" t="str">
        <f t="shared" ref="Q387:Q401" si="58">IF(OR(P387="", K387=""),"", P387-K387)</f>
        <v/>
      </c>
      <c r="R387" t="s">
        <v>1619</v>
      </c>
      <c r="S387" s="15">
        <v>44639</v>
      </c>
      <c r="U387" t="s">
        <v>1623</v>
      </c>
      <c r="V387" t="s">
        <v>1626</v>
      </c>
      <c r="X387" s="10">
        <f t="shared" ref="X387:X401" si="59">IF(R387=" ",0,1)</f>
        <v>1</v>
      </c>
      <c r="Y387" s="10">
        <f t="shared" ref="Y387:Y401" si="60">IF(R387="Withdrawn",1,0)</f>
        <v>0</v>
      </c>
      <c r="Z387" s="10">
        <f t="shared" ref="Z387:Z401" si="61">IF(R387=$R$6,1,0)</f>
        <v>1</v>
      </c>
      <c r="AA387">
        <f t="shared" si="54"/>
        <v>0</v>
      </c>
      <c r="AB387">
        <f t="shared" ref="AB387:AB401" si="62">IF(R387=$R$5,1,0)</f>
        <v>0</v>
      </c>
      <c r="AC387">
        <f t="shared" si="55"/>
        <v>0</v>
      </c>
    </row>
    <row r="388" spans="1:29" x14ac:dyDescent="0.35">
      <c r="A388" t="s">
        <v>404</v>
      </c>
      <c r="B388" t="s">
        <v>439</v>
      </c>
      <c r="C388" t="s">
        <v>1008</v>
      </c>
      <c r="D388" t="s">
        <v>2336</v>
      </c>
      <c r="E388" t="s">
        <v>2122</v>
      </c>
      <c r="F388" t="s">
        <v>1024</v>
      </c>
      <c r="G388" t="s">
        <v>1030</v>
      </c>
      <c r="H388" t="s">
        <v>1035</v>
      </c>
      <c r="I388" t="s">
        <v>1043</v>
      </c>
      <c r="J388" t="s">
        <v>1050</v>
      </c>
      <c r="K388" s="9">
        <v>45575</v>
      </c>
      <c r="L388" s="20">
        <f t="shared" si="56"/>
        <v>45566</v>
      </c>
      <c r="M388" s="10">
        <f t="shared" si="57"/>
        <v>2024</v>
      </c>
      <c r="N388" s="9">
        <v>45587</v>
      </c>
      <c r="O388" s="9">
        <v>45614</v>
      </c>
      <c r="P388" s="9" t="s">
        <v>2350</v>
      </c>
      <c r="Q388" s="26" t="str">
        <f t="shared" si="58"/>
        <v/>
      </c>
      <c r="R388" t="s">
        <v>1618</v>
      </c>
      <c r="S388" s="15">
        <v>43007</v>
      </c>
      <c r="T388" s="15">
        <v>45383</v>
      </c>
      <c r="U388" t="s">
        <v>1621</v>
      </c>
      <c r="V388" t="s">
        <v>1626</v>
      </c>
      <c r="W388" s="17">
        <v>3.9</v>
      </c>
      <c r="X388" s="10">
        <f t="shared" si="59"/>
        <v>1</v>
      </c>
      <c r="Y388" s="10">
        <f t="shared" si="60"/>
        <v>0</v>
      </c>
      <c r="Z388" s="10">
        <f t="shared" si="61"/>
        <v>0</v>
      </c>
      <c r="AA388">
        <f t="shared" si="54"/>
        <v>1</v>
      </c>
      <c r="AB388">
        <f t="shared" si="62"/>
        <v>1</v>
      </c>
      <c r="AC388">
        <f t="shared" si="55"/>
        <v>0</v>
      </c>
    </row>
    <row r="389" spans="1:29" x14ac:dyDescent="0.35">
      <c r="A389" t="s">
        <v>405</v>
      </c>
      <c r="B389" t="s">
        <v>621</v>
      </c>
      <c r="C389" t="s">
        <v>2337</v>
      </c>
      <c r="D389" t="s">
        <v>2252</v>
      </c>
      <c r="E389" t="s">
        <v>2338</v>
      </c>
      <c r="F389" t="s">
        <v>1027</v>
      </c>
      <c r="G389" t="s">
        <v>1028</v>
      </c>
      <c r="H389" t="s">
        <v>1034</v>
      </c>
      <c r="I389" t="s">
        <v>1045</v>
      </c>
      <c r="J389" t="s">
        <v>1051</v>
      </c>
      <c r="K389" s="9">
        <v>45583</v>
      </c>
      <c r="L389" s="20">
        <f t="shared" si="56"/>
        <v>45566</v>
      </c>
      <c r="M389" s="10">
        <f t="shared" si="57"/>
        <v>2024</v>
      </c>
      <c r="N389" s="9">
        <v>45612</v>
      </c>
      <c r="O389" s="9">
        <v>45618</v>
      </c>
      <c r="P389" s="9">
        <v>45658</v>
      </c>
      <c r="Q389" s="26">
        <f t="shared" si="58"/>
        <v>75</v>
      </c>
      <c r="R389" t="s">
        <v>1620</v>
      </c>
      <c r="S389" s="15">
        <v>31928</v>
      </c>
      <c r="T389" s="15">
        <v>35549</v>
      </c>
      <c r="U389" t="s">
        <v>1623</v>
      </c>
      <c r="V389" t="s">
        <v>1626</v>
      </c>
      <c r="W389" s="17">
        <v>3.2</v>
      </c>
      <c r="X389" s="10">
        <f t="shared" si="59"/>
        <v>1</v>
      </c>
      <c r="Y389" s="10">
        <f t="shared" si="60"/>
        <v>0</v>
      </c>
      <c r="Z389" s="10">
        <f t="shared" si="61"/>
        <v>0</v>
      </c>
      <c r="AA389">
        <f t="shared" si="54"/>
        <v>1</v>
      </c>
      <c r="AB389">
        <f t="shared" si="62"/>
        <v>0</v>
      </c>
      <c r="AC389">
        <f t="shared" si="55"/>
        <v>1</v>
      </c>
    </row>
    <row r="390" spans="1:29" x14ac:dyDescent="0.35">
      <c r="A390" t="s">
        <v>406</v>
      </c>
      <c r="B390" t="s">
        <v>549</v>
      </c>
      <c r="C390" t="s">
        <v>2339</v>
      </c>
      <c r="D390" t="s">
        <v>1799</v>
      </c>
      <c r="E390" t="s">
        <v>2338</v>
      </c>
      <c r="F390" t="s">
        <v>1022</v>
      </c>
      <c r="G390" t="s">
        <v>1032</v>
      </c>
      <c r="H390" t="s">
        <v>1037</v>
      </c>
      <c r="I390" t="s">
        <v>1044</v>
      </c>
      <c r="J390" t="s">
        <v>1742</v>
      </c>
      <c r="K390" s="9">
        <v>45716</v>
      </c>
      <c r="L390" s="20">
        <f t="shared" si="56"/>
        <v>45689</v>
      </c>
      <c r="M390" s="10">
        <f t="shared" si="57"/>
        <v>2025</v>
      </c>
      <c r="N390" s="9" t="s">
        <v>2350</v>
      </c>
      <c r="O390" s="9" t="s">
        <v>2350</v>
      </c>
      <c r="P390" s="9" t="s">
        <v>2350</v>
      </c>
      <c r="Q390" s="26" t="str">
        <f t="shared" si="58"/>
        <v/>
      </c>
      <c r="R390" t="s">
        <v>1619</v>
      </c>
      <c r="S390" s="15">
        <v>48244</v>
      </c>
      <c r="U390" t="s">
        <v>1622</v>
      </c>
      <c r="V390" t="s">
        <v>1626</v>
      </c>
      <c r="W390" s="17">
        <v>4.7</v>
      </c>
      <c r="X390" s="10">
        <f t="shared" si="59"/>
        <v>1</v>
      </c>
      <c r="Y390" s="10">
        <f t="shared" si="60"/>
        <v>0</v>
      </c>
      <c r="Z390" s="10">
        <f t="shared" si="61"/>
        <v>1</v>
      </c>
      <c r="AA390">
        <f t="shared" si="54"/>
        <v>0</v>
      </c>
      <c r="AB390">
        <f t="shared" si="62"/>
        <v>0</v>
      </c>
      <c r="AC390">
        <f t="shared" si="55"/>
        <v>0</v>
      </c>
    </row>
    <row r="391" spans="1:29" x14ac:dyDescent="0.35">
      <c r="A391" t="s">
        <v>407</v>
      </c>
      <c r="B391" t="s">
        <v>593</v>
      </c>
      <c r="C391" t="s">
        <v>1011</v>
      </c>
      <c r="D391" t="s">
        <v>2340</v>
      </c>
      <c r="E391" t="s">
        <v>1994</v>
      </c>
      <c r="F391" t="s">
        <v>1027</v>
      </c>
      <c r="G391" t="s">
        <v>1031</v>
      </c>
      <c r="H391" t="s">
        <v>1035</v>
      </c>
      <c r="I391" t="s">
        <v>1041</v>
      </c>
      <c r="J391" t="s">
        <v>1742</v>
      </c>
      <c r="K391" s="9">
        <v>45721</v>
      </c>
      <c r="L391" s="20">
        <f t="shared" si="56"/>
        <v>45717</v>
      </c>
      <c r="M391" s="10">
        <f t="shared" si="57"/>
        <v>2025</v>
      </c>
      <c r="N391" s="9">
        <v>45731</v>
      </c>
      <c r="O391" s="9" t="s">
        <v>2350</v>
      </c>
      <c r="P391" s="9" t="s">
        <v>2350</v>
      </c>
      <c r="Q391" s="26" t="str">
        <f t="shared" si="58"/>
        <v/>
      </c>
      <c r="R391" t="s">
        <v>1615</v>
      </c>
      <c r="S391" s="15">
        <v>49686</v>
      </c>
      <c r="U391" t="s">
        <v>1625</v>
      </c>
      <c r="V391" t="s">
        <v>1627</v>
      </c>
      <c r="W391" s="17">
        <v>3.8</v>
      </c>
      <c r="X391" s="10">
        <f t="shared" si="59"/>
        <v>1</v>
      </c>
      <c r="Y391" s="10">
        <f t="shared" si="60"/>
        <v>0</v>
      </c>
      <c r="Z391" s="10">
        <f t="shared" si="61"/>
        <v>0</v>
      </c>
      <c r="AA391">
        <f t="shared" si="54"/>
        <v>1</v>
      </c>
      <c r="AB391">
        <f t="shared" si="62"/>
        <v>0</v>
      </c>
      <c r="AC391">
        <f t="shared" si="55"/>
        <v>0</v>
      </c>
    </row>
    <row r="392" spans="1:29" x14ac:dyDescent="0.35">
      <c r="A392" t="s">
        <v>408</v>
      </c>
      <c r="B392" t="s">
        <v>593</v>
      </c>
      <c r="C392" t="s">
        <v>2341</v>
      </c>
      <c r="D392" t="s">
        <v>2044</v>
      </c>
      <c r="E392" t="s">
        <v>1833</v>
      </c>
      <c r="F392" t="s">
        <v>1022</v>
      </c>
      <c r="G392" t="s">
        <v>1029</v>
      </c>
      <c r="H392" t="s">
        <v>1036</v>
      </c>
      <c r="I392" t="s">
        <v>1043</v>
      </c>
      <c r="J392" t="s">
        <v>1742</v>
      </c>
      <c r="K392" s="9">
        <v>45591</v>
      </c>
      <c r="L392" s="20">
        <f t="shared" si="56"/>
        <v>45566</v>
      </c>
      <c r="M392" s="10">
        <f t="shared" si="57"/>
        <v>2024</v>
      </c>
      <c r="N392" s="9">
        <v>45605</v>
      </c>
      <c r="O392" s="9" t="s">
        <v>2350</v>
      </c>
      <c r="P392" s="9" t="s">
        <v>2350</v>
      </c>
      <c r="Q392" s="26" t="str">
        <f t="shared" si="58"/>
        <v/>
      </c>
      <c r="R392" t="s">
        <v>1615</v>
      </c>
      <c r="S392" s="15">
        <v>36172</v>
      </c>
      <c r="U392" t="s">
        <v>1621</v>
      </c>
      <c r="V392" t="s">
        <v>1627</v>
      </c>
      <c r="W392" s="17">
        <v>4.5</v>
      </c>
      <c r="X392" s="10">
        <f t="shared" si="59"/>
        <v>1</v>
      </c>
      <c r="Y392" s="10">
        <f t="shared" si="60"/>
        <v>0</v>
      </c>
      <c r="Z392" s="10">
        <f t="shared" si="61"/>
        <v>0</v>
      </c>
      <c r="AA392">
        <f t="shared" si="54"/>
        <v>1</v>
      </c>
      <c r="AB392">
        <f t="shared" si="62"/>
        <v>0</v>
      </c>
      <c r="AC392">
        <f t="shared" si="55"/>
        <v>0</v>
      </c>
    </row>
    <row r="393" spans="1:29" x14ac:dyDescent="0.35">
      <c r="A393" t="s">
        <v>409</v>
      </c>
      <c r="B393" t="s">
        <v>546</v>
      </c>
      <c r="C393" t="s">
        <v>1013</v>
      </c>
      <c r="D393" t="s">
        <v>2223</v>
      </c>
      <c r="E393" t="s">
        <v>2342</v>
      </c>
      <c r="F393" t="s">
        <v>1026</v>
      </c>
      <c r="G393" t="s">
        <v>1029</v>
      </c>
      <c r="H393" t="s">
        <v>1037</v>
      </c>
      <c r="I393" t="s">
        <v>1042</v>
      </c>
      <c r="J393" t="s">
        <v>1048</v>
      </c>
      <c r="K393" s="9">
        <v>45764</v>
      </c>
      <c r="L393" s="20">
        <f t="shared" si="56"/>
        <v>45748</v>
      </c>
      <c r="M393" s="10">
        <f t="shared" si="57"/>
        <v>2025</v>
      </c>
      <c r="N393" s="9">
        <v>45778</v>
      </c>
      <c r="O393" s="9" t="s">
        <v>2350</v>
      </c>
      <c r="P393" s="9" t="s">
        <v>2350</v>
      </c>
      <c r="Q393" s="26" t="str">
        <f t="shared" si="58"/>
        <v/>
      </c>
      <c r="R393" t="s">
        <v>1615</v>
      </c>
      <c r="S393" s="15">
        <v>45605</v>
      </c>
      <c r="U393" t="s">
        <v>1621</v>
      </c>
      <c r="V393" t="s">
        <v>1627</v>
      </c>
      <c r="W393" s="17">
        <v>4.7</v>
      </c>
      <c r="X393" s="10">
        <f t="shared" si="59"/>
        <v>1</v>
      </c>
      <c r="Y393" s="10">
        <f t="shared" si="60"/>
        <v>0</v>
      </c>
      <c r="Z393" s="10">
        <f t="shared" si="61"/>
        <v>0</v>
      </c>
      <c r="AA393">
        <f t="shared" si="54"/>
        <v>1</v>
      </c>
      <c r="AB393">
        <f t="shared" si="62"/>
        <v>0</v>
      </c>
      <c r="AC393">
        <f t="shared" si="55"/>
        <v>0</v>
      </c>
    </row>
    <row r="394" spans="1:29" x14ac:dyDescent="0.35">
      <c r="A394" t="s">
        <v>410</v>
      </c>
      <c r="B394" t="s">
        <v>436</v>
      </c>
      <c r="C394" t="s">
        <v>1014</v>
      </c>
      <c r="D394" t="s">
        <v>2343</v>
      </c>
      <c r="E394" t="s">
        <v>1763</v>
      </c>
      <c r="F394" t="s">
        <v>1024</v>
      </c>
      <c r="G394" t="s">
        <v>1030</v>
      </c>
      <c r="H394" t="s">
        <v>1037</v>
      </c>
      <c r="I394" t="s">
        <v>1042</v>
      </c>
      <c r="J394" t="s">
        <v>1051</v>
      </c>
      <c r="K394" s="9">
        <v>45541</v>
      </c>
      <c r="L394" s="20">
        <f t="shared" si="56"/>
        <v>45536</v>
      </c>
      <c r="M394" s="10">
        <f t="shared" si="57"/>
        <v>2024</v>
      </c>
      <c r="N394" s="9" t="s">
        <v>2350</v>
      </c>
      <c r="O394" s="9" t="s">
        <v>2350</v>
      </c>
      <c r="P394" s="9" t="s">
        <v>2350</v>
      </c>
      <c r="Q394" s="26" t="str">
        <f t="shared" si="58"/>
        <v/>
      </c>
      <c r="R394" t="s">
        <v>1619</v>
      </c>
      <c r="S394" s="15">
        <v>43413</v>
      </c>
      <c r="U394" t="s">
        <v>1621</v>
      </c>
      <c r="V394" t="s">
        <v>1628</v>
      </c>
      <c r="X394" s="10">
        <f t="shared" si="59"/>
        <v>1</v>
      </c>
      <c r="Y394" s="10">
        <f t="shared" si="60"/>
        <v>0</v>
      </c>
      <c r="Z394" s="10">
        <f t="shared" si="61"/>
        <v>1</v>
      </c>
      <c r="AA394">
        <f t="shared" si="54"/>
        <v>0</v>
      </c>
      <c r="AB394">
        <f t="shared" si="62"/>
        <v>0</v>
      </c>
      <c r="AC394">
        <f t="shared" si="55"/>
        <v>0</v>
      </c>
    </row>
    <row r="395" spans="1:29" x14ac:dyDescent="0.35">
      <c r="A395" t="s">
        <v>411</v>
      </c>
      <c r="B395" t="s">
        <v>622</v>
      </c>
      <c r="C395" t="s">
        <v>2344</v>
      </c>
      <c r="D395" t="s">
        <v>1859</v>
      </c>
      <c r="E395" t="s">
        <v>2052</v>
      </c>
      <c r="F395" t="s">
        <v>1022</v>
      </c>
      <c r="G395" t="s">
        <v>1029</v>
      </c>
      <c r="H395" t="s">
        <v>1037</v>
      </c>
      <c r="I395" t="s">
        <v>1044</v>
      </c>
      <c r="J395" t="s">
        <v>1050</v>
      </c>
      <c r="K395" s="9">
        <v>45388</v>
      </c>
      <c r="L395" s="20">
        <f t="shared" si="56"/>
        <v>45383</v>
      </c>
      <c r="M395" s="10">
        <f t="shared" si="57"/>
        <v>2024</v>
      </c>
      <c r="N395" s="9">
        <v>45415</v>
      </c>
      <c r="O395" s="9" t="s">
        <v>2350</v>
      </c>
      <c r="P395" s="9" t="s">
        <v>2350</v>
      </c>
      <c r="Q395" s="26" t="str">
        <f t="shared" si="58"/>
        <v/>
      </c>
      <c r="R395" t="s">
        <v>1615</v>
      </c>
      <c r="S395" s="15">
        <v>50892</v>
      </c>
      <c r="U395" t="s">
        <v>1624</v>
      </c>
      <c r="V395" t="s">
        <v>1626</v>
      </c>
      <c r="W395" s="17">
        <v>2.6</v>
      </c>
      <c r="X395" s="10">
        <f t="shared" si="59"/>
        <v>1</v>
      </c>
      <c r="Y395" s="10">
        <f t="shared" si="60"/>
        <v>0</v>
      </c>
      <c r="Z395" s="10">
        <f t="shared" si="61"/>
        <v>0</v>
      </c>
      <c r="AA395">
        <f t="shared" si="54"/>
        <v>1</v>
      </c>
      <c r="AB395">
        <f t="shared" si="62"/>
        <v>0</v>
      </c>
      <c r="AC395">
        <f t="shared" si="55"/>
        <v>0</v>
      </c>
    </row>
    <row r="396" spans="1:29" x14ac:dyDescent="0.35">
      <c r="A396" t="s">
        <v>412</v>
      </c>
      <c r="B396" t="s">
        <v>623</v>
      </c>
      <c r="C396" t="s">
        <v>2345</v>
      </c>
      <c r="D396" t="s">
        <v>2247</v>
      </c>
      <c r="E396" t="s">
        <v>1954</v>
      </c>
      <c r="F396" t="s">
        <v>1026</v>
      </c>
      <c r="G396" t="s">
        <v>1030</v>
      </c>
      <c r="H396" t="s">
        <v>1034</v>
      </c>
      <c r="I396" t="s">
        <v>1042</v>
      </c>
      <c r="J396" t="s">
        <v>1742</v>
      </c>
      <c r="K396" s="9">
        <v>45295</v>
      </c>
      <c r="L396" s="20">
        <f t="shared" si="56"/>
        <v>45292</v>
      </c>
      <c r="M396" s="10">
        <f t="shared" si="57"/>
        <v>2024</v>
      </c>
      <c r="N396" s="9">
        <v>45314</v>
      </c>
      <c r="O396" s="9">
        <v>45335</v>
      </c>
      <c r="P396" s="9" t="s">
        <v>2350</v>
      </c>
      <c r="Q396" s="26" t="str">
        <f t="shared" si="58"/>
        <v/>
      </c>
      <c r="R396" t="s">
        <v>1618</v>
      </c>
      <c r="S396" s="15">
        <v>42701</v>
      </c>
      <c r="T396" s="15">
        <v>46598</v>
      </c>
      <c r="U396" t="s">
        <v>1625</v>
      </c>
      <c r="V396" t="s">
        <v>1626</v>
      </c>
      <c r="W396" s="17">
        <v>4.8</v>
      </c>
      <c r="X396" s="10">
        <f t="shared" si="59"/>
        <v>1</v>
      </c>
      <c r="Y396" s="10">
        <f t="shared" si="60"/>
        <v>0</v>
      </c>
      <c r="Z396" s="10">
        <f t="shared" si="61"/>
        <v>0</v>
      </c>
      <c r="AA396">
        <f t="shared" si="54"/>
        <v>1</v>
      </c>
      <c r="AB396">
        <f t="shared" si="62"/>
        <v>1</v>
      </c>
      <c r="AC396">
        <f t="shared" si="55"/>
        <v>0</v>
      </c>
    </row>
    <row r="397" spans="1:29" x14ac:dyDescent="0.35">
      <c r="A397" t="s">
        <v>413</v>
      </c>
      <c r="B397" t="s">
        <v>496</v>
      </c>
      <c r="C397" t="s">
        <v>1017</v>
      </c>
      <c r="D397" t="s">
        <v>2346</v>
      </c>
      <c r="E397" t="s">
        <v>2091</v>
      </c>
      <c r="F397" t="s">
        <v>1027</v>
      </c>
      <c r="G397" t="s">
        <v>1030</v>
      </c>
      <c r="H397" t="s">
        <v>1034</v>
      </c>
      <c r="I397" t="s">
        <v>1042</v>
      </c>
      <c r="J397" t="s">
        <v>1050</v>
      </c>
      <c r="K397" s="9">
        <v>45684</v>
      </c>
      <c r="L397" s="20">
        <f t="shared" si="56"/>
        <v>45658</v>
      </c>
      <c r="M397" s="10">
        <f t="shared" si="57"/>
        <v>2025</v>
      </c>
      <c r="N397" s="9">
        <v>45689</v>
      </c>
      <c r="O397" s="9" t="s">
        <v>2350</v>
      </c>
      <c r="P397" s="9" t="s">
        <v>2350</v>
      </c>
      <c r="Q397" s="26" t="str">
        <f t="shared" si="58"/>
        <v/>
      </c>
      <c r="R397" t="s">
        <v>1615</v>
      </c>
      <c r="S397" s="15">
        <v>49138</v>
      </c>
      <c r="U397" t="s">
        <v>1624</v>
      </c>
      <c r="V397" t="s">
        <v>1627</v>
      </c>
      <c r="W397" s="17">
        <v>3.6</v>
      </c>
      <c r="X397" s="10">
        <f t="shared" si="59"/>
        <v>1</v>
      </c>
      <c r="Y397" s="10">
        <f t="shared" si="60"/>
        <v>0</v>
      </c>
      <c r="Z397" s="10">
        <f t="shared" si="61"/>
        <v>0</v>
      </c>
      <c r="AA397">
        <f t="shared" si="54"/>
        <v>1</v>
      </c>
      <c r="AB397">
        <f t="shared" si="62"/>
        <v>0</v>
      </c>
      <c r="AC397">
        <f t="shared" si="55"/>
        <v>0</v>
      </c>
    </row>
    <row r="398" spans="1:29" x14ac:dyDescent="0.35">
      <c r="A398" t="s">
        <v>414</v>
      </c>
      <c r="B398" t="s">
        <v>446</v>
      </c>
      <c r="C398" t="s">
        <v>1018</v>
      </c>
      <c r="D398" t="s">
        <v>2027</v>
      </c>
      <c r="E398" t="s">
        <v>2218</v>
      </c>
      <c r="F398" t="s">
        <v>1026</v>
      </c>
      <c r="G398" t="s">
        <v>1032</v>
      </c>
      <c r="H398" t="s">
        <v>1037</v>
      </c>
      <c r="I398" t="s">
        <v>1044</v>
      </c>
      <c r="J398" t="s">
        <v>1742</v>
      </c>
      <c r="K398" s="9">
        <v>45321</v>
      </c>
      <c r="L398" s="20">
        <f t="shared" si="56"/>
        <v>45292</v>
      </c>
      <c r="M398" s="10">
        <f t="shared" si="57"/>
        <v>2024</v>
      </c>
      <c r="N398" s="9" t="s">
        <v>2350</v>
      </c>
      <c r="O398" s="9" t="s">
        <v>2350</v>
      </c>
      <c r="P398" s="9" t="s">
        <v>2350</v>
      </c>
      <c r="Q398" s="26" t="str">
        <f t="shared" si="58"/>
        <v/>
      </c>
      <c r="R398" t="s">
        <v>1619</v>
      </c>
      <c r="S398" s="15">
        <v>46013</v>
      </c>
      <c r="U398" t="s">
        <v>1621</v>
      </c>
      <c r="V398" t="s">
        <v>1626</v>
      </c>
      <c r="W398" s="17">
        <v>2.2999999999999998</v>
      </c>
      <c r="X398" s="10">
        <f t="shared" si="59"/>
        <v>1</v>
      </c>
      <c r="Y398" s="10">
        <f t="shared" si="60"/>
        <v>0</v>
      </c>
      <c r="Z398" s="10">
        <f t="shared" si="61"/>
        <v>1</v>
      </c>
      <c r="AA398">
        <f t="shared" si="54"/>
        <v>0</v>
      </c>
      <c r="AB398">
        <f t="shared" si="62"/>
        <v>0</v>
      </c>
      <c r="AC398">
        <f t="shared" si="55"/>
        <v>0</v>
      </c>
    </row>
    <row r="399" spans="1:29" x14ac:dyDescent="0.35">
      <c r="A399" t="s">
        <v>415</v>
      </c>
      <c r="B399" t="s">
        <v>508</v>
      </c>
      <c r="C399" t="s">
        <v>2347</v>
      </c>
      <c r="D399" t="s">
        <v>2082</v>
      </c>
      <c r="E399" t="s">
        <v>1852</v>
      </c>
      <c r="F399" t="s">
        <v>1026</v>
      </c>
      <c r="G399" t="s">
        <v>1028</v>
      </c>
      <c r="H399" t="s">
        <v>1035</v>
      </c>
      <c r="I399" t="s">
        <v>1041</v>
      </c>
      <c r="J399" t="s">
        <v>1742</v>
      </c>
      <c r="K399" s="9">
        <v>45564</v>
      </c>
      <c r="L399" s="20">
        <f t="shared" si="56"/>
        <v>45536</v>
      </c>
      <c r="M399" s="10">
        <f t="shared" si="57"/>
        <v>2024</v>
      </c>
      <c r="N399" s="9">
        <v>45589</v>
      </c>
      <c r="O399" s="9" t="s">
        <v>2350</v>
      </c>
      <c r="P399" s="9" t="s">
        <v>2350</v>
      </c>
      <c r="Q399" s="26" t="str">
        <f t="shared" si="58"/>
        <v/>
      </c>
      <c r="R399" t="s">
        <v>1615</v>
      </c>
      <c r="S399" s="15">
        <v>40076</v>
      </c>
      <c r="U399" t="s">
        <v>1625</v>
      </c>
      <c r="V399" t="s">
        <v>1628</v>
      </c>
      <c r="W399" s="17">
        <v>2.5</v>
      </c>
      <c r="X399" s="10">
        <f t="shared" si="59"/>
        <v>1</v>
      </c>
      <c r="Y399" s="10">
        <f t="shared" si="60"/>
        <v>0</v>
      </c>
      <c r="Z399" s="10">
        <f t="shared" si="61"/>
        <v>0</v>
      </c>
      <c r="AA399">
        <f t="shared" si="54"/>
        <v>1</v>
      </c>
      <c r="AB399">
        <f t="shared" si="62"/>
        <v>0</v>
      </c>
      <c r="AC399">
        <f t="shared" si="55"/>
        <v>0</v>
      </c>
    </row>
    <row r="400" spans="1:29" x14ac:dyDescent="0.35">
      <c r="A400" t="s">
        <v>416</v>
      </c>
      <c r="B400" t="s">
        <v>582</v>
      </c>
      <c r="C400" t="s">
        <v>2348</v>
      </c>
      <c r="D400" t="s">
        <v>2349</v>
      </c>
      <c r="E400" t="s">
        <v>1812</v>
      </c>
      <c r="F400" t="s">
        <v>1027</v>
      </c>
      <c r="G400" t="s">
        <v>1031</v>
      </c>
      <c r="H400" t="s">
        <v>1034</v>
      </c>
      <c r="I400" t="s">
        <v>1043</v>
      </c>
      <c r="J400" t="s">
        <v>1050</v>
      </c>
      <c r="K400" s="9">
        <v>45475</v>
      </c>
      <c r="L400" s="20">
        <f t="shared" si="56"/>
        <v>45474</v>
      </c>
      <c r="M400" s="10">
        <f t="shared" si="57"/>
        <v>2024</v>
      </c>
      <c r="N400" s="9" t="s">
        <v>2350</v>
      </c>
      <c r="O400" s="9" t="s">
        <v>2350</v>
      </c>
      <c r="P400" s="9" t="s">
        <v>2350</v>
      </c>
      <c r="Q400" s="26" t="str">
        <f t="shared" si="58"/>
        <v/>
      </c>
      <c r="R400" t="s">
        <v>1616</v>
      </c>
      <c r="S400" s="15">
        <v>35106</v>
      </c>
      <c r="U400" t="s">
        <v>1624</v>
      </c>
      <c r="V400" t="s">
        <v>1628</v>
      </c>
      <c r="X400" s="10">
        <f t="shared" si="59"/>
        <v>1</v>
      </c>
      <c r="Y400" s="10">
        <f t="shared" si="60"/>
        <v>0</v>
      </c>
      <c r="Z400" s="10">
        <f t="shared" si="61"/>
        <v>0</v>
      </c>
      <c r="AA400">
        <f t="shared" si="54"/>
        <v>0</v>
      </c>
      <c r="AB400">
        <f t="shared" si="62"/>
        <v>0</v>
      </c>
      <c r="AC400">
        <f t="shared" si="55"/>
        <v>0</v>
      </c>
    </row>
    <row r="401" spans="1:29" x14ac:dyDescent="0.35">
      <c r="A401" t="s">
        <v>417</v>
      </c>
      <c r="B401" t="s">
        <v>608</v>
      </c>
      <c r="C401" t="s">
        <v>1021</v>
      </c>
      <c r="D401" t="s">
        <v>1879</v>
      </c>
      <c r="E401" t="s">
        <v>1926</v>
      </c>
      <c r="F401" t="s">
        <v>1024</v>
      </c>
      <c r="G401" t="s">
        <v>1032</v>
      </c>
      <c r="H401" t="s">
        <v>1039</v>
      </c>
      <c r="I401" t="s">
        <v>1041</v>
      </c>
      <c r="J401" t="s">
        <v>1742</v>
      </c>
      <c r="K401" s="9">
        <v>45295</v>
      </c>
      <c r="L401" s="20">
        <f t="shared" si="56"/>
        <v>45292</v>
      </c>
      <c r="M401" s="10">
        <f t="shared" si="57"/>
        <v>2024</v>
      </c>
      <c r="N401" s="9" t="s">
        <v>2350</v>
      </c>
      <c r="O401" s="9" t="s">
        <v>2350</v>
      </c>
      <c r="P401" s="9" t="s">
        <v>2350</v>
      </c>
      <c r="Q401" s="26" t="str">
        <f t="shared" si="58"/>
        <v/>
      </c>
      <c r="R401" t="s">
        <v>1617</v>
      </c>
      <c r="S401" s="15">
        <v>34573</v>
      </c>
      <c r="U401" t="s">
        <v>1623</v>
      </c>
      <c r="V401" t="s">
        <v>1628</v>
      </c>
      <c r="W401" s="17">
        <v>2.2999999999999998</v>
      </c>
      <c r="X401" s="10">
        <f t="shared" si="59"/>
        <v>1</v>
      </c>
      <c r="Y401" s="10">
        <f t="shared" si="60"/>
        <v>1</v>
      </c>
      <c r="Z401" s="10">
        <f t="shared" si="61"/>
        <v>0</v>
      </c>
      <c r="AA401">
        <f t="shared" si="54"/>
        <v>0</v>
      </c>
      <c r="AB401">
        <f t="shared" si="62"/>
        <v>0</v>
      </c>
      <c r="AC401">
        <f t="shared" si="55"/>
        <v>0</v>
      </c>
    </row>
  </sheetData>
  <autoFilter ref="A1:AE401" xr:uid="{00000000-0001-0000-0000-000000000000}">
    <sortState xmlns:xlrd2="http://schemas.microsoft.com/office/spreadsheetml/2017/richdata2" ref="A2:AE401">
      <sortCondition ref="A1:A401"/>
    </sortState>
  </autoFilter>
  <conditionalFormatting sqref="A1:A401 A417:A1048576">
    <cfRule type="duplicateValues" dxfId="2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4F79-1A26-46EF-B897-DB192B41C587}">
  <dimension ref="B2:E122"/>
  <sheetViews>
    <sheetView topLeftCell="A28" zoomScaleNormal="100" workbookViewId="0">
      <selection activeCell="K55" sqref="K55"/>
    </sheetView>
  </sheetViews>
  <sheetFormatPr defaultRowHeight="14.5" x14ac:dyDescent="0.35"/>
  <cols>
    <col min="2" max="2" width="16.08984375" bestFit="1" customWidth="1"/>
    <col min="3" max="3" width="18.54296875" bestFit="1" customWidth="1"/>
    <col min="4" max="4" width="17.453125" bestFit="1" customWidth="1"/>
    <col min="5" max="5" width="15.54296875" bestFit="1" customWidth="1"/>
    <col min="6" max="8" width="15.36328125" bestFit="1" customWidth="1"/>
    <col min="17" max="17" width="12.6328125" bestFit="1" customWidth="1"/>
    <col min="18" max="18" width="19.08984375" bestFit="1" customWidth="1"/>
    <col min="19" max="19" width="15.54296875" bestFit="1" customWidth="1"/>
  </cols>
  <sheetData>
    <row r="2" spans="2:5" x14ac:dyDescent="0.35">
      <c r="B2" t="s">
        <v>2368</v>
      </c>
    </row>
    <row r="3" spans="2:5" x14ac:dyDescent="0.35">
      <c r="B3" s="18">
        <v>400</v>
      </c>
    </row>
    <row r="8" spans="2:5" x14ac:dyDescent="0.35">
      <c r="B8" s="21" t="s">
        <v>2367</v>
      </c>
      <c r="C8" t="s">
        <v>2388</v>
      </c>
      <c r="D8" t="s">
        <v>2384</v>
      </c>
      <c r="E8" t="s">
        <v>2383</v>
      </c>
    </row>
    <row r="9" spans="2:5" x14ac:dyDescent="0.35">
      <c r="B9" s="22" t="s">
        <v>2354</v>
      </c>
      <c r="C9" s="10">
        <v>273</v>
      </c>
      <c r="D9" s="10">
        <v>123</v>
      </c>
      <c r="E9" s="10">
        <v>38</v>
      </c>
    </row>
    <row r="10" spans="2:5" x14ac:dyDescent="0.35">
      <c r="B10" s="23" t="s">
        <v>2356</v>
      </c>
      <c r="C10" s="10">
        <v>23</v>
      </c>
      <c r="D10" s="10">
        <v>7</v>
      </c>
      <c r="E10" s="10">
        <v>1</v>
      </c>
    </row>
    <row r="11" spans="2:5" x14ac:dyDescent="0.35">
      <c r="B11" s="23" t="s">
        <v>2357</v>
      </c>
      <c r="C11" s="10">
        <v>22</v>
      </c>
      <c r="D11" s="10">
        <v>8</v>
      </c>
      <c r="E11" s="10">
        <v>2</v>
      </c>
    </row>
    <row r="12" spans="2:5" x14ac:dyDescent="0.35">
      <c r="B12" s="23" t="s">
        <v>2358</v>
      </c>
      <c r="C12" s="10">
        <v>24</v>
      </c>
      <c r="D12" s="10">
        <v>9</v>
      </c>
      <c r="E12" s="10">
        <v>2</v>
      </c>
    </row>
    <row r="13" spans="2:5" x14ac:dyDescent="0.35">
      <c r="B13" s="23" t="s">
        <v>2359</v>
      </c>
      <c r="C13" s="10">
        <v>18</v>
      </c>
      <c r="D13" s="10">
        <v>11</v>
      </c>
      <c r="E13" s="10">
        <v>4</v>
      </c>
    </row>
    <row r="14" spans="2:5" x14ac:dyDescent="0.35">
      <c r="B14" s="23" t="s">
        <v>2086</v>
      </c>
      <c r="C14" s="10">
        <v>27</v>
      </c>
      <c r="D14" s="10">
        <v>12</v>
      </c>
      <c r="E14" s="10">
        <v>3</v>
      </c>
    </row>
    <row r="15" spans="2:5" x14ac:dyDescent="0.35">
      <c r="B15" s="23" t="s">
        <v>2360</v>
      </c>
      <c r="C15" s="10">
        <v>28</v>
      </c>
      <c r="D15" s="10">
        <v>14</v>
      </c>
      <c r="E15" s="10">
        <v>5</v>
      </c>
    </row>
    <row r="16" spans="2:5" x14ac:dyDescent="0.35">
      <c r="B16" s="23" t="s">
        <v>2361</v>
      </c>
      <c r="C16" s="10">
        <v>27</v>
      </c>
      <c r="D16" s="10">
        <v>12</v>
      </c>
      <c r="E16" s="10">
        <v>5</v>
      </c>
    </row>
    <row r="17" spans="2:5" x14ac:dyDescent="0.35">
      <c r="B17" s="23" t="s">
        <v>2362</v>
      </c>
      <c r="C17" s="10">
        <v>20</v>
      </c>
      <c r="D17" s="10">
        <v>7</v>
      </c>
      <c r="E17" s="10">
        <v>2</v>
      </c>
    </row>
    <row r="18" spans="2:5" x14ac:dyDescent="0.35">
      <c r="B18" s="23" t="s">
        <v>2363</v>
      </c>
      <c r="C18" s="10">
        <v>21</v>
      </c>
      <c r="D18" s="10">
        <v>13</v>
      </c>
      <c r="E18" s="10">
        <v>4</v>
      </c>
    </row>
    <row r="19" spans="2:5" x14ac:dyDescent="0.35">
      <c r="B19" s="23" t="s">
        <v>2364</v>
      </c>
      <c r="C19" s="10">
        <v>22</v>
      </c>
      <c r="D19" s="10">
        <v>10</v>
      </c>
      <c r="E19" s="10">
        <v>4</v>
      </c>
    </row>
    <row r="20" spans="2:5" x14ac:dyDescent="0.35">
      <c r="B20" s="23" t="s">
        <v>2365</v>
      </c>
      <c r="C20" s="10">
        <v>25</v>
      </c>
      <c r="D20" s="10">
        <v>10</v>
      </c>
      <c r="E20" s="10">
        <v>3</v>
      </c>
    </row>
    <row r="21" spans="2:5" x14ac:dyDescent="0.35">
      <c r="B21" s="23" t="s">
        <v>2366</v>
      </c>
      <c r="C21" s="10">
        <v>16</v>
      </c>
      <c r="D21" s="10">
        <v>10</v>
      </c>
      <c r="E21" s="10">
        <v>3</v>
      </c>
    </row>
    <row r="22" spans="2:5" x14ac:dyDescent="0.35">
      <c r="B22" s="22" t="s">
        <v>2355</v>
      </c>
      <c r="C22" s="10">
        <v>127</v>
      </c>
      <c r="D22" s="10">
        <v>48</v>
      </c>
      <c r="E22" s="10">
        <v>7</v>
      </c>
    </row>
    <row r="23" spans="2:5" x14ac:dyDescent="0.35">
      <c r="B23" s="23" t="s">
        <v>2356</v>
      </c>
      <c r="C23" s="10">
        <v>27</v>
      </c>
      <c r="D23" s="10">
        <v>10</v>
      </c>
      <c r="E23" s="10">
        <v>0</v>
      </c>
    </row>
    <row r="24" spans="2:5" x14ac:dyDescent="0.35">
      <c r="B24" s="23" t="s">
        <v>2357</v>
      </c>
      <c r="C24" s="10">
        <v>31</v>
      </c>
      <c r="D24" s="10">
        <v>13</v>
      </c>
      <c r="E24" s="10">
        <v>2</v>
      </c>
    </row>
    <row r="25" spans="2:5" x14ac:dyDescent="0.35">
      <c r="B25" s="23" t="s">
        <v>2358</v>
      </c>
      <c r="C25" s="10">
        <v>30</v>
      </c>
      <c r="D25" s="10">
        <v>13</v>
      </c>
      <c r="E25" s="10">
        <v>2</v>
      </c>
    </row>
    <row r="26" spans="2:5" x14ac:dyDescent="0.35">
      <c r="B26" s="23" t="s">
        <v>2359</v>
      </c>
      <c r="C26" s="10">
        <v>28</v>
      </c>
      <c r="D26" s="10">
        <v>9</v>
      </c>
      <c r="E26" s="10">
        <v>2</v>
      </c>
    </row>
    <row r="27" spans="2:5" x14ac:dyDescent="0.35">
      <c r="B27" s="23" t="s">
        <v>2086</v>
      </c>
      <c r="C27" s="10">
        <v>11</v>
      </c>
      <c r="D27" s="10">
        <v>3</v>
      </c>
      <c r="E27" s="10">
        <v>1</v>
      </c>
    </row>
    <row r="28" spans="2:5" x14ac:dyDescent="0.35">
      <c r="B28" s="22" t="s">
        <v>2353</v>
      </c>
      <c r="C28" s="10">
        <v>400</v>
      </c>
      <c r="D28" s="10">
        <v>171</v>
      </c>
      <c r="E28" s="10">
        <v>45</v>
      </c>
    </row>
    <row r="35" spans="2:4" x14ac:dyDescent="0.35">
      <c r="B35" s="21" t="s">
        <v>5</v>
      </c>
      <c r="C35" t="s">
        <v>2388</v>
      </c>
      <c r="D35" t="s">
        <v>2383</v>
      </c>
    </row>
    <row r="36" spans="2:4" x14ac:dyDescent="0.35">
      <c r="B36" s="22" t="s">
        <v>1037</v>
      </c>
      <c r="C36" s="10">
        <v>110</v>
      </c>
      <c r="D36" s="10">
        <v>9</v>
      </c>
    </row>
    <row r="37" spans="2:4" x14ac:dyDescent="0.35">
      <c r="B37" s="22" t="s">
        <v>1741</v>
      </c>
      <c r="C37" s="10">
        <v>58</v>
      </c>
      <c r="D37" s="10">
        <v>6</v>
      </c>
    </row>
    <row r="38" spans="2:4" x14ac:dyDescent="0.35">
      <c r="B38" s="22" t="s">
        <v>1034</v>
      </c>
      <c r="C38" s="10">
        <v>54</v>
      </c>
      <c r="D38" s="10">
        <v>8</v>
      </c>
    </row>
    <row r="39" spans="2:4" x14ac:dyDescent="0.35">
      <c r="B39" s="22" t="s">
        <v>1040</v>
      </c>
      <c r="C39" s="10">
        <v>50</v>
      </c>
      <c r="D39" s="10">
        <v>2</v>
      </c>
    </row>
    <row r="40" spans="2:4" x14ac:dyDescent="0.35">
      <c r="B40" s="22" t="s">
        <v>1039</v>
      </c>
      <c r="C40" s="10">
        <v>48</v>
      </c>
      <c r="D40" s="10">
        <v>11</v>
      </c>
    </row>
    <row r="41" spans="2:4" x14ac:dyDescent="0.35">
      <c r="B41" s="22" t="s">
        <v>1036</v>
      </c>
      <c r="C41" s="10">
        <v>41</v>
      </c>
      <c r="D41" s="10">
        <v>3</v>
      </c>
    </row>
    <row r="42" spans="2:4" x14ac:dyDescent="0.35">
      <c r="B42" s="22" t="s">
        <v>1035</v>
      </c>
      <c r="C42" s="10">
        <v>39</v>
      </c>
      <c r="D42" s="10">
        <v>6</v>
      </c>
    </row>
    <row r="43" spans="2:4" x14ac:dyDescent="0.35">
      <c r="B43" s="22" t="s">
        <v>2353</v>
      </c>
      <c r="C43" s="10">
        <v>400</v>
      </c>
      <c r="D43" s="10">
        <v>45</v>
      </c>
    </row>
    <row r="55" spans="2:4" x14ac:dyDescent="0.35">
      <c r="B55" t="s">
        <v>2388</v>
      </c>
      <c r="C55" t="s">
        <v>1615</v>
      </c>
      <c r="D55" t="s">
        <v>2376</v>
      </c>
    </row>
    <row r="56" spans="2:4" x14ac:dyDescent="0.35">
      <c r="B56" s="10">
        <v>400</v>
      </c>
      <c r="C56" s="10">
        <v>171</v>
      </c>
      <c r="D56" s="10">
        <v>45</v>
      </c>
    </row>
    <row r="58" spans="2:4" x14ac:dyDescent="0.35">
      <c r="B58" t="str">
        <f>"APPLICATIONS RECEIVED: " &amp; CHAR(10) &amp; GETPIVOTDATA("Applications Received",$B$55)</f>
        <v>APPLICATIONS RECEIVED: 
400</v>
      </c>
    </row>
    <row r="59" spans="2:4" x14ac:dyDescent="0.35">
      <c r="B59" t="str">
        <f>"INTERVIEWS COMPLETED: " &amp; CHAR(10) &amp; GETPIVOTDATA("Interviewed",$B$55)</f>
        <v>INTERVIEWS COMPLETED: 
171</v>
      </c>
    </row>
    <row r="60" spans="2:4" x14ac:dyDescent="0.35">
      <c r="B60" t="str">
        <f>"CANDIDATES HIRED: " &amp; CHAR(10) &amp; GETPIVOTDATA("Candidates hired",$B$55)</f>
        <v>CANDIDATES HIRED: 
45</v>
      </c>
    </row>
    <row r="66" spans="2:4" x14ac:dyDescent="0.35">
      <c r="B66" s="21" t="s">
        <v>2377</v>
      </c>
      <c r="C66" t="s">
        <v>2375</v>
      </c>
      <c r="D66" t="s">
        <v>2376</v>
      </c>
    </row>
    <row r="67" spans="2:4" x14ac:dyDescent="0.35">
      <c r="B67" s="22" t="s">
        <v>1742</v>
      </c>
      <c r="C67" s="10">
        <v>182</v>
      </c>
      <c r="D67" s="10">
        <v>23</v>
      </c>
    </row>
    <row r="68" spans="2:4" x14ac:dyDescent="0.35">
      <c r="B68" s="22" t="s">
        <v>1050</v>
      </c>
      <c r="C68" s="10">
        <v>61</v>
      </c>
      <c r="D68" s="10">
        <v>5</v>
      </c>
    </row>
    <row r="69" spans="2:4" x14ac:dyDescent="0.35">
      <c r="B69" s="22" t="s">
        <v>1049</v>
      </c>
      <c r="C69" s="10">
        <v>55</v>
      </c>
      <c r="D69" s="10">
        <v>8</v>
      </c>
    </row>
    <row r="70" spans="2:4" x14ac:dyDescent="0.35">
      <c r="B70" s="22" t="s">
        <v>1048</v>
      </c>
      <c r="C70" s="10">
        <v>53</v>
      </c>
      <c r="D70" s="10">
        <v>3</v>
      </c>
    </row>
    <row r="71" spans="2:4" x14ac:dyDescent="0.35">
      <c r="B71" s="22" t="s">
        <v>1051</v>
      </c>
      <c r="C71" s="10">
        <v>49</v>
      </c>
      <c r="D71" s="10">
        <v>6</v>
      </c>
    </row>
    <row r="72" spans="2:4" x14ac:dyDescent="0.35">
      <c r="B72" s="22" t="s">
        <v>2353</v>
      </c>
      <c r="C72" s="10">
        <v>400</v>
      </c>
      <c r="D72" s="10">
        <v>45</v>
      </c>
    </row>
    <row r="87" spans="2:4" x14ac:dyDescent="0.35">
      <c r="B87" s="21" t="s">
        <v>2385</v>
      </c>
      <c r="C87" t="s">
        <v>2386</v>
      </c>
      <c r="D87" t="s">
        <v>2387</v>
      </c>
    </row>
    <row r="88" spans="2:4" x14ac:dyDescent="0.35">
      <c r="B88" s="22" t="s">
        <v>1023</v>
      </c>
      <c r="C88" s="15">
        <v>41486.642857142855</v>
      </c>
      <c r="D88" s="15">
        <v>42468.083333333336</v>
      </c>
    </row>
    <row r="89" spans="2:4" x14ac:dyDescent="0.35">
      <c r="B89" s="22" t="s">
        <v>1025</v>
      </c>
      <c r="C89" s="15">
        <v>41071.455696202531</v>
      </c>
      <c r="D89" s="15">
        <v>40475.777777777781</v>
      </c>
    </row>
    <row r="90" spans="2:4" x14ac:dyDescent="0.35">
      <c r="B90" s="22" t="s">
        <v>1022</v>
      </c>
      <c r="C90" s="15">
        <v>40234.542857142857</v>
      </c>
      <c r="D90" s="15">
        <v>39072</v>
      </c>
    </row>
    <row r="91" spans="2:4" x14ac:dyDescent="0.35">
      <c r="B91" s="22" t="s">
        <v>1026</v>
      </c>
      <c r="C91" s="15">
        <v>40126.803571428572</v>
      </c>
      <c r="D91" s="15">
        <v>41265.461538461539</v>
      </c>
    </row>
    <row r="92" spans="2:4" x14ac:dyDescent="0.35">
      <c r="B92" s="22" t="s">
        <v>1027</v>
      </c>
      <c r="C92" s="15">
        <v>39889.203125</v>
      </c>
      <c r="D92" s="15">
        <v>41447</v>
      </c>
    </row>
    <row r="93" spans="2:4" x14ac:dyDescent="0.35">
      <c r="B93" s="22" t="s">
        <v>1024</v>
      </c>
      <c r="C93" s="15">
        <v>39704.754098360652</v>
      </c>
      <c r="D93" s="15">
        <v>40899.866666666669</v>
      </c>
    </row>
    <row r="94" spans="2:4" x14ac:dyDescent="0.35">
      <c r="B94" s="22" t="s">
        <v>2353</v>
      </c>
      <c r="C94" s="15">
        <v>40467.82</v>
      </c>
      <c r="D94" s="15">
        <v>40711</v>
      </c>
    </row>
    <row r="108" spans="2:2" x14ac:dyDescent="0.35">
      <c r="B108" t="s">
        <v>2389</v>
      </c>
    </row>
    <row r="109" spans="2:2" x14ac:dyDescent="0.35">
      <c r="B109" s="27">
        <v>51.355555555555554</v>
      </c>
    </row>
    <row r="110" spans="2:2" x14ac:dyDescent="0.35">
      <c r="B110" s="27"/>
    </row>
    <row r="111" spans="2:2" x14ac:dyDescent="0.35">
      <c r="B111" s="27" t="str">
        <f>"AVERAGE TIME TO HIRE: " &amp; CHAR(10) &amp; TEXT(GETPIVOTDATA("time_to_hire",$B$108), "###") &amp; " days"</f>
        <v>AVERAGE TIME TO HIRE: 
51 days</v>
      </c>
    </row>
    <row r="115" spans="2:3" x14ac:dyDescent="0.35">
      <c r="B115" s="21" t="s">
        <v>2385</v>
      </c>
      <c r="C115" t="s">
        <v>2389</v>
      </c>
    </row>
    <row r="116" spans="2:3" x14ac:dyDescent="0.35">
      <c r="B116" s="22" t="s">
        <v>1027</v>
      </c>
      <c r="C116" s="28">
        <v>60.5</v>
      </c>
    </row>
    <row r="117" spans="2:3" x14ac:dyDescent="0.35">
      <c r="B117" s="22" t="s">
        <v>1022</v>
      </c>
      <c r="C117" s="28">
        <v>56.1</v>
      </c>
    </row>
    <row r="118" spans="2:3" x14ac:dyDescent="0.35">
      <c r="B118" s="22" t="s">
        <v>1026</v>
      </c>
      <c r="C118" s="28">
        <v>50.571428571428569</v>
      </c>
    </row>
    <row r="119" spans="2:3" x14ac:dyDescent="0.35">
      <c r="B119" s="22" t="s">
        <v>1024</v>
      </c>
      <c r="C119" s="28">
        <v>49.125</v>
      </c>
    </row>
    <row r="120" spans="2:3" x14ac:dyDescent="0.35">
      <c r="B120" s="22" t="s">
        <v>1023</v>
      </c>
      <c r="C120" s="28">
        <v>48.285714285714285</v>
      </c>
    </row>
    <row r="121" spans="2:3" x14ac:dyDescent="0.35">
      <c r="B121" s="22" t="s">
        <v>1025</v>
      </c>
      <c r="C121" s="28">
        <v>43.142857142857146</v>
      </c>
    </row>
    <row r="122" spans="2:3" x14ac:dyDescent="0.35">
      <c r="B122" s="22" t="s">
        <v>2353</v>
      </c>
      <c r="C122" s="28">
        <v>51.355555555555554</v>
      </c>
    </row>
  </sheetData>
  <pageMargins left="0.7" right="0.7" top="0.75" bottom="0.75" header="0.3" footer="0.3"/>
  <pageSetup paperSize="9" orientation="portrait" r:id="rId9"/>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77D9-A5BD-43F9-849C-3FDDBDC3BF49}">
  <dimension ref="A1"/>
  <sheetViews>
    <sheetView showGridLines="0" tabSelected="1" topLeftCell="A28" zoomScale="80" zoomScaleNormal="80" workbookViewId="0">
      <selection activeCell="Y16" sqref="Y16"/>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Recruitment_data_raw </vt:lpstr>
      <vt:lpstr>instructions</vt:lpstr>
      <vt:lpstr>worksheet</vt:lpstr>
      <vt:lpstr>clean_recruitment_data</vt:lpstr>
      <vt:lpstr>Analysis &amp; 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Olanrewaju Oyenekan</dc:creator>
  <cp:lastModifiedBy>Olanrewaju Oyenekan</cp:lastModifiedBy>
  <dcterms:created xsi:type="dcterms:W3CDTF">2026-06-01T12:15:56Z</dcterms:created>
  <dcterms:modified xsi:type="dcterms:W3CDTF">2026-06-21T09:14:24Z</dcterms:modified>
</cp:coreProperties>
</file>